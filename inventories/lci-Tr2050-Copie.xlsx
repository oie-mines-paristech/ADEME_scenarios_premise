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1312" documentId="13_ncr:1_{6A9A1C53-53B4-4DAF-B82F-70FF83AECA95}" xr6:coauthVersionLast="47" xr6:coauthVersionMax="47" xr10:uidLastSave="{444287BB-FE43-4137-874D-06C43648E757}"/>
  <bookViews>
    <workbookView xWindow="-108" yWindow="-108" windowWidth="23256" windowHeight="12456"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24" i="1" l="1"/>
  <c r="C939" i="1"/>
  <c r="G66" i="1" l="1"/>
  <c r="B505" i="1" l="1"/>
  <c r="B504" i="1"/>
  <c r="B500" i="1"/>
  <c r="B499" i="1"/>
  <c r="B498" i="1"/>
  <c r="B496" i="1"/>
  <c r="B492" i="1"/>
  <c r="B488" i="1"/>
  <c r="B487" i="1"/>
  <c r="B477" i="1"/>
  <c r="G178" i="1"/>
  <c r="D178" i="1"/>
  <c r="A178" i="1"/>
  <c r="C33" i="1" l="1"/>
  <c r="B57" i="2" l="1"/>
  <c r="B56" i="2"/>
  <c r="C55" i="2"/>
  <c r="B44" i="2"/>
  <c r="B43" i="2"/>
  <c r="B42" i="2"/>
  <c r="C41" i="2"/>
  <c r="A41" i="2"/>
  <c r="B27" i="2"/>
  <c r="B12" i="2"/>
  <c r="A15" i="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<sst xmlns="http://schemas.openxmlformats.org/spreadsheetml/2006/main" count="4302" uniqueCount="494">
  <si>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</si>
  <si>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</si>
  <si>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</si>
  <si>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</si>
  <si>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</si>
  <si>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</si>
  <si>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</si>
  <si>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</si>
  <si>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</si>
  <si>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</si>
  <si>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</si>
  <si>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</si>
  <si>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</si>
  <si>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</si>
  <si>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</si>
  <si>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</si>
  <si>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</si>
  <si>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</si>
  <si>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</si>
  <si>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</si>
  <si>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</si>
  <si>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</si>
  <si>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</si>
  <si>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</si>
  <si>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</si>
  <si>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</si>
  <si>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</si>
  <si>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</si>
  <si>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</si>
  <si>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</si>
  <si>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</si>
  <si>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</si>
  <si>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</si>
  <si>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</si>
  <si>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</si>
  <si>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</si>
  <si>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</si>
  <si>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</si>
  <si>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</si>
  <si>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</si>
  <si>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</si>
  <si>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</si>
  <si>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</si>
  <si>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</si>
  <si>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</si>
  <si>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</si>
  <si>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</si>
  <si>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</si>
  <si>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</si>
  <si>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</si>
  <si>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</si>
  <si>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</si>
  <si>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</si>
  <si>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</si>
  <si>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</si>
  <si>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</si>
  <si>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</si>
  <si>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</si>
  <si>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</si>
  <si>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</si>
  <si>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</si>
  <si>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</si>
  <si>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</si>
  <si>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</si>
  <si>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</si>
  <si>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</si>
  <si>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</si>
  <si>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</si>
  <si>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</si>
  <si>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</si>
  <si>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</si>
  <si>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</si>
  <si>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</si>
  <si>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</si>
  <si>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</si>
  <si>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</si>
  <si>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</si>
  <si>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</si>
  <si>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</si>
  <si>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</si>
  <si>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</si>
  <si>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</si>
  <si>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</si>
  <si>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</si>
  <si>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</si>
  <si>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</si>
  <si>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</si>
  <si>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</si>
  <si>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</si>
  <si>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</si>
  <si>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</si>
  <si>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</si>
  <si>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</si>
  <si>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</si>
  <si>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</si>
  <si>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</si>
  <si>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</si>
  <si>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</si>
  <si>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</si>
  <si>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</si>
  <si>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</si>
  <si>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</si>
  <si>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</si>
  <si>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</si>
  <si>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</si>
  <si>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</si>
  <si>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</si>
  <si>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</si>
  <si>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</si>
  <si>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</si>
  <si>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</si>
  <si>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</si>
  <si>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</si>
  <si>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</si>
  <si>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</si>
  <si>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</si>
  <si>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</si>
  <si>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</si>
  <si>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</si>
  <si>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</si>
  <si>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</si>
  <si>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</si>
  <si>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</si>
  <si>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</si>
  <si>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</si>
  <si>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</si>
  <si>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</si>
  <si>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</si>
  <si>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</si>
  <si>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</si>
  <si>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</si>
  <si>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</si>
  <si>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</si>
  <si>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</si>
  <si>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</si>
  <si>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</si>
  <si>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</si>
  <si>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</si>
  <si>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</si>
  <si>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</si>
  <si>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</si>
  <si>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</si>
  <si>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</si>
  <si>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</si>
  <si>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</si>
  <si>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</si>
  <si>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</si>
  <si>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</si>
  <si>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</si>
  <si>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</si>
  <si>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</si>
  <si>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</si>
  <si>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</si>
  <si>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</si>
  <si>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</si>
  <si>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</si>
  <si>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</si>
  <si>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</si>
  <si>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</si>
  <si>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</si>
  <si>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</si>
  <si>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</si>
  <si>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</si>
  <si>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</si>
  <si>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</si>
  <si>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</si>
  <si>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</si>
  <si>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</si>
  <si>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</si>
  <si>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</si>
  <si>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</si>
  <si>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</si>
  <si>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</si>
  <si>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</si>
  <si>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</si>
  <si>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</si>
  <si>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</si>
  <si>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</si>
  <si>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</si>
  <si>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</si>
  <si>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</si>
  <si>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</si>
  <si>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</si>
  <si>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</si>
  <si>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</si>
  <si>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</si>
  <si>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</si>
  <si>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</si>
  <si>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</si>
  <si>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</si>
  <si>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</si>
  <si>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</si>
  <si>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</si>
  <si>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</si>
  <si>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</si>
  <si>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</si>
  <si>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</si>
  <si>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</si>
  <si>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</si>
  <si>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</si>
  <si>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</si>
  <si>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</si>
  <si>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</si>
  <si>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</si>
  <si>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</si>
  <si>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</si>
  <si>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</si>
  <si>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</si>
  <si>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</si>
  <si>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</si>
  <si>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</si>
  <si>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</si>
  <si>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</si>
  <si>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</si>
  <si>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</si>
  <si>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</si>
  <si>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</si>
  <si>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</si>
  <si>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</si>
  <si>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</si>
  <si>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</si>
  <si>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</si>
  <si>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</si>
  <si>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</si>
  <si>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</si>
  <si>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</si>
  <si>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</si>
  <si>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</si>
  <si>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</si>
  <si>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</si>
  <si>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</si>
  <si>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</si>
  <si>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</si>
  <si>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</si>
  <si>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</si>
  <si>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</si>
  <si>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</si>
  <si>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</si>
  <si>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</si>
  <si>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</si>
  <si>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</si>
  <si>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</si>
  <si>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</si>
  <si>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</si>
  <si>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</si>
  <si>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</si>
  <si>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</si>
  <si>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</si>
  <si>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</si>
  <si>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</si>
  <si>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</si>
  <si>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</si>
  <si>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</si>
  <si>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</si>
  <si>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</si>
  <si>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</si>
  <si>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</si>
  <si>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</si>
  <si>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</si>
  <si>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</si>
  <si>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</si>
  <si>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</si>
  <si>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</si>
  <si>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</si>
  <si>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</si>
  <si>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</si>
  <si>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</si>
  <si>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</si>
  <si>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</si>
  <si>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</si>
  <si>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</si>
  <si>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</si>
  <si>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</si>
  <si>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</si>
  <si>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</si>
  <si>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</si>
  <si>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</si>
  <si>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</si>
  <si>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</si>
  <si>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</si>
  <si>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</si>
  <si>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</si>
  <si>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Atrazine</t>
  </si>
  <si>
    <t>soil::agricultural</t>
  </si>
  <si>
    <t>water::surface water</t>
  </si>
  <si>
    <t>Energy, gross calorific value, in biomass</t>
  </si>
  <si>
    <t>natural resource::biotic</t>
  </si>
  <si>
    <t>Glyphosate</t>
  </si>
  <si>
    <t>Metolachlor</t>
  </si>
  <si>
    <t>Occupation, annual crop, non-irrigated, intensive</t>
  </si>
  <si>
    <t>Phosphate</t>
  </si>
  <si>
    <t>Phosphorus</t>
  </si>
  <si>
    <t>Transformation, to annual crop, non-irrigated, intensive</t>
  </si>
  <si>
    <t>market for inorganic phosphorus fertiliser, as P2O5</t>
  </si>
  <si>
    <t>inorganic phosphorus fertiliser, as P2O5</t>
  </si>
  <si>
    <t>market for pesticide, unspecified</t>
  </si>
  <si>
    <t>pesticide, unspecified</t>
  </si>
  <si>
    <t>INRAE Transfert (2021)</t>
  </si>
  <si>
    <t>corn, harvested, at ethanol plant</t>
  </si>
  <si>
    <t>LHV [MJ/kg dry]</t>
  </si>
  <si>
    <t>Moisture content [% wt]</t>
  </si>
  <si>
    <t>Francesco TH::BioEthanol::corn to EtOH</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</si>
  <si>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</si>
  <si>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</si>
  <si>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</si>
  <si>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Materials/fuels</t>
  </si>
  <si>
    <t>49 kg per ha per yearFaostat data accessed in October 2016</t>
  </si>
  <si>
    <t>maize seed, for sowing</t>
  </si>
  <si>
    <t>market for natural gas, medium pressure, vehicle grade</t>
  </si>
  <si>
    <t>DryingDrying data calculated in CAPRI by Markus Kempen of Bonn University, October 2016 Kraus, K.; Niklas, G.; Tappe, M.; Umweltbundesamt (UBA), Deutschland: Aktuelle Bewertung des Einsatzes von RapsÃ¶l/RME im Vergleich zu DK; Texte79/99; ISSN 0722-186X</t>
  </si>
  <si>
    <t>natural gas, medium pressure, vehicle grade</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</si>
  <si>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</si>
  <si>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7 kg per ha per yearCAPRI database, Energy use data extracted by Markus Kempen of Bonn University, March 2012, converted to JEC format</t>
  </si>
  <si>
    <t>market for bipyridylium-compound</t>
  </si>
  <si>
    <t>herbicide. From RED II.</t>
  </si>
  <si>
    <t>bipyridylium-compound</t>
  </si>
  <si>
    <t>4.1 kg P / ton wet biomassInternational fertilizer Association: fertilizer use by crop http://www.fertilizer.org/ifa/Home-Page/STATISTICS acessed 2013</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</si>
  <si>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</si>
  <si>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</si>
  <si>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</si>
  <si>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</si>
  <si>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</si>
  <si>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</si>
  <si>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</si>
  <si>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</si>
  <si>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</si>
  <si>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Electricity/heat</t>
  </si>
  <si>
    <t>Handling &amp; StorageKaltschmitt, M.; Reinhardt, G., A.: Nachwachsende EnergietrÃ¤ger: Grundlagen, Verfahren, Ã¶kologische Bilanzierung; Vieweg 1997; ISBN 3-528-06778-0</t>
  </si>
  <si>
    <t>market group for light fuel oil</t>
  </si>
  <si>
    <t>light fuel oil</t>
  </si>
  <si>
    <t>To account for primary energy in oil</t>
  </si>
  <si>
    <t>Based on an annual production of 7.129 t/ha. Assumes 1-year rotation.</t>
  </si>
  <si>
    <t>Transformation, from annual crop, non-irrigated</t>
  </si>
  <si>
    <t>Based on an annual production of 7.129 t/ha</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</si>
  <si>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</si>
  <si>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</si>
  <si>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</si>
  <si>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</si>
  <si>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</si>
  <si>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</si>
  <si>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</si>
  <si>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</si>
  <si>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</si>
  <si>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</si>
  <si>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</si>
  <si>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</si>
  <si>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</si>
  <si>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</si>
  <si>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</si>
  <si>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</si>
  <si>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</si>
  <si>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</si>
  <si>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</si>
  <si>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</si>
  <si>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</si>
  <si>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</si>
  <si>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</si>
  <si>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</si>
  <si>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</si>
  <si>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</si>
  <si>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</si>
  <si>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Dimethenamid</t>
  </si>
  <si>
    <t>Simazine</t>
  </si>
  <si>
    <t>Dicamba</t>
  </si>
  <si>
    <t>Fipronil</t>
  </si>
  <si>
    <t>Glufosinate</t>
  </si>
  <si>
    <t>Diflufenzopyr-sodium</t>
  </si>
  <si>
    <t>2,4-D</t>
  </si>
  <si>
    <t>Chlorpyrifos</t>
  </si>
  <si>
    <t>Acetochlor</t>
  </si>
  <si>
    <t>Flumetsulam</t>
  </si>
  <si>
    <t>Imazethapyr</t>
  </si>
  <si>
    <t>Isoxaflutole</t>
  </si>
  <si>
    <t>Prosulfuron</t>
  </si>
  <si>
    <t>Cypermethrin</t>
  </si>
  <si>
    <t>Nicosulfuron</t>
  </si>
  <si>
    <t>Primisulfuron</t>
  </si>
  <si>
    <t>Lead</t>
  </si>
  <si>
    <t>Water, unspecified natural origin</t>
  </si>
  <si>
    <t>WF for corn from https://doi.org/10.1016/j.jclepro.2017.02.032</t>
  </si>
  <si>
    <t>Already considered in the biogas production stage</t>
  </si>
  <si>
    <t>Farming of corn</t>
  </si>
  <si>
    <t>Life Cycle Assessment of Biofuels in EU/CH, F. Cozzolini 2018, PSI. Herbicide input from RED II. Taken from additional lci provided by premise</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</si>
  <si>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</si>
  <si>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</si>
  <si>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</si>
  <si>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</si>
  <si>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</si>
  <si>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</si>
  <si>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</si>
  <si>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</si>
  <si>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</si>
  <si>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</si>
  <si>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</si>
  <si>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</si>
  <si>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</si>
  <si>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</si>
  <si>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</si>
  <si>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</si>
  <si>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</si>
  <si>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</si>
  <si>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</si>
  <si>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</si>
  <si>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</si>
  <si>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</si>
  <si>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</si>
  <si>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</si>
  <si>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</si>
  <si>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</si>
  <si>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</si>
  <si>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</si>
  <si>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</si>
  <si>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</si>
  <si>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</si>
  <si>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</si>
  <si>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</si>
  <si>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</si>
  <si>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</si>
  <si>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</si>
  <si>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</si>
  <si>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</si>
  <si>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</si>
  <si>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</si>
  <si>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</si>
  <si>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</si>
  <si>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</si>
  <si>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</si>
  <si>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</si>
  <si>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</si>
  <si>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</si>
  <si>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</si>
  <si>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</si>
  <si>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Average transportation of biomethane from anaerobic digestion (AD) in France. Leaks are calcualted considering the average market for upgrading technologies, which remain constant over time and scenarios. While correctly representing leaks for the upgrading mix, it can udnerestimate or overestimate transportation losses of individual upgrading technologies due to the different methane purities. Transportation is added to the individual AD production pathways because of implementation easiness in the user-defined scenario markets.</t>
  </si>
  <si>
    <t>market for heat, central or small-scale, biomethane</t>
  </si>
  <si>
    <t>heat, central or small-scale, biomethane</t>
  </si>
  <si>
    <t>methane, from electrochemical methanation, transport</t>
  </si>
  <si>
    <t>Average transportation of methane from electrochemical methanation in France.</t>
  </si>
  <si>
    <t xml:space="preserve">Production of biogas from the treatment of biowaste. Absorbed biogenic carbon is included to ensure carbon neutrality in </t>
  </si>
  <si>
    <t xml:space="preserve">Production of biogas from the treatment of industrial wastewater. Absorbed biogenic carbon is included to ensure carbon neutrality in </t>
  </si>
  <si>
    <t xml:space="preserve">Production of biogas from the treatment of sewage sludge. Absorbed biogenic carbon is included to ensure carbon neutrality in </t>
  </si>
  <si>
    <t xml:space="preserve">Production of biogas from animal manure. Absorbed biogenic carbon is included to ensure carbon neutrality in </t>
  </si>
  <si>
    <t xml:space="preserve">Production of biogas from agricultural residues. Absorbed biogenic carbon is included to ensure carbon neutrality in </t>
  </si>
  <si>
    <t xml:space="preserve">Production of biogas from sequential crops. Absorbed biogenic carbon is included to ensure carbon neutrality in </t>
  </si>
  <si>
    <t xml:space="preserve">Production of biogas from dedicated crops. Absorbed biogenic carbon is included to ensure carbon neutrality in </t>
  </si>
  <si>
    <t xml:space="preserve">Production of biogas from grass and pastures. Absorbed biogenic carbon is included to ensure carbon neutrality in </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</si>
  <si>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</si>
  <si>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</si>
  <si>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</si>
  <si>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</si>
  <si>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</si>
  <si>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</si>
  <si>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</si>
  <si>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</si>
  <si>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</si>
  <si>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</si>
  <si>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</si>
  <si>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</si>
  <si>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</si>
  <si>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</si>
  <si>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</si>
  <si>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</si>
  <si>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</si>
  <si>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</si>
  <si>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</si>
  <si>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</si>
  <si>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</si>
  <si>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</si>
  <si>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Production and supply os sequential crops. Eight types of sequential crops were considered, following the crops included to determine theoretical methane production, except for triticale. A dataset fro triticale is available in Agribalyse if the practitioners has this database installed</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</si>
  <si>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</si>
  <si>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</si>
  <si>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</si>
  <si>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</si>
  <si>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</si>
  <si>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</si>
  <si>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</si>
  <si>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</si>
  <si>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</si>
  <si>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</si>
  <si>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</si>
  <si>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</si>
  <si>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</si>
  <si>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0.1% of emission rate (Bussa et al., 2022)</t>
  </si>
  <si>
    <t>market for natural gas, high pressure</t>
  </si>
  <si>
    <t>0.49%/MJ supplied (Bussa et al., 2022). CH4 LHV = 35.8 MJ</t>
  </si>
  <si>
    <t>biomethane import</t>
  </si>
  <si>
    <t>market for biomethane, high pressure</t>
  </si>
  <si>
    <t>Imports of renewable gas in France</t>
  </si>
  <si>
    <t>biomethane, imports</t>
  </si>
  <si>
    <t>Import of biomethane (anaerobic digestion and gasification of wood)</t>
  </si>
  <si>
    <t>5.93e-03 MJ heat/MJ natural gas high pressure (Faist Emmenegger et al., 2017). Biomethane LHV = 34.72 MJ considering a constant upgrading mix</t>
  </si>
  <si>
    <t>0.019% of emission rate based on Faist Emmenegger M., Del Duce A., Moreno Ruiz E., Brunner F., (2017). Update of the European natural gas supply chains. Ecoinvent, Zürich, Switzerland. Calculated from the estimated composition of biomethane from AD in the French mix after upgrading (0.52 CH4, 0.48 CO2)</t>
  </si>
  <si>
    <t xml:space="preserve">0.019% of emission rate based on Faist Emmenegger M., Del Duce A., Moreno Ruiz E., Brunner F., (2017). Update of the European natural gas supply chains. Ecoinvent, Zürich, Switzerland. </t>
  </si>
  <si>
    <t>Scaled to reference product based on ecoinvent Faist Emmenegger M., Del Duce A., Moreno Ruiz E., Brunner F., (2017). Update of the European natural gas supply chains. Ecoinvent, Zürich, Switzerland</t>
  </si>
  <si>
    <t>market for biogas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</si>
</sst>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E+00"/>
    <numFmt numFmtId="165" formatCode="0.000"/>
    <numFmt numFmtId="166" formatCode="0.0000000000"/>
    <numFmt numFmtId="167" formatCode="0.0000"/>
    <numFmt numFmtId="168" formatCode="0.000%"/>
    <numFmt numFmtId="169" formatCode="0.00000"/>
  </numFmts>
  <fonts count="20">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
      <u/>
      <sz val="11"/>
      <color theme="10"/>
      <name val="Calibri"/>
      <family val="2"/>
      <scheme val="minor"/>
    </font>
    <font>
      <sz val="12"/>
      <color theme="1"/>
      <name val="Calibri"/>
      <family val="2"/>
      <scheme val="minor"/>
    </font>
    <font>
      <sz val="8"/>
      <name val="Calibri"/>
      <family val="2"/>
      <scheme val="minor"/>
    </font>
  </fonts>
  <fills count="6">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theme="9" tint="0.59999389629810485"/>
        <bgColor indexed="64"/>
      </patternFill>
    </fill>
  </fills>
  <borders count="2">
    <border>
      <left/>
      <right/>
      <top/>
      <bottom/>
      <diagonal/>
    </border>
    <border>
      <left/>
      <right style="thin">
        <color indexed="64"/>
      </right>
      <top/>
      <bottom/>
      <diagonal/>
    </border>
  </borders>
  <cellStyleXfs count="7">
    <xf numFmtId="0" fontId="0" fillId="0" borderId="0"/>
    <xf numFmtId="0" fontId="1" fillId="0" borderId="0"/>
    <xf numFmtId="0" fontId="1" fillId="0" borderId="0"/>
    <xf numFmtId="0" fontId="5" fillId="0" borderId="0"/>
    <xf numFmtId="0" fontId="6" fillId="2" borderId="0" applyNumberFormat="0" applyBorder="0" applyAlignment="0" applyProtection="0"/>
    <xf numFmtId="9" fontId="1" fillId="0" borderId="0" applyFont="0" applyFill="0" applyBorder="0" applyAlignment="0" applyProtection="0"/>
    <xf numFmtId="0" fontId="17" fillId="0" borderId="0" applyNumberFormat="0" applyFill="0" applyBorder="0" applyAlignment="0" applyProtection="0"/>
  </cellStyleXfs>
  <cellXfs count="74">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164" fontId="0" fillId="0" borderId="0" xfId="0" applyNumberFormat="1"/>
    <xf numFmtId="0" fontId="11" fillId="0" borderId="0" xfId="0" applyFont="1"/>
    <xf numFmtId="0" fontId="12" fillId="0" borderId="0" xfId="0" applyFont="1"/>
    <xf numFmtId="11" fontId="12" fillId="0" borderId="0" xfId="0" applyNumberFormat="1" applyFont="1"/>
    <xf numFmtId="0" fontId="12" fillId="3" borderId="0" xfId="0" applyFont="1" applyFill="1"/>
    <xf numFmtId="11" fontId="2" fillId="0" borderId="0" xfId="0" applyNumberFormat="1" applyFont="1"/>
    <xf numFmtId="0" fontId="0" fillId="3" borderId="0" xfId="0" applyFill="1"/>
    <xf numFmtId="0" fontId="15" fillId="0" borderId="0" xfId="0" applyFont="1"/>
    <xf numFmtId="11" fontId="14" fillId="0" borderId="0" xfId="0" applyNumberFormat="1" applyFont="1" applyAlignment="1">
      <alignment horizontal="left"/>
    </xf>
    <xf numFmtId="0" fontId="14" fillId="0" borderId="0" xfId="0" applyFont="1"/>
    <xf numFmtId="0" fontId="2" fillId="0" borderId="0" xfId="0" applyFont="1"/>
    <xf numFmtId="0" fontId="14" fillId="0" borderId="0" xfId="0" applyFont="1" applyAlignment="1">
      <alignment horizontal="left"/>
    </xf>
    <xf numFmtId="11" fontId="14" fillId="0" borderId="0" xfId="0" applyNumberFormat="1" applyFont="1"/>
    <xf numFmtId="11" fontId="15" fillId="0" borderId="0" xfId="0" applyNumberFormat="1" applyFont="1" applyAlignment="1">
      <alignment horizontal="left"/>
    </xf>
    <xf numFmtId="0" fontId="14" fillId="0" borderId="0" xfId="1" applyFont="1"/>
    <xf numFmtId="165" fontId="14" fillId="0" borderId="0" xfId="0" applyNumberFormat="1" applyFont="1" applyAlignment="1">
      <alignment horizontal="left"/>
    </xf>
    <xf numFmtId="10" fontId="14" fillId="0" borderId="0" xfId="0" applyNumberFormat="1" applyFont="1"/>
    <xf numFmtId="165" fontId="14" fillId="0" borderId="0" xfId="1" applyNumberFormat="1" applyFont="1"/>
    <xf numFmtId="0" fontId="16" fillId="0" borderId="0" xfId="0" applyFont="1"/>
    <xf numFmtId="0" fontId="0" fillId="4" borderId="0" xfId="0" applyFill="1"/>
    <xf numFmtId="166" fontId="0" fillId="0" borderId="0" xfId="0" applyNumberFormat="1"/>
    <xf numFmtId="1" fontId="0" fillId="0" borderId="0" xfId="0" applyNumberFormat="1"/>
    <xf numFmtId="11" fontId="0" fillId="0" borderId="0" xfId="0" applyNumberFormat="1" applyAlignment="1">
      <alignment horizontal="left"/>
    </xf>
    <xf numFmtId="0" fontId="18" fillId="0" borderId="0" xfId="0" applyFont="1"/>
    <xf numFmtId="11" fontId="0" fillId="0" borderId="0" xfId="5" applyNumberFormat="1" applyFont="1"/>
    <xf numFmtId="0" fontId="17" fillId="0" borderId="0" xfId="6"/>
    <xf numFmtId="0" fontId="10" fillId="0" borderId="0" xfId="0" applyFont="1"/>
    <xf numFmtId="0" fontId="13" fillId="0" borderId="0" xfId="1" applyFont="1"/>
    <xf numFmtId="165" fontId="14" fillId="0" borderId="0" xfId="0" applyNumberFormat="1" applyFont="1"/>
    <xf numFmtId="165" fontId="0" fillId="0" borderId="0" xfId="0" applyNumberFormat="1"/>
    <xf numFmtId="167" fontId="14" fillId="0" borderId="0" xfId="0" applyNumberFormat="1" applyFont="1"/>
    <xf numFmtId="0" fontId="15" fillId="0" borderId="0" xfId="1" applyFont="1"/>
    <xf numFmtId="11" fontId="14" fillId="0" borderId="0" xfId="0" applyNumberFormat="1" applyFont="1" applyAlignment="1">
      <alignment horizontal="right"/>
    </xf>
    <xf numFmtId="167" fontId="14" fillId="0" borderId="0" xfId="0" applyNumberFormat="1" applyFont="1" applyAlignment="1">
      <alignment horizontal="right"/>
    </xf>
    <xf numFmtId="167" fontId="0" fillId="0" borderId="0" xfId="0" applyNumberFormat="1" applyAlignment="1">
      <alignment horizontal="right"/>
    </xf>
    <xf numFmtId="0" fontId="14" fillId="5" borderId="0" xfId="0" applyFont="1" applyFill="1"/>
    <xf numFmtId="0" fontId="14" fillId="5" borderId="0" xfId="0" applyFont="1" applyFill="1" applyAlignment="1">
      <alignment horizontal="left"/>
    </xf>
    <xf numFmtId="0" fontId="0" fillId="5" borderId="0" xfId="0" applyFill="1"/>
    <xf numFmtId="11" fontId="0" fillId="5" borderId="0" xfId="0" applyNumberFormat="1" applyFill="1"/>
    <xf numFmtId="0" fontId="14" fillId="0" borderId="0" xfId="0" applyFont="1" applyAlignment="1">
      <alignment horizontal="left" vertical="top"/>
    </xf>
    <xf numFmtId="168" fontId="14" fillId="0" borderId="0" xfId="5" applyNumberFormat="1" applyFont="1"/>
    <xf numFmtId="169" fontId="0" fillId="0" borderId="0" xfId="0" applyNumberFormat="1"/>
  </cellXfs>
  <cellStyles count="7">
    <cellStyle name="Hyperlink" xfId="6" builtinId="8"/>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oi.org/10.1016/j.jclepro.2017.02.03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978"/>
  <sheetViews>
    <sheetView tabSelected="1" topLeftCell="A822" zoomScaleNormal="100" workbookViewId="0">
      <selection activeCell="B831" sqref="B831"/>
    </sheetView>
  </sheetViews>
  <sheetFormatPr defaultColWidth="8.85546875" defaultRowHeight="15"/>
  <cols>
    <col min="1" max="1" width="73.140625" customWidth="1"/>
    <col min="2" max="2" width="18.5703125" style="18"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4" t="s">
        <v>0</v>
      </c>
      <c r="B2" s="5" t="s">
        <v>100</v>
      </c>
      <c r="C2" s="6"/>
      <c r="D2" s="6"/>
      <c r="E2" s="6"/>
      <c r="F2" s="6"/>
      <c r="G2" s="6"/>
      <c r="H2" s="6"/>
      <c r="I2" s="6"/>
      <c r="K2" s="7"/>
    </row>
    <row r="3" spans="1:14">
      <c r="A3" s="4"/>
      <c r="B3" s="5"/>
      <c r="C3" s="6"/>
      <c r="D3" s="6"/>
      <c r="E3" s="6"/>
      <c r="F3" s="6"/>
      <c r="G3" s="6"/>
      <c r="H3" s="6"/>
      <c r="I3" s="6"/>
      <c r="K3" s="7"/>
    </row>
    <row r="4" spans="1:14">
      <c r="A4" s="8"/>
      <c r="B4" s="9"/>
      <c r="C4" s="8"/>
      <c r="D4" s="8"/>
      <c r="E4" s="8"/>
      <c r="F4" s="8"/>
      <c r="G4" s="8"/>
      <c r="H4" s="8"/>
      <c r="I4" s="8"/>
      <c r="K4" s="7"/>
    </row>
    <row r="5" spans="1:14" ht="15.75">
      <c r="A5" s="29" t="s">
        <v>1</v>
      </c>
      <c r="B5" s="29" t="s">
        <v>172</v>
      </c>
      <c r="M5" t="s">
        <v>74</v>
      </c>
    </row>
    <row r="6" spans="1:14">
      <c r="A6" t="s">
        <v>2</v>
      </c>
      <c r="B6" t="s">
        <v>29</v>
      </c>
      <c r="M6" t="s">
        <v>74</v>
      </c>
    </row>
    <row r="7" spans="1:14">
      <c r="A7" t="s">
        <v>11</v>
      </c>
      <c r="B7" t="s">
        <v>75</v>
      </c>
    </row>
    <row r="8" spans="1:14">
      <c r="A8" t="s">
        <v>3</v>
      </c>
      <c r="B8">
        <v>1</v>
      </c>
      <c r="M8" t="s">
        <v>74</v>
      </c>
    </row>
    <row r="9" spans="1:14">
      <c r="A9" t="s">
        <v>76</v>
      </c>
      <c r="B9" t="s">
        <v>77</v>
      </c>
    </row>
    <row r="10" spans="1:14">
      <c r="A10" t="s">
        <v>4</v>
      </c>
      <c r="B10" t="s">
        <v>31</v>
      </c>
      <c r="M10" t="s">
        <v>74</v>
      </c>
    </row>
    <row r="11" spans="1:14">
      <c r="A11" t="s">
        <v>5</v>
      </c>
      <c r="B11" t="s">
        <v>78</v>
      </c>
      <c r="M11" t="s">
        <v>74</v>
      </c>
    </row>
    <row r="12" spans="1:14">
      <c r="A12" t="s">
        <v>6</v>
      </c>
      <c r="B12" t="s">
        <v>19</v>
      </c>
      <c r="M12" t="s">
        <v>74</v>
      </c>
    </row>
    <row r="13" spans="1:14" ht="15.75">
      <c r="A13" s="29" t="s">
        <v>7</v>
      </c>
      <c r="B13"/>
      <c r="M13" t="s">
        <v>74</v>
      </c>
    </row>
    <row r="14" spans="1:14" ht="15.75">
      <c r="A14" s="29" t="s">
        <v>8</v>
      </c>
      <c r="B14" s="29" t="s">
        <v>9</v>
      </c>
      <c r="C14" s="29" t="s">
        <v>2</v>
      </c>
      <c r="D14" s="29" t="s">
        <v>6</v>
      </c>
      <c r="E14" s="29" t="s">
        <v>10</v>
      </c>
      <c r="F14" s="29" t="s">
        <v>5</v>
      </c>
      <c r="G14" s="29" t="s">
        <v>4</v>
      </c>
      <c r="H14" s="29" t="s">
        <v>11</v>
      </c>
      <c r="I14" s="58"/>
    </row>
    <row r="15" spans="1:14">
      <c r="A15" t="str">
        <f>B5</f>
        <v>electricity supply, high voltage, from vanadium-redox flow battery system, Tr2050</v>
      </c>
      <c r="B15">
        <v>1</v>
      </c>
      <c r="C15" t="s">
        <v>29</v>
      </c>
      <c r="D15" t="str">
        <f>B12</f>
        <v>kilowatt hour</v>
      </c>
      <c r="F15" t="s">
        <v>18</v>
      </c>
      <c r="G15" t="str">
        <f>B10</f>
        <v>electricity, high voltage</v>
      </c>
      <c r="I15" s="7"/>
      <c r="J15" s="7"/>
      <c r="K15" s="7"/>
      <c r="L15" s="7"/>
      <c r="M15" s="7"/>
      <c r="N15" s="7"/>
    </row>
    <row r="16" spans="1:14">
      <c r="A16" t="s">
        <v>98</v>
      </c>
      <c r="B16">
        <v>1.33</v>
      </c>
      <c r="C16" t="s">
        <v>29</v>
      </c>
      <c r="D16" t="s">
        <v>19</v>
      </c>
      <c r="F16" t="s">
        <v>12</v>
      </c>
      <c r="G16" t="s">
        <v>31</v>
      </c>
      <c r="H16" t="s">
        <v>79</v>
      </c>
      <c r="I16" s="7"/>
      <c r="J16" s="7"/>
      <c r="K16" s="7"/>
      <c r="L16" s="7"/>
      <c r="M16" s="7"/>
      <c r="N16" s="7"/>
    </row>
    <row r="17" spans="1:11">
      <c r="A17" t="s">
        <v>80</v>
      </c>
      <c r="B17" s="32">
        <f>1/(49000000)</f>
        <v>2.0408163265306123E-8</v>
      </c>
      <c r="C17" t="s">
        <v>49</v>
      </c>
      <c r="D17" t="s">
        <v>6</v>
      </c>
      <c r="F17" t="s">
        <v>12</v>
      </c>
      <c r="G17" t="s">
        <v>81</v>
      </c>
      <c r="H17" t="s">
        <v>82</v>
      </c>
    </row>
    <row r="18" spans="1:11">
      <c r="A18" t="s">
        <v>83</v>
      </c>
      <c r="B18" s="32">
        <f>1/(49000000)</f>
        <v>2.0408163265306123E-8</v>
      </c>
      <c r="C18" t="s">
        <v>49</v>
      </c>
      <c r="D18" t="s">
        <v>6</v>
      </c>
      <c r="F18" t="s">
        <v>12</v>
      </c>
      <c r="G18" t="s">
        <v>84</v>
      </c>
      <c r="H18" t="s">
        <v>85</v>
      </c>
    </row>
    <row r="19" spans="1:11">
      <c r="A19" t="s">
        <v>86</v>
      </c>
      <c r="B19" s="32">
        <f>-0.41/1000</f>
        <v>-4.0999999999999999E-4</v>
      </c>
      <c r="C19" t="s">
        <v>49</v>
      </c>
      <c r="D19" t="s">
        <v>13</v>
      </c>
      <c r="F19" t="s">
        <v>12</v>
      </c>
      <c r="G19" t="s">
        <v>87</v>
      </c>
      <c r="H19" t="s">
        <v>88</v>
      </c>
    </row>
    <row r="20" spans="1:11">
      <c r="A20" t="s">
        <v>89</v>
      </c>
      <c r="B20">
        <f>-0.66/1000</f>
        <v>-6.6E-4</v>
      </c>
      <c r="C20" t="s">
        <v>49</v>
      </c>
      <c r="D20" t="s">
        <v>13</v>
      </c>
      <c r="F20" t="s">
        <v>12</v>
      </c>
      <c r="G20" t="s">
        <v>90</v>
      </c>
      <c r="H20" t="s">
        <v>91</v>
      </c>
    </row>
    <row r="21" spans="1:11">
      <c r="A21" t="s">
        <v>92</v>
      </c>
      <c r="B21">
        <f>-5.55/1000</f>
        <v>-5.5500000000000002E-3</v>
      </c>
      <c r="C21" t="s">
        <v>49</v>
      </c>
      <c r="D21" t="s">
        <v>13</v>
      </c>
      <c r="F21" t="s">
        <v>12</v>
      </c>
      <c r="G21" t="s">
        <v>93</v>
      </c>
      <c r="H21" t="s">
        <v>94</v>
      </c>
    </row>
    <row r="22" spans="1:11">
      <c r="A22" t="s">
        <v>95</v>
      </c>
      <c r="B22">
        <f>-0.1/1000</f>
        <v>-1E-4</v>
      </c>
      <c r="C22" t="s">
        <v>49</v>
      </c>
      <c r="D22" t="s">
        <v>13</v>
      </c>
      <c r="F22" t="s">
        <v>12</v>
      </c>
      <c r="G22" t="s">
        <v>96</v>
      </c>
      <c r="H22" t="s">
        <v>97</v>
      </c>
    </row>
    <row r="23" spans="1:11">
      <c r="B23"/>
    </row>
    <row r="24" spans="1:11">
      <c r="B24"/>
    </row>
    <row r="25" spans="1:11">
      <c r="A25" s="4" t="s">
        <v>1</v>
      </c>
      <c r="B25" s="37" t="s">
        <v>193</v>
      </c>
      <c r="C25" s="12"/>
      <c r="D25" s="8"/>
      <c r="E25" s="8"/>
      <c r="F25" s="8"/>
      <c r="G25" s="8"/>
      <c r="H25" s="8"/>
      <c r="I25" s="8"/>
      <c r="K25" s="7"/>
    </row>
    <row r="26" spans="1:11">
      <c r="A26" s="6" t="s">
        <v>3</v>
      </c>
      <c r="B26" s="13">
        <v>1</v>
      </c>
      <c r="C26" s="8"/>
      <c r="D26" s="8"/>
      <c r="E26" s="8"/>
      <c r="F26" s="8"/>
      <c r="G26" s="8"/>
      <c r="H26" s="8"/>
      <c r="I26" s="8"/>
      <c r="K26" s="7"/>
    </row>
    <row r="27" spans="1:11">
      <c r="A27" s="6" t="s">
        <v>11</v>
      </c>
      <c r="B27" s="14" t="s">
        <v>176</v>
      </c>
      <c r="C27" s="8"/>
      <c r="D27" s="8"/>
      <c r="E27" s="8"/>
      <c r="F27" s="8"/>
      <c r="G27" s="8"/>
      <c r="H27" s="8"/>
      <c r="I27" s="8"/>
      <c r="K27" s="7"/>
    </row>
    <row r="28" spans="1:11">
      <c r="A28" s="6" t="s">
        <v>4</v>
      </c>
      <c r="B28" t="s">
        <v>31</v>
      </c>
      <c r="C28" s="8"/>
      <c r="D28" s="8"/>
      <c r="E28" s="8"/>
      <c r="F28" s="8"/>
      <c r="G28" s="8"/>
      <c r="H28" s="8"/>
      <c r="I28" s="8"/>
      <c r="K28" s="7"/>
    </row>
    <row r="29" spans="1:11">
      <c r="A29" s="6" t="s">
        <v>2</v>
      </c>
      <c r="B29" s="14" t="s">
        <v>29</v>
      </c>
      <c r="C29" s="8"/>
      <c r="D29" s="8"/>
      <c r="E29" s="8"/>
      <c r="F29" s="8"/>
      <c r="G29" s="8"/>
      <c r="H29" s="8"/>
      <c r="I29" s="8"/>
      <c r="K29" s="7"/>
    </row>
    <row r="30" spans="1:11">
      <c r="A30" s="6" t="s">
        <v>6</v>
      </c>
      <c r="B30" s="9" t="s">
        <v>19</v>
      </c>
      <c r="C30" s="8"/>
      <c r="D30" s="8"/>
      <c r="E30" s="8"/>
      <c r="F30" s="8"/>
      <c r="G30" s="8"/>
      <c r="H30" s="15"/>
      <c r="I30" s="15"/>
      <c r="K30" s="7"/>
    </row>
    <row r="31" spans="1:11">
      <c r="A31" s="15" t="s">
        <v>7</v>
      </c>
      <c r="B31" s="11"/>
      <c r="C31" s="15"/>
      <c r="D31" s="15"/>
      <c r="E31" s="15"/>
      <c r="F31" s="15"/>
      <c r="G31" s="15"/>
      <c r="H31" s="12"/>
      <c r="I31" s="12"/>
      <c r="K31" s="7"/>
    </row>
    <row r="32" spans="1:11">
      <c r="A32" t="s">
        <v>8</v>
      </c>
      <c r="B32" s="18" t="s">
        <v>9</v>
      </c>
      <c r="C32" t="s">
        <v>2</v>
      </c>
      <c r="D32" t="s">
        <v>6</v>
      </c>
      <c r="E32" t="s">
        <v>5</v>
      </c>
      <c r="F32" t="s">
        <v>4</v>
      </c>
      <c r="G32" t="s">
        <v>10</v>
      </c>
      <c r="H32" s="1" t="s">
        <v>11</v>
      </c>
      <c r="J32" s="1"/>
      <c r="K32" s="7"/>
    </row>
    <row r="33" spans="1:11">
      <c r="A33" s="18" t="s">
        <v>193</v>
      </c>
      <c r="B33" s="18">
        <v>1</v>
      </c>
      <c r="C33" t="str">
        <f>B29</f>
        <v>FR</v>
      </c>
      <c r="D33" s="9" t="s">
        <v>19</v>
      </c>
      <c r="E33" t="s">
        <v>18</v>
      </c>
      <c r="F33" t="s">
        <v>31</v>
      </c>
      <c r="G33" s="12"/>
      <c r="H33" s="12"/>
      <c r="K33" s="7"/>
    </row>
    <row r="34" spans="1:11">
      <c r="A34" t="s">
        <v>177</v>
      </c>
      <c r="B34" s="18">
        <v>4.0404040404040398E-13</v>
      </c>
      <c r="C34" t="s">
        <v>49</v>
      </c>
      <c r="D34" t="s">
        <v>6</v>
      </c>
      <c r="E34" t="s">
        <v>12</v>
      </c>
      <c r="F34" t="s">
        <v>178</v>
      </c>
    </row>
    <row r="35" spans="1:11">
      <c r="A35" t="s">
        <v>179</v>
      </c>
      <c r="B35" s="18">
        <v>7.5599999999999996E-6</v>
      </c>
      <c r="C35" t="s">
        <v>49</v>
      </c>
      <c r="D35" t="s">
        <v>13</v>
      </c>
      <c r="E35" t="s">
        <v>12</v>
      </c>
      <c r="F35" t="s">
        <v>180</v>
      </c>
    </row>
    <row r="36" spans="1:11">
      <c r="A36" t="s">
        <v>181</v>
      </c>
      <c r="B36" s="18">
        <v>-7.5599999999999996E-6</v>
      </c>
      <c r="C36" t="s">
        <v>22</v>
      </c>
      <c r="D36" t="s">
        <v>13</v>
      </c>
      <c r="E36" t="s">
        <v>12</v>
      </c>
      <c r="F36" t="s">
        <v>182</v>
      </c>
    </row>
    <row r="37" spans="1:11">
      <c r="A37" t="s">
        <v>98</v>
      </c>
      <c r="B37" s="18">
        <v>1.25125</v>
      </c>
      <c r="C37" s="38" t="s">
        <v>29</v>
      </c>
      <c r="D37" t="s">
        <v>19</v>
      </c>
      <c r="E37" t="s">
        <v>12</v>
      </c>
      <c r="F37" t="s">
        <v>31</v>
      </c>
    </row>
    <row r="38" spans="1:11">
      <c r="A38" t="s">
        <v>115</v>
      </c>
      <c r="B38" s="18">
        <v>7.7000000000000001E-8</v>
      </c>
      <c r="D38" t="s">
        <v>13</v>
      </c>
      <c r="E38" t="s">
        <v>15</v>
      </c>
      <c r="G38" t="s">
        <v>183</v>
      </c>
    </row>
    <row r="39" spans="1:11">
      <c r="A39" t="s">
        <v>184</v>
      </c>
      <c r="B39" s="18">
        <v>1.4E-5</v>
      </c>
      <c r="D39" t="s">
        <v>13</v>
      </c>
      <c r="E39" t="s">
        <v>15</v>
      </c>
      <c r="G39" t="s">
        <v>183</v>
      </c>
    </row>
    <row r="40" spans="1:11">
      <c r="A40" t="s">
        <v>130</v>
      </c>
      <c r="B40" s="18">
        <v>2.49876858810916E-4</v>
      </c>
      <c r="D40" t="s">
        <v>128</v>
      </c>
      <c r="E40" t="s">
        <v>15</v>
      </c>
      <c r="G40" t="s">
        <v>25</v>
      </c>
    </row>
    <row r="41" spans="1:11">
      <c r="A41" t="s">
        <v>130</v>
      </c>
      <c r="B41" s="18">
        <v>1.1580501231411899</v>
      </c>
      <c r="D41" t="s">
        <v>128</v>
      </c>
      <c r="E41" t="s">
        <v>15</v>
      </c>
      <c r="G41" t="s">
        <v>131</v>
      </c>
    </row>
    <row r="42" spans="1:11">
      <c r="A42" t="s">
        <v>185</v>
      </c>
      <c r="B42" s="18">
        <v>3.4499999999999999E-3</v>
      </c>
      <c r="D42" t="s">
        <v>17</v>
      </c>
      <c r="E42" t="s">
        <v>15</v>
      </c>
      <c r="G42" t="s">
        <v>16</v>
      </c>
    </row>
    <row r="43" spans="1:11">
      <c r="A43" t="s">
        <v>186</v>
      </c>
      <c r="B43" s="18">
        <v>2.3E-5</v>
      </c>
      <c r="D43" t="s">
        <v>187</v>
      </c>
      <c r="E43" t="s">
        <v>15</v>
      </c>
      <c r="G43" t="s">
        <v>16</v>
      </c>
    </row>
    <row r="44" spans="1:11">
      <c r="A44" t="s">
        <v>188</v>
      </c>
      <c r="B44" s="18">
        <v>2.2999999999999999E-7</v>
      </c>
      <c r="D44" t="s">
        <v>187</v>
      </c>
      <c r="E44" t="s">
        <v>15</v>
      </c>
      <c r="G44" t="s">
        <v>16</v>
      </c>
    </row>
    <row r="45" spans="1:11">
      <c r="A45" t="s">
        <v>189</v>
      </c>
      <c r="B45" s="18">
        <v>2.2770000000000001E-5</v>
      </c>
      <c r="D45" t="s">
        <v>187</v>
      </c>
      <c r="E45" t="s">
        <v>15</v>
      </c>
      <c r="G45" t="s">
        <v>16</v>
      </c>
    </row>
    <row r="46" spans="1:11">
      <c r="A46" t="s">
        <v>190</v>
      </c>
      <c r="B46" s="18">
        <v>0.15</v>
      </c>
      <c r="D46" t="s">
        <v>191</v>
      </c>
      <c r="E46" t="s">
        <v>15</v>
      </c>
      <c r="G46" t="s">
        <v>129</v>
      </c>
    </row>
    <row r="47" spans="1:11">
      <c r="A47" t="s">
        <v>192</v>
      </c>
      <c r="B47" s="18">
        <v>1.1583000000000001</v>
      </c>
      <c r="D47" t="s">
        <v>128</v>
      </c>
      <c r="E47" t="s">
        <v>15</v>
      </c>
      <c r="G47" t="s">
        <v>129</v>
      </c>
    </row>
    <row r="48" spans="1:11">
      <c r="B48"/>
    </row>
    <row r="49" spans="1:20">
      <c r="B49"/>
    </row>
    <row r="50" spans="1:20" s="24" customFormat="1" ht="15.75">
      <c r="A50" s="4" t="s">
        <v>1</v>
      </c>
      <c r="B50" s="37" t="s">
        <v>171</v>
      </c>
      <c r="C50" s="4"/>
      <c r="D50" s="37"/>
      <c r="E50" s="4"/>
      <c r="F50" s="37"/>
      <c r="G50" s="4"/>
      <c r="H50" s="37"/>
      <c r="K50" s="25"/>
      <c r="L50" s="25"/>
      <c r="M50" s="25"/>
      <c r="N50" s="25"/>
      <c r="O50" s="25"/>
      <c r="P50" s="25"/>
    </row>
    <row r="51" spans="1:20" s="24" customFormat="1" ht="15.75">
      <c r="A51" s="4" t="s">
        <v>3</v>
      </c>
      <c r="B51">
        <v>1</v>
      </c>
      <c r="C51" s="4"/>
      <c r="D51" s="37"/>
      <c r="E51" s="4"/>
      <c r="F51" s="37"/>
      <c r="G51" s="4"/>
      <c r="H51" s="37"/>
      <c r="K51" s="25"/>
      <c r="L51" s="25"/>
      <c r="M51" s="25"/>
      <c r="N51" s="25"/>
      <c r="O51" s="25"/>
      <c r="P51" s="25"/>
    </row>
    <row r="52" spans="1:20" s="24" customFormat="1" ht="15.75">
      <c r="A52" s="4" t="s">
        <v>11</v>
      </c>
      <c r="B52" t="s">
        <v>56</v>
      </c>
      <c r="C52" s="4"/>
      <c r="D52" s="37"/>
      <c r="E52" s="4"/>
      <c r="F52" s="37"/>
      <c r="G52" s="4"/>
      <c r="H52" s="37"/>
      <c r="K52" s="25"/>
      <c r="L52" s="25"/>
      <c r="M52" s="25"/>
      <c r="N52" s="25"/>
      <c r="O52" s="25"/>
      <c r="P52" s="25"/>
    </row>
    <row r="53" spans="1:20" s="24" customFormat="1" ht="15.75">
      <c r="A53" s="4" t="s">
        <v>4</v>
      </c>
      <c r="B53" t="s">
        <v>57</v>
      </c>
      <c r="C53" s="4"/>
      <c r="D53" s="37"/>
      <c r="E53" s="4"/>
      <c r="F53" s="37"/>
      <c r="G53" s="4"/>
      <c r="H53" s="37"/>
      <c r="K53" s="25"/>
      <c r="L53" s="25"/>
      <c r="M53" s="25"/>
      <c r="N53" s="25"/>
      <c r="O53" s="25"/>
      <c r="P53" s="25"/>
    </row>
    <row r="54" spans="1:20" s="24" customFormat="1" ht="15.75">
      <c r="A54" s="4" t="s">
        <v>2</v>
      </c>
      <c r="B54" t="s">
        <v>29</v>
      </c>
      <c r="C54" s="4"/>
      <c r="D54" s="37"/>
      <c r="E54" s="4"/>
      <c r="F54" s="37"/>
      <c r="G54" s="4"/>
      <c r="H54" s="37"/>
      <c r="K54" s="25"/>
      <c r="L54" s="25"/>
      <c r="M54" s="25"/>
      <c r="N54" s="25"/>
      <c r="O54" s="25"/>
      <c r="P54" s="25"/>
    </row>
    <row r="55" spans="1:20" s="24" customFormat="1" ht="15.75">
      <c r="A55" s="4" t="s">
        <v>6</v>
      </c>
      <c r="B55" t="s">
        <v>13</v>
      </c>
      <c r="C55" s="4"/>
      <c r="D55" s="37"/>
      <c r="E55" s="4"/>
      <c r="F55" s="37"/>
      <c r="G55" s="4"/>
      <c r="H55" s="37"/>
      <c r="I55" s="28"/>
      <c r="J55" s="28"/>
      <c r="K55" s="25"/>
      <c r="L55" s="25"/>
      <c r="M55" s="25"/>
      <c r="N55" s="25"/>
      <c r="O55" s="25"/>
      <c r="P55" s="25"/>
    </row>
    <row r="56" spans="1:20" s="24" customFormat="1" ht="15.75">
      <c r="A56" s="4" t="s">
        <v>7</v>
      </c>
      <c r="B56" s="37"/>
      <c r="C56" s="4"/>
      <c r="D56" s="37"/>
      <c r="E56" s="4"/>
      <c r="F56" s="37"/>
      <c r="G56" s="4"/>
      <c r="H56" s="37"/>
      <c r="I56" s="23"/>
      <c r="J56" s="23"/>
      <c r="K56" s="25"/>
      <c r="L56" s="25"/>
      <c r="M56" s="25"/>
      <c r="N56" s="25"/>
      <c r="O56" s="25"/>
      <c r="P56" s="25"/>
    </row>
    <row r="57" spans="1:20" s="24" customFormat="1" ht="15.75">
      <c r="A57" s="4" t="s">
        <v>8</v>
      </c>
      <c r="B57" s="37" t="s">
        <v>9</v>
      </c>
      <c r="C57" s="4" t="s">
        <v>2</v>
      </c>
      <c r="D57" s="37" t="s">
        <v>6</v>
      </c>
      <c r="E57" s="4" t="s">
        <v>10</v>
      </c>
      <c r="F57" s="37" t="s">
        <v>5</v>
      </c>
      <c r="G57" s="4" t="s">
        <v>4</v>
      </c>
      <c r="H57" s="37" t="s">
        <v>11</v>
      </c>
      <c r="I57" s="28"/>
      <c r="J57" s="29"/>
      <c r="K57" s="30"/>
      <c r="L57" s="30"/>
      <c r="M57" s="30"/>
      <c r="N57" s="30"/>
      <c r="O57" s="30"/>
      <c r="P57" s="30"/>
      <c r="Q57" s="29"/>
      <c r="R57" s="29"/>
      <c r="S57" s="28"/>
      <c r="T57" s="29"/>
    </row>
    <row r="58" spans="1:20" s="24" customFormat="1" ht="15.75">
      <c r="A58" t="s">
        <v>73</v>
      </c>
      <c r="B58">
        <v>1</v>
      </c>
      <c r="C58" t="str">
        <f>B54</f>
        <v>FR</v>
      </c>
      <c r="D58" t="str">
        <f>B55</f>
        <v>kilogram</v>
      </c>
      <c r="E58"/>
      <c r="F58" t="s">
        <v>18</v>
      </c>
      <c r="G58" t="s">
        <v>57</v>
      </c>
      <c r="H58"/>
      <c r="I58" s="23"/>
      <c r="K58" s="25"/>
      <c r="L58" s="25"/>
      <c r="M58" s="25"/>
      <c r="N58" s="25"/>
      <c r="O58" s="25"/>
      <c r="P58" s="25"/>
      <c r="T58"/>
    </row>
    <row r="59" spans="1:20" s="24" customFormat="1" ht="15.75">
      <c r="A59" t="s">
        <v>71</v>
      </c>
      <c r="B59">
        <f>(1/2963200)*4</f>
        <v>1.3498920086393089E-6</v>
      </c>
      <c r="C59" t="s">
        <v>49</v>
      </c>
      <c r="D59" t="s">
        <v>6</v>
      </c>
      <c r="E59"/>
      <c r="F59" t="s">
        <v>12</v>
      </c>
      <c r="G59" t="s">
        <v>58</v>
      </c>
      <c r="H59" t="s">
        <v>59</v>
      </c>
      <c r="J59"/>
      <c r="K59" s="31"/>
      <c r="L59" s="31"/>
      <c r="M59" s="31"/>
      <c r="N59" s="31"/>
      <c r="O59" s="31"/>
      <c r="P59" s="31"/>
      <c r="Q59"/>
      <c r="R59"/>
    </row>
    <row r="60" spans="1:20" s="24" customFormat="1" ht="15.75">
      <c r="A60" t="s">
        <v>72</v>
      </c>
      <c r="B60">
        <f>1/2963200</f>
        <v>3.3747300215982723E-7</v>
      </c>
      <c r="C60" t="s">
        <v>49</v>
      </c>
      <c r="D60" t="s">
        <v>6</v>
      </c>
      <c r="E60"/>
      <c r="F60" t="s">
        <v>12</v>
      </c>
      <c r="G60" t="s">
        <v>60</v>
      </c>
      <c r="H60" t="s">
        <v>61</v>
      </c>
      <c r="J60"/>
      <c r="K60" s="31"/>
      <c r="L60" s="31"/>
      <c r="M60" s="31"/>
      <c r="N60" s="31"/>
      <c r="O60" s="31"/>
      <c r="P60" s="31"/>
      <c r="Q60"/>
      <c r="R60"/>
    </row>
    <row r="61" spans="1:20" s="24" customFormat="1" ht="15.75">
      <c r="A61" t="s">
        <v>62</v>
      </c>
      <c r="B61">
        <f>B59*-1</f>
        <v>-1.3498920086393089E-6</v>
      </c>
      <c r="C61" t="s">
        <v>49</v>
      </c>
      <c r="D61" t="s">
        <v>6</v>
      </c>
      <c r="E61"/>
      <c r="F61" t="s">
        <v>12</v>
      </c>
      <c r="G61" t="s">
        <v>63</v>
      </c>
      <c r="H61" t="s">
        <v>64</v>
      </c>
      <c r="J61"/>
      <c r="K61" s="31"/>
      <c r="L61" s="31"/>
      <c r="M61" s="31"/>
      <c r="N61" s="31"/>
      <c r="O61" s="31"/>
      <c r="P61" s="31"/>
      <c r="Q61"/>
      <c r="R61"/>
    </row>
    <row r="62" spans="1:20" s="24" customFormat="1" ht="15.75">
      <c r="A62" t="s">
        <v>65</v>
      </c>
      <c r="B62">
        <f>-1*B60</f>
        <v>-3.3747300215982723E-7</v>
      </c>
      <c r="C62" t="s">
        <v>49</v>
      </c>
      <c r="D62" t="s">
        <v>6</v>
      </c>
      <c r="E62"/>
      <c r="F62" t="s">
        <v>12</v>
      </c>
      <c r="G62" t="s">
        <v>66</v>
      </c>
      <c r="H62" t="s">
        <v>67</v>
      </c>
      <c r="J62"/>
      <c r="K62" s="31"/>
      <c r="L62" s="31"/>
      <c r="M62" s="31"/>
      <c r="N62" s="31"/>
      <c r="O62" s="31"/>
      <c r="P62" s="31"/>
      <c r="Q62"/>
      <c r="R62"/>
    </row>
    <row r="63" spans="1:20" s="24" customFormat="1" ht="15.75">
      <c r="A63" t="s">
        <v>28</v>
      </c>
      <c r="B63">
        <v>54</v>
      </c>
      <c r="C63" t="s">
        <v>29</v>
      </c>
      <c r="D63" t="s">
        <v>19</v>
      </c>
      <c r="E63"/>
      <c r="F63" t="s">
        <v>12</v>
      </c>
      <c r="G63" t="s">
        <v>20</v>
      </c>
      <c r="H63" t="s">
        <v>68</v>
      </c>
      <c r="J63"/>
      <c r="K63" s="31"/>
      <c r="L63" s="31"/>
      <c r="M63" s="31"/>
      <c r="N63" s="31"/>
      <c r="O63" s="31"/>
      <c r="P63" s="31"/>
      <c r="Q63"/>
      <c r="R63"/>
    </row>
    <row r="64" spans="1:20" s="24" customFormat="1" ht="15.75">
      <c r="A64" t="s">
        <v>21</v>
      </c>
      <c r="B64">
        <v>14</v>
      </c>
      <c r="C64" t="s">
        <v>22</v>
      </c>
      <c r="D64" t="s">
        <v>13</v>
      </c>
      <c r="E64"/>
      <c r="F64" t="s">
        <v>12</v>
      </c>
      <c r="G64" t="s">
        <v>23</v>
      </c>
      <c r="H64" t="s">
        <v>69</v>
      </c>
      <c r="J64"/>
      <c r="K64" s="31"/>
      <c r="L64" s="31"/>
      <c r="M64" s="31"/>
      <c r="N64" s="31"/>
      <c r="O64" s="31"/>
      <c r="P64" s="31"/>
      <c r="Q64"/>
      <c r="R64"/>
    </row>
    <row r="65" spans="1:18" s="24" customFormat="1" ht="15.75">
      <c r="A65" t="s">
        <v>24</v>
      </c>
      <c r="B65">
        <v>8</v>
      </c>
      <c r="C65"/>
      <c r="D65" t="s">
        <v>13</v>
      </c>
      <c r="E65" t="s">
        <v>25</v>
      </c>
      <c r="F65" t="s">
        <v>15</v>
      </c>
      <c r="G65"/>
      <c r="H65"/>
      <c r="J65"/>
      <c r="K65" s="31"/>
      <c r="L65" s="31"/>
      <c r="M65" s="31"/>
      <c r="N65" s="31"/>
      <c r="O65" s="31"/>
      <c r="P65" s="31"/>
      <c r="Q65" s="31"/>
      <c r="R65"/>
    </row>
    <row r="66" spans="1:18" s="24" customFormat="1" ht="15.75">
      <c r="A66" t="s">
        <v>70</v>
      </c>
      <c r="B66">
        <f>(0.09*1000*20)/2963200</f>
        <v>6.0745140388768898E-4</v>
      </c>
      <c r="C66"/>
      <c r="D66" t="s">
        <v>17</v>
      </c>
      <c r="E66" t="s">
        <v>16</v>
      </c>
      <c r="F66" t="s">
        <v>15</v>
      </c>
      <c r="G66">
        <f>120/3.6/0.72</f>
        <v>46.296296296296305</v>
      </c>
      <c r="H66"/>
      <c r="J66"/>
      <c r="K66" s="31"/>
      <c r="L66" s="31"/>
      <c r="M66" s="31"/>
      <c r="N66" s="31"/>
      <c r="O66" s="31"/>
      <c r="P66" s="31"/>
      <c r="Q66" s="31"/>
      <c r="R66"/>
    </row>
    <row r="67" spans="1:18" s="24" customFormat="1">
      <c r="K67" s="25"/>
      <c r="L67" s="25"/>
      <c r="M67" s="25"/>
      <c r="N67" s="25"/>
      <c r="O67" s="25"/>
      <c r="P67" s="25"/>
    </row>
    <row r="70" spans="1:18" ht="15.75">
      <c r="A70" s="33" t="s">
        <v>1</v>
      </c>
      <c r="B70" s="33" t="s">
        <v>174</v>
      </c>
      <c r="C70" s="34"/>
      <c r="D70" s="34"/>
      <c r="E70" s="34"/>
      <c r="F70" s="34"/>
      <c r="G70" s="34"/>
      <c r="H70" s="34"/>
      <c r="I70" s="34"/>
    </row>
    <row r="71" spans="1:18">
      <c r="A71" s="34" t="s">
        <v>103</v>
      </c>
      <c r="B71" s="34">
        <v>1.310870633</v>
      </c>
      <c r="C71" s="34"/>
      <c r="D71" s="34"/>
      <c r="E71" s="34"/>
      <c r="F71" s="34"/>
      <c r="G71" s="34"/>
      <c r="H71" s="34"/>
      <c r="I71" s="34"/>
    </row>
    <row r="72" spans="1:18">
      <c r="A72" s="34" t="s">
        <v>2</v>
      </c>
      <c r="B72" s="34" t="s">
        <v>29</v>
      </c>
      <c r="C72" s="34"/>
      <c r="D72" s="34"/>
      <c r="E72" s="34"/>
      <c r="F72" s="34"/>
      <c r="G72" s="34"/>
      <c r="H72" s="34"/>
      <c r="I72" s="34"/>
    </row>
    <row r="73" spans="1:18">
      <c r="A73" s="34" t="s">
        <v>4</v>
      </c>
      <c r="B73" s="34" t="s">
        <v>104</v>
      </c>
      <c r="C73" s="34"/>
      <c r="D73" s="34"/>
      <c r="E73" s="34"/>
      <c r="F73" s="34"/>
      <c r="G73" s="34"/>
      <c r="H73" s="34"/>
      <c r="I73" s="34"/>
    </row>
    <row r="74" spans="1:18">
      <c r="A74" s="34" t="s">
        <v>6</v>
      </c>
      <c r="B74" s="34" t="s">
        <v>13</v>
      </c>
      <c r="C74" s="34"/>
      <c r="D74" s="34"/>
      <c r="E74" s="34"/>
      <c r="F74" s="34"/>
      <c r="G74" s="34"/>
      <c r="H74" s="34"/>
      <c r="I74" s="34"/>
    </row>
    <row r="75" spans="1:18">
      <c r="A75" s="34" t="s">
        <v>11</v>
      </c>
      <c r="B75" s="34" t="s">
        <v>105</v>
      </c>
      <c r="C75" s="34"/>
      <c r="D75" s="34"/>
      <c r="E75" s="34"/>
      <c r="F75" s="34"/>
      <c r="G75" s="34"/>
      <c r="H75" s="34"/>
      <c r="I75" s="34"/>
    </row>
    <row r="76" spans="1:18" ht="15.75">
      <c r="A76" s="33" t="s">
        <v>7</v>
      </c>
      <c r="B76" s="34"/>
      <c r="C76" s="34"/>
      <c r="D76" s="34"/>
      <c r="E76" s="34"/>
      <c r="F76" s="34"/>
      <c r="G76" s="34"/>
      <c r="H76" s="34"/>
      <c r="I76" s="34"/>
    </row>
    <row r="77" spans="1:18">
      <c r="A77" s="34" t="s">
        <v>8</v>
      </c>
      <c r="B77" s="34" t="s">
        <v>9</v>
      </c>
      <c r="C77" s="34" t="s">
        <v>106</v>
      </c>
      <c r="D77" s="34" t="s">
        <v>2</v>
      </c>
      <c r="E77" s="34" t="s">
        <v>6</v>
      </c>
      <c r="F77" s="34" t="s">
        <v>10</v>
      </c>
      <c r="G77" s="34" t="s">
        <v>5</v>
      </c>
      <c r="H77" s="34" t="s">
        <v>4</v>
      </c>
      <c r="I77" s="34" t="s">
        <v>11</v>
      </c>
    </row>
    <row r="78" spans="1:18">
      <c r="A78" s="34" t="s">
        <v>102</v>
      </c>
      <c r="B78" s="34">
        <v>1</v>
      </c>
      <c r="C78" s="34" t="s">
        <v>107</v>
      </c>
      <c r="D78" s="34" t="s">
        <v>29</v>
      </c>
      <c r="E78" s="34" t="s">
        <v>13</v>
      </c>
      <c r="F78" s="34"/>
      <c r="G78" s="34" t="s">
        <v>18</v>
      </c>
      <c r="H78" s="34" t="s">
        <v>104</v>
      </c>
      <c r="I78" s="34"/>
    </row>
    <row r="79" spans="1:18">
      <c r="A79" s="34" t="s">
        <v>108</v>
      </c>
      <c r="B79" s="35">
        <v>3.0676600000000002E-8</v>
      </c>
      <c r="C79" s="34" t="s">
        <v>109</v>
      </c>
      <c r="D79" s="34"/>
      <c r="E79" s="34" t="s">
        <v>13</v>
      </c>
      <c r="F79" s="34" t="s">
        <v>25</v>
      </c>
      <c r="G79" s="34" t="s">
        <v>15</v>
      </c>
      <c r="H79" s="34"/>
      <c r="I79" s="34"/>
    </row>
    <row r="80" spans="1:18">
      <c r="A80" s="34" t="s">
        <v>110</v>
      </c>
      <c r="B80" s="35">
        <v>4.6014800000000002E-6</v>
      </c>
      <c r="C80" s="34" t="s">
        <v>109</v>
      </c>
      <c r="D80" s="34"/>
      <c r="E80" s="34" t="s">
        <v>13</v>
      </c>
      <c r="F80" s="34" t="s">
        <v>25</v>
      </c>
      <c r="G80" s="34" t="s">
        <v>15</v>
      </c>
      <c r="H80" s="34"/>
      <c r="I80" s="34"/>
    </row>
    <row r="81" spans="1:9">
      <c r="A81" s="34" t="s">
        <v>111</v>
      </c>
      <c r="B81" s="35">
        <v>1.22709E-5</v>
      </c>
      <c r="C81" s="34" t="s">
        <v>109</v>
      </c>
      <c r="D81" s="34"/>
      <c r="E81" s="34" t="s">
        <v>13</v>
      </c>
      <c r="F81" s="34" t="s">
        <v>25</v>
      </c>
      <c r="G81" s="34" t="s">
        <v>15</v>
      </c>
      <c r="H81" s="34"/>
      <c r="I81" s="34"/>
    </row>
    <row r="82" spans="1:9">
      <c r="A82" s="34" t="s">
        <v>112</v>
      </c>
      <c r="B82" s="35">
        <v>3.0676599999999998E-10</v>
      </c>
      <c r="C82" s="34" t="s">
        <v>109</v>
      </c>
      <c r="D82" s="34"/>
      <c r="E82" s="34" t="s">
        <v>13</v>
      </c>
      <c r="F82" s="34" t="s">
        <v>25</v>
      </c>
      <c r="G82" s="34" t="s">
        <v>15</v>
      </c>
      <c r="H82" s="34"/>
      <c r="I82" s="34"/>
    </row>
    <row r="83" spans="1:9">
      <c r="A83" s="34" t="s">
        <v>113</v>
      </c>
      <c r="B83" s="35">
        <v>2.1474199999999998E-5</v>
      </c>
      <c r="C83" s="34" t="s">
        <v>109</v>
      </c>
      <c r="D83" s="34"/>
      <c r="E83" s="34" t="s">
        <v>13</v>
      </c>
      <c r="F83" s="34" t="s">
        <v>25</v>
      </c>
      <c r="G83" s="34" t="s">
        <v>15</v>
      </c>
      <c r="H83" s="34"/>
      <c r="I83" s="34"/>
    </row>
    <row r="84" spans="1:9">
      <c r="A84" s="34" t="s">
        <v>40</v>
      </c>
      <c r="B84" s="34">
        <v>8.9222937859999991</v>
      </c>
      <c r="C84" s="34" t="s">
        <v>109</v>
      </c>
      <c r="D84" s="34"/>
      <c r="E84" s="34" t="s">
        <v>13</v>
      </c>
      <c r="F84" s="34" t="s">
        <v>25</v>
      </c>
      <c r="G84" s="34" t="s">
        <v>15</v>
      </c>
      <c r="H84" s="34"/>
      <c r="I84" s="34"/>
    </row>
    <row r="85" spans="1:9">
      <c r="A85" s="34" t="s">
        <v>114</v>
      </c>
      <c r="B85" s="35">
        <v>6.4421899999999994E-5</v>
      </c>
      <c r="C85" s="34" t="s">
        <v>109</v>
      </c>
      <c r="D85" s="34"/>
      <c r="E85" s="34" t="s">
        <v>13</v>
      </c>
      <c r="F85" s="34" t="s">
        <v>25</v>
      </c>
      <c r="G85" s="34" t="s">
        <v>15</v>
      </c>
      <c r="H85" s="34"/>
      <c r="I85" s="34"/>
    </row>
    <row r="86" spans="1:9">
      <c r="A86" s="34" t="s">
        <v>115</v>
      </c>
      <c r="B86" s="35">
        <v>3.06766E-6</v>
      </c>
      <c r="C86" s="34" t="s">
        <v>109</v>
      </c>
      <c r="D86" s="34"/>
      <c r="E86" s="34" t="s">
        <v>13</v>
      </c>
      <c r="F86" s="34" t="s">
        <v>25</v>
      </c>
      <c r="G86" s="34" t="s">
        <v>15</v>
      </c>
      <c r="H86" s="34"/>
      <c r="I86" s="34"/>
    </row>
    <row r="87" spans="1:9">
      <c r="A87" s="34" t="s">
        <v>116</v>
      </c>
      <c r="B87" s="35">
        <v>3.06766E-6</v>
      </c>
      <c r="C87" s="34" t="s">
        <v>109</v>
      </c>
      <c r="D87" s="34"/>
      <c r="E87" s="34" t="s">
        <v>13</v>
      </c>
      <c r="F87" s="34" t="s">
        <v>25</v>
      </c>
      <c r="G87" s="34" t="s">
        <v>15</v>
      </c>
      <c r="H87" s="34"/>
      <c r="I87" s="34"/>
    </row>
    <row r="88" spans="1:9">
      <c r="A88" s="34" t="s">
        <v>117</v>
      </c>
      <c r="B88" s="35">
        <v>9.2032600000000003E-10</v>
      </c>
      <c r="C88" s="34" t="s">
        <v>109</v>
      </c>
      <c r="D88" s="34"/>
      <c r="E88" s="34" t="s">
        <v>13</v>
      </c>
      <c r="F88" s="34" t="s">
        <v>25</v>
      </c>
      <c r="G88" s="34" t="s">
        <v>15</v>
      </c>
      <c r="H88" s="34"/>
      <c r="I88" s="34"/>
    </row>
    <row r="89" spans="1:9">
      <c r="A89" s="34" t="s">
        <v>118</v>
      </c>
      <c r="B89" s="35">
        <v>6.1356E-5</v>
      </c>
      <c r="C89" s="34" t="s">
        <v>109</v>
      </c>
      <c r="D89" s="34"/>
      <c r="E89" s="34" t="s">
        <v>13</v>
      </c>
      <c r="F89" s="34" t="s">
        <v>25</v>
      </c>
      <c r="G89" s="34" t="s">
        <v>15</v>
      </c>
      <c r="H89" s="34"/>
      <c r="I89" s="34"/>
    </row>
    <row r="90" spans="1:9">
      <c r="A90" s="34" t="s">
        <v>119</v>
      </c>
      <c r="B90" s="34">
        <v>5.4912400000000001E-4</v>
      </c>
      <c r="C90" s="34" t="s">
        <v>109</v>
      </c>
      <c r="D90" s="34"/>
      <c r="E90" s="34" t="s">
        <v>13</v>
      </c>
      <c r="F90" s="34" t="s">
        <v>25</v>
      </c>
      <c r="G90" s="34" t="s">
        <v>15</v>
      </c>
      <c r="H90" s="34"/>
      <c r="I90" s="34"/>
    </row>
    <row r="91" spans="1:9">
      <c r="A91" s="34" t="s">
        <v>120</v>
      </c>
      <c r="B91" s="35">
        <v>3.0676599999999998E-7</v>
      </c>
      <c r="C91" s="34" t="s">
        <v>109</v>
      </c>
      <c r="D91" s="34"/>
      <c r="E91" s="34" t="s">
        <v>13</v>
      </c>
      <c r="F91" s="34" t="s">
        <v>25</v>
      </c>
      <c r="G91" s="34" t="s">
        <v>15</v>
      </c>
      <c r="H91" s="34"/>
      <c r="I91" s="34"/>
    </row>
    <row r="92" spans="1:9">
      <c r="A92" s="34" t="s">
        <v>121</v>
      </c>
      <c r="B92" s="35">
        <v>6.1356000000000002E-6</v>
      </c>
      <c r="C92" s="34" t="s">
        <v>109</v>
      </c>
      <c r="D92" s="34"/>
      <c r="E92" s="34" t="s">
        <v>13</v>
      </c>
      <c r="F92" s="34" t="s">
        <v>25</v>
      </c>
      <c r="G92" s="34" t="s">
        <v>15</v>
      </c>
      <c r="H92" s="34"/>
      <c r="I92" s="34"/>
    </row>
    <row r="93" spans="1:9">
      <c r="A93" s="34" t="s">
        <v>122</v>
      </c>
      <c r="B93" s="35">
        <v>3.6814199999999997E-5</v>
      </c>
      <c r="C93" s="34" t="s">
        <v>109</v>
      </c>
      <c r="D93" s="34"/>
      <c r="E93" s="34" t="s">
        <v>13</v>
      </c>
      <c r="F93" s="34" t="s">
        <v>25</v>
      </c>
      <c r="G93" s="34" t="s">
        <v>15</v>
      </c>
      <c r="H93" s="34"/>
      <c r="I93" s="34"/>
    </row>
    <row r="94" spans="1:9">
      <c r="A94" s="34" t="s">
        <v>123</v>
      </c>
      <c r="B94" s="35">
        <v>6.1356000000000002E-6</v>
      </c>
      <c r="C94" s="34" t="s">
        <v>109</v>
      </c>
      <c r="D94" s="34"/>
      <c r="E94" s="34" t="s">
        <v>13</v>
      </c>
      <c r="F94" s="34" t="s">
        <v>25</v>
      </c>
      <c r="G94" s="34" t="s">
        <v>15</v>
      </c>
      <c r="H94" s="34"/>
      <c r="I94" s="34"/>
    </row>
    <row r="95" spans="1:9">
      <c r="A95" s="34" t="s">
        <v>124</v>
      </c>
      <c r="B95" s="35">
        <v>6.1356E-7</v>
      </c>
      <c r="C95" s="34" t="s">
        <v>109</v>
      </c>
      <c r="D95" s="34"/>
      <c r="E95" s="34" t="s">
        <v>13</v>
      </c>
      <c r="F95" s="34" t="s">
        <v>25</v>
      </c>
      <c r="G95" s="34" t="s">
        <v>15</v>
      </c>
      <c r="H95" s="34"/>
      <c r="I95" s="34"/>
    </row>
    <row r="96" spans="1:9">
      <c r="A96" s="34" t="s">
        <v>125</v>
      </c>
      <c r="B96" s="35">
        <v>1.6872699999999999E-5</v>
      </c>
      <c r="C96" s="34" t="s">
        <v>109</v>
      </c>
      <c r="D96" s="34"/>
      <c r="E96" s="34" t="s">
        <v>13</v>
      </c>
      <c r="F96" s="34" t="s">
        <v>25</v>
      </c>
      <c r="G96" s="34" t="s">
        <v>15</v>
      </c>
      <c r="H96" s="34"/>
      <c r="I96" s="34"/>
    </row>
    <row r="97" spans="1:9">
      <c r="A97" s="34" t="s">
        <v>126</v>
      </c>
      <c r="B97" s="35">
        <v>6.1356000000000002E-6</v>
      </c>
      <c r="C97" s="34" t="s">
        <v>109</v>
      </c>
      <c r="D97" s="34"/>
      <c r="E97" s="34" t="s">
        <v>13</v>
      </c>
      <c r="F97" s="34" t="s">
        <v>25</v>
      </c>
      <c r="G97" s="34" t="s">
        <v>15</v>
      </c>
      <c r="H97" s="34"/>
      <c r="I97" s="34"/>
    </row>
    <row r="98" spans="1:9">
      <c r="A98" s="34" t="s">
        <v>127</v>
      </c>
      <c r="B98" s="34">
        <v>0.38040000000000002</v>
      </c>
      <c r="C98" s="34" t="s">
        <v>109</v>
      </c>
      <c r="D98" s="34"/>
      <c r="E98" s="34" t="s">
        <v>128</v>
      </c>
      <c r="F98" s="34" t="s">
        <v>129</v>
      </c>
      <c r="G98" s="34" t="s">
        <v>15</v>
      </c>
      <c r="H98" s="34"/>
      <c r="I98" s="34"/>
    </row>
    <row r="99" spans="1:9">
      <c r="A99" s="34" t="s">
        <v>130</v>
      </c>
      <c r="B99" s="34">
        <v>0.37130000000000002</v>
      </c>
      <c r="C99" s="34" t="s">
        <v>109</v>
      </c>
      <c r="D99" s="34"/>
      <c r="E99" s="34" t="s">
        <v>128</v>
      </c>
      <c r="F99" s="34" t="s">
        <v>131</v>
      </c>
      <c r="G99" s="34" t="s">
        <v>15</v>
      </c>
      <c r="H99" s="34"/>
      <c r="I99" s="34"/>
    </row>
    <row r="100" spans="1:9">
      <c r="A100" s="34" t="s">
        <v>130</v>
      </c>
      <c r="B100" s="34">
        <v>9.1000000000000004E-3</v>
      </c>
      <c r="C100" s="34" t="s">
        <v>109</v>
      </c>
      <c r="D100" s="34"/>
      <c r="E100" s="34" t="s">
        <v>128</v>
      </c>
      <c r="F100" s="34" t="s">
        <v>25</v>
      </c>
      <c r="G100" s="34" t="s">
        <v>15</v>
      </c>
      <c r="H100" s="34"/>
      <c r="I100" s="34" t="s">
        <v>132</v>
      </c>
    </row>
    <row r="101" spans="1:9">
      <c r="A101" s="34" t="s">
        <v>133</v>
      </c>
      <c r="B101" s="35">
        <v>5.3483200000000002E-10</v>
      </c>
      <c r="C101" s="34" t="s">
        <v>134</v>
      </c>
      <c r="D101" s="34" t="s">
        <v>49</v>
      </c>
      <c r="E101" s="34" t="s">
        <v>6</v>
      </c>
      <c r="F101" s="34"/>
      <c r="G101" s="34" t="s">
        <v>12</v>
      </c>
      <c r="H101" s="34" t="s">
        <v>135</v>
      </c>
      <c r="I101" s="34"/>
    </row>
    <row r="102" spans="1:9">
      <c r="A102" s="34" t="s">
        <v>136</v>
      </c>
      <c r="B102" s="34">
        <v>5.32728E-4</v>
      </c>
      <c r="C102" s="34" t="s">
        <v>134</v>
      </c>
      <c r="D102" s="34" t="s">
        <v>137</v>
      </c>
      <c r="E102" s="34" t="s">
        <v>13</v>
      </c>
      <c r="F102" s="34"/>
      <c r="G102" s="34" t="s">
        <v>12</v>
      </c>
      <c r="H102" s="34" t="s">
        <v>138</v>
      </c>
      <c r="I102" s="34"/>
    </row>
    <row r="103" spans="1:9">
      <c r="A103" s="34" t="s">
        <v>139</v>
      </c>
      <c r="B103" s="34">
        <v>3.6000000000000001E-5</v>
      </c>
      <c r="C103" s="34" t="s">
        <v>134</v>
      </c>
      <c r="D103" s="34" t="s">
        <v>140</v>
      </c>
      <c r="E103" s="34" t="s">
        <v>13</v>
      </c>
      <c r="F103" s="34"/>
      <c r="G103" s="34" t="s">
        <v>12</v>
      </c>
      <c r="H103" s="34" t="s">
        <v>141</v>
      </c>
      <c r="I103" s="34"/>
    </row>
    <row r="104" spans="1:9">
      <c r="A104" s="34" t="s">
        <v>142</v>
      </c>
      <c r="B104" s="34">
        <v>3.6240000000000003E-4</v>
      </c>
      <c r="C104" s="34" t="s">
        <v>134</v>
      </c>
      <c r="D104" s="34" t="s">
        <v>140</v>
      </c>
      <c r="E104" s="34" t="s">
        <v>13</v>
      </c>
      <c r="F104" s="34"/>
      <c r="G104" s="34" t="s">
        <v>12</v>
      </c>
      <c r="H104" s="34" t="s">
        <v>143</v>
      </c>
      <c r="I104" s="34"/>
    </row>
    <row r="105" spans="1:9">
      <c r="A105" s="34" t="s">
        <v>144</v>
      </c>
      <c r="B105" s="35">
        <v>2.54628E-9</v>
      </c>
      <c r="C105" s="34" t="s">
        <v>134</v>
      </c>
      <c r="D105" s="34" t="s">
        <v>140</v>
      </c>
      <c r="E105" s="34" t="s">
        <v>6</v>
      </c>
      <c r="F105" s="34"/>
      <c r="G105" s="34" t="s">
        <v>12</v>
      </c>
      <c r="H105" s="34" t="s">
        <v>145</v>
      </c>
      <c r="I105" s="34"/>
    </row>
    <row r="106" spans="1:9">
      <c r="A106" s="34" t="s">
        <v>146</v>
      </c>
      <c r="B106" s="34">
        <v>2.796E-5</v>
      </c>
      <c r="C106" s="34" t="s">
        <v>134</v>
      </c>
      <c r="D106" s="34" t="s">
        <v>140</v>
      </c>
      <c r="E106" s="34" t="s">
        <v>13</v>
      </c>
      <c r="F106" s="34"/>
      <c r="G106" s="34" t="s">
        <v>12</v>
      </c>
      <c r="H106" s="34" t="s">
        <v>147</v>
      </c>
      <c r="I106" s="34"/>
    </row>
    <row r="107" spans="1:9">
      <c r="A107" s="34" t="s">
        <v>148</v>
      </c>
      <c r="B107" s="34">
        <v>1.668E-5</v>
      </c>
      <c r="C107" s="34" t="s">
        <v>134</v>
      </c>
      <c r="D107" s="34" t="s">
        <v>140</v>
      </c>
      <c r="E107" s="34" t="s">
        <v>13</v>
      </c>
      <c r="F107" s="34"/>
      <c r="G107" s="34" t="s">
        <v>12</v>
      </c>
      <c r="H107" s="34" t="s">
        <v>149</v>
      </c>
      <c r="I107" s="34"/>
    </row>
    <row r="108" spans="1:9">
      <c r="A108" s="34" t="s">
        <v>150</v>
      </c>
      <c r="B108" s="34">
        <v>2.0291999999999999E-4</v>
      </c>
      <c r="C108" s="34" t="s">
        <v>134</v>
      </c>
      <c r="D108" s="34" t="s">
        <v>140</v>
      </c>
      <c r="E108" s="34" t="s">
        <v>13</v>
      </c>
      <c r="F108" s="34"/>
      <c r="G108" s="34" t="s">
        <v>12</v>
      </c>
      <c r="H108" s="34" t="s">
        <v>151</v>
      </c>
      <c r="I108" s="34"/>
    </row>
    <row r="109" spans="1:9">
      <c r="A109" s="34" t="s">
        <v>152</v>
      </c>
      <c r="B109" s="34">
        <v>3.1236000000000002E-4</v>
      </c>
      <c r="C109" s="34" t="s">
        <v>134</v>
      </c>
      <c r="D109" s="34" t="s">
        <v>140</v>
      </c>
      <c r="E109" s="34" t="s">
        <v>13</v>
      </c>
      <c r="F109" s="34"/>
      <c r="G109" s="34" t="s">
        <v>12</v>
      </c>
      <c r="H109" s="34" t="s">
        <v>153</v>
      </c>
      <c r="I109" s="34"/>
    </row>
    <row r="110" spans="1:9">
      <c r="A110" s="34" t="s">
        <v>154</v>
      </c>
      <c r="B110" s="34">
        <v>4.8000000000000001E-5</v>
      </c>
      <c r="C110" s="34" t="s">
        <v>134</v>
      </c>
      <c r="D110" s="34" t="s">
        <v>49</v>
      </c>
      <c r="E110" s="34" t="s">
        <v>13</v>
      </c>
      <c r="F110" s="34"/>
      <c r="G110" s="34" t="s">
        <v>12</v>
      </c>
      <c r="H110" s="34" t="s">
        <v>155</v>
      </c>
      <c r="I110" s="34"/>
    </row>
    <row r="111" spans="1:9">
      <c r="A111" s="34" t="s">
        <v>156</v>
      </c>
      <c r="B111" s="34">
        <v>1.1592E-5</v>
      </c>
      <c r="C111" s="34" t="s">
        <v>134</v>
      </c>
      <c r="D111" s="34" t="s">
        <v>140</v>
      </c>
      <c r="E111" s="34" t="s">
        <v>13</v>
      </c>
      <c r="F111" s="34"/>
      <c r="G111" s="34" t="s">
        <v>12</v>
      </c>
      <c r="H111" s="34" t="s">
        <v>157</v>
      </c>
      <c r="I111" s="34"/>
    </row>
    <row r="112" spans="1:9">
      <c r="A112" s="34" t="s">
        <v>21</v>
      </c>
      <c r="B112" s="34">
        <v>7.538413555</v>
      </c>
      <c r="C112" s="34" t="s">
        <v>134</v>
      </c>
      <c r="D112" s="34" t="s">
        <v>22</v>
      </c>
      <c r="E112" s="34" t="s">
        <v>13</v>
      </c>
      <c r="F112" s="34"/>
      <c r="G112" s="34" t="s">
        <v>12</v>
      </c>
      <c r="H112" s="34" t="s">
        <v>23</v>
      </c>
      <c r="I112" s="34"/>
    </row>
    <row r="113" spans="1:9">
      <c r="A113" s="34" t="s">
        <v>158</v>
      </c>
      <c r="B113" s="34">
        <v>8.8290199999999997E-4</v>
      </c>
      <c r="C113" s="34" t="s">
        <v>134</v>
      </c>
      <c r="D113" s="34" t="s">
        <v>140</v>
      </c>
      <c r="E113" s="34" t="s">
        <v>13</v>
      </c>
      <c r="F113" s="34"/>
      <c r="G113" s="34" t="s">
        <v>12</v>
      </c>
      <c r="H113" s="34" t="s">
        <v>159</v>
      </c>
      <c r="I113" s="34"/>
    </row>
    <row r="114" spans="1:9">
      <c r="A114" s="34" t="s">
        <v>160</v>
      </c>
      <c r="B114" s="34">
        <v>3.7139999999999997E-4</v>
      </c>
      <c r="C114" s="34" t="s">
        <v>134</v>
      </c>
      <c r="D114" s="34" t="s">
        <v>140</v>
      </c>
      <c r="E114" s="34" t="s">
        <v>13</v>
      </c>
      <c r="F114" s="34"/>
      <c r="G114" s="34" t="s">
        <v>12</v>
      </c>
      <c r="H114" s="34" t="s">
        <v>161</v>
      </c>
      <c r="I114" s="34"/>
    </row>
    <row r="115" spans="1:9">
      <c r="A115" s="34" t="s">
        <v>98</v>
      </c>
      <c r="B115" s="34">
        <v>0</v>
      </c>
      <c r="C115" s="34" t="s">
        <v>134</v>
      </c>
      <c r="D115" s="34" t="s">
        <v>29</v>
      </c>
      <c r="E115" s="34" t="s">
        <v>19</v>
      </c>
      <c r="F115" s="34"/>
      <c r="G115" s="34" t="s">
        <v>12</v>
      </c>
      <c r="H115" s="34" t="s">
        <v>31</v>
      </c>
      <c r="I115" s="34"/>
    </row>
    <row r="116" spans="1:9">
      <c r="A116" s="36" t="s">
        <v>482</v>
      </c>
      <c r="B116" s="34">
        <v>4.3695687769999996</v>
      </c>
      <c r="C116" s="34" t="s">
        <v>134</v>
      </c>
      <c r="D116" s="34" t="s">
        <v>29</v>
      </c>
      <c r="E116" s="34" t="s">
        <v>128</v>
      </c>
      <c r="F116" s="34"/>
      <c r="G116" s="34" t="s">
        <v>12</v>
      </c>
      <c r="H116" s="34" t="s">
        <v>162</v>
      </c>
      <c r="I116" s="34"/>
    </row>
    <row r="117" spans="1:9">
      <c r="A117" s="34"/>
      <c r="B117" s="34"/>
      <c r="C117" s="34"/>
      <c r="D117" s="34"/>
      <c r="E117" s="34"/>
      <c r="F117" s="34"/>
      <c r="G117" s="34"/>
      <c r="H117" s="34"/>
      <c r="I117" s="34"/>
    </row>
    <row r="118" spans="1:9">
      <c r="A118" s="50" t="s">
        <v>1</v>
      </c>
      <c r="B118" s="50" t="s">
        <v>175</v>
      </c>
      <c r="C118" s="34"/>
      <c r="D118" s="34"/>
      <c r="E118" s="34"/>
      <c r="F118" s="34"/>
      <c r="G118" s="34"/>
      <c r="H118" s="34"/>
      <c r="I118" s="34"/>
    </row>
    <row r="119" spans="1:9">
      <c r="A119" s="34" t="s">
        <v>103</v>
      </c>
      <c r="B119" s="34">
        <v>1.290350439</v>
      </c>
      <c r="C119" s="34"/>
      <c r="D119" s="34"/>
      <c r="E119" s="34"/>
      <c r="F119" s="34"/>
      <c r="G119" s="34"/>
      <c r="H119" s="34"/>
      <c r="I119" s="34"/>
    </row>
    <row r="120" spans="1:9">
      <c r="A120" s="34" t="s">
        <v>2</v>
      </c>
      <c r="B120" s="34" t="s">
        <v>29</v>
      </c>
      <c r="C120" s="34"/>
      <c r="D120" s="34"/>
      <c r="E120" s="34"/>
      <c r="F120" s="34"/>
      <c r="G120" s="34"/>
      <c r="H120" s="34"/>
      <c r="I120" s="34"/>
    </row>
    <row r="121" spans="1:9">
      <c r="A121" s="34" t="s">
        <v>4</v>
      </c>
      <c r="B121" s="34" t="s">
        <v>104</v>
      </c>
      <c r="C121" s="34"/>
      <c r="D121" s="34"/>
      <c r="E121" s="34"/>
      <c r="F121" s="34"/>
      <c r="G121" s="34"/>
      <c r="H121" s="34"/>
      <c r="I121" s="34"/>
    </row>
    <row r="122" spans="1:9">
      <c r="A122" s="34" t="s">
        <v>6</v>
      </c>
      <c r="B122" s="34" t="s">
        <v>13</v>
      </c>
      <c r="C122" s="34"/>
      <c r="D122" s="34"/>
      <c r="E122" s="34"/>
      <c r="F122" s="34"/>
      <c r="G122" s="34"/>
      <c r="H122" s="34"/>
      <c r="I122" s="34"/>
    </row>
    <row r="123" spans="1:9">
      <c r="A123" s="34" t="s">
        <v>11</v>
      </c>
      <c r="B123" s="34" t="s">
        <v>105</v>
      </c>
      <c r="C123" s="34"/>
      <c r="D123" s="34"/>
      <c r="E123" s="34"/>
      <c r="F123" s="34"/>
      <c r="G123" s="34"/>
      <c r="H123" s="34"/>
      <c r="I123" s="34"/>
    </row>
    <row r="124" spans="1:9">
      <c r="A124" s="50" t="s">
        <v>7</v>
      </c>
      <c r="B124" s="34"/>
      <c r="C124" s="34"/>
      <c r="D124" s="34"/>
      <c r="E124" s="34"/>
      <c r="F124" s="34"/>
      <c r="G124" s="34"/>
      <c r="H124" s="34"/>
      <c r="I124" s="34"/>
    </row>
    <row r="125" spans="1:9">
      <c r="A125" s="34" t="s">
        <v>8</v>
      </c>
      <c r="B125" s="34" t="s">
        <v>9</v>
      </c>
      <c r="C125" s="34" t="s">
        <v>106</v>
      </c>
      <c r="D125" s="34" t="s">
        <v>2</v>
      </c>
      <c r="E125" s="34" t="s">
        <v>6</v>
      </c>
      <c r="F125" s="34" t="s">
        <v>10</v>
      </c>
      <c r="G125" s="34" t="s">
        <v>5</v>
      </c>
      <c r="H125" s="34" t="s">
        <v>4</v>
      </c>
      <c r="I125" s="34" t="s">
        <v>11</v>
      </c>
    </row>
    <row r="126" spans="1:9">
      <c r="A126" s="34" t="s">
        <v>163</v>
      </c>
      <c r="B126" s="34">
        <v>1</v>
      </c>
      <c r="C126" s="34" t="s">
        <v>107</v>
      </c>
      <c r="D126" s="34" t="s">
        <v>29</v>
      </c>
      <c r="E126" s="34" t="s">
        <v>13</v>
      </c>
      <c r="F126" s="34"/>
      <c r="G126" s="34" t="s">
        <v>18</v>
      </c>
      <c r="H126" s="34" t="s">
        <v>104</v>
      </c>
      <c r="I126" s="34"/>
    </row>
    <row r="127" spans="1:9">
      <c r="A127" s="34" t="s">
        <v>108</v>
      </c>
      <c r="B127" s="35">
        <v>2.8033E-8</v>
      </c>
      <c r="C127" s="34" t="s">
        <v>109</v>
      </c>
      <c r="D127" s="34"/>
      <c r="E127" s="34" t="s">
        <v>13</v>
      </c>
      <c r="F127" s="34" t="s">
        <v>25</v>
      </c>
      <c r="G127" s="34" t="s">
        <v>15</v>
      </c>
      <c r="H127" s="34"/>
      <c r="I127" s="34"/>
    </row>
    <row r="128" spans="1:9">
      <c r="A128" s="34" t="s">
        <v>110</v>
      </c>
      <c r="B128" s="35">
        <v>4.2049500000000003E-6</v>
      </c>
      <c r="C128" s="34" t="s">
        <v>109</v>
      </c>
      <c r="D128" s="34"/>
      <c r="E128" s="34" t="s">
        <v>13</v>
      </c>
      <c r="F128" s="34" t="s">
        <v>25</v>
      </c>
      <c r="G128" s="34" t="s">
        <v>15</v>
      </c>
      <c r="H128" s="34"/>
      <c r="I128" s="34"/>
    </row>
    <row r="129" spans="1:9">
      <c r="A129" s="34" t="s">
        <v>111</v>
      </c>
      <c r="B129" s="35">
        <v>1.12135E-5</v>
      </c>
      <c r="C129" s="34" t="s">
        <v>109</v>
      </c>
      <c r="D129" s="34"/>
      <c r="E129" s="34" t="s">
        <v>13</v>
      </c>
      <c r="F129" s="34" t="s">
        <v>25</v>
      </c>
      <c r="G129" s="34" t="s">
        <v>15</v>
      </c>
      <c r="H129" s="34"/>
      <c r="I129" s="34"/>
    </row>
    <row r="130" spans="1:9">
      <c r="A130" s="34" t="s">
        <v>112</v>
      </c>
      <c r="B130" s="35">
        <v>2.8033E-10</v>
      </c>
      <c r="C130" s="34" t="s">
        <v>109</v>
      </c>
      <c r="D130" s="34"/>
      <c r="E130" s="34" t="s">
        <v>13</v>
      </c>
      <c r="F130" s="34" t="s">
        <v>25</v>
      </c>
      <c r="G130" s="34" t="s">
        <v>15</v>
      </c>
      <c r="H130" s="34"/>
      <c r="I130" s="34"/>
    </row>
    <row r="131" spans="1:9">
      <c r="A131" s="34" t="s">
        <v>113</v>
      </c>
      <c r="B131" s="35">
        <v>1.96236E-5</v>
      </c>
      <c r="C131" s="34" t="s">
        <v>109</v>
      </c>
      <c r="D131" s="34"/>
      <c r="E131" s="34" t="s">
        <v>13</v>
      </c>
      <c r="F131" s="34" t="s">
        <v>25</v>
      </c>
      <c r="G131" s="34" t="s">
        <v>15</v>
      </c>
      <c r="H131" s="34"/>
      <c r="I131" s="34"/>
    </row>
    <row r="132" spans="1:9">
      <c r="A132" s="34" t="s">
        <v>40</v>
      </c>
      <c r="B132" s="34">
        <v>2.6104586730000001</v>
      </c>
      <c r="C132" s="34" t="s">
        <v>109</v>
      </c>
      <c r="D132" s="34"/>
      <c r="E132" s="34" t="s">
        <v>13</v>
      </c>
      <c r="F132" s="34" t="s">
        <v>25</v>
      </c>
      <c r="G132" s="34" t="s">
        <v>15</v>
      </c>
      <c r="H132" s="34"/>
      <c r="I132" s="34"/>
    </row>
    <row r="133" spans="1:9">
      <c r="A133" s="34" t="s">
        <v>114</v>
      </c>
      <c r="B133" s="35">
        <v>5.8870399999999998E-5</v>
      </c>
      <c r="C133" s="34" t="s">
        <v>109</v>
      </c>
      <c r="D133" s="34"/>
      <c r="E133" s="34" t="s">
        <v>13</v>
      </c>
      <c r="F133" s="34" t="s">
        <v>25</v>
      </c>
      <c r="G133" s="34" t="s">
        <v>15</v>
      </c>
      <c r="H133" s="34"/>
      <c r="I133" s="34"/>
    </row>
    <row r="134" spans="1:9">
      <c r="A134" s="34" t="s">
        <v>115</v>
      </c>
      <c r="B134" s="35">
        <v>2.8032999999999999E-6</v>
      </c>
      <c r="C134" s="34" t="s">
        <v>109</v>
      </c>
      <c r="D134" s="34"/>
      <c r="E134" s="34" t="s">
        <v>13</v>
      </c>
      <c r="F134" s="34" t="s">
        <v>25</v>
      </c>
      <c r="G134" s="34" t="s">
        <v>15</v>
      </c>
      <c r="H134" s="34"/>
      <c r="I134" s="34"/>
    </row>
    <row r="135" spans="1:9">
      <c r="A135" s="34" t="s">
        <v>116</v>
      </c>
      <c r="B135" s="35">
        <v>2.8032999999999999E-6</v>
      </c>
      <c r="C135" s="34" t="s">
        <v>109</v>
      </c>
      <c r="D135" s="34"/>
      <c r="E135" s="34" t="s">
        <v>13</v>
      </c>
      <c r="F135" s="34" t="s">
        <v>25</v>
      </c>
      <c r="G135" s="34" t="s">
        <v>15</v>
      </c>
      <c r="H135" s="34"/>
      <c r="I135" s="34"/>
    </row>
    <row r="136" spans="1:9">
      <c r="A136" s="34" t="s">
        <v>117</v>
      </c>
      <c r="B136" s="35">
        <v>8.4101700000000003E-10</v>
      </c>
      <c r="C136" s="34" t="s">
        <v>109</v>
      </c>
      <c r="D136" s="34"/>
      <c r="E136" s="34" t="s">
        <v>13</v>
      </c>
      <c r="F136" s="34" t="s">
        <v>25</v>
      </c>
      <c r="G136" s="34" t="s">
        <v>15</v>
      </c>
      <c r="H136" s="34"/>
      <c r="I136" s="34"/>
    </row>
    <row r="137" spans="1:9">
      <c r="A137" s="34" t="s">
        <v>118</v>
      </c>
      <c r="B137" s="35">
        <v>5.6068700000000001E-5</v>
      </c>
      <c r="C137" s="34" t="s">
        <v>109</v>
      </c>
      <c r="D137" s="34"/>
      <c r="E137" s="34" t="s">
        <v>13</v>
      </c>
      <c r="F137" s="34" t="s">
        <v>25</v>
      </c>
      <c r="G137" s="34" t="s">
        <v>15</v>
      </c>
      <c r="H137" s="34"/>
      <c r="I137" s="34"/>
    </row>
    <row r="138" spans="1:9">
      <c r="A138" s="34" t="s">
        <v>119</v>
      </c>
      <c r="B138" s="34">
        <v>5.0180299999999999E-4</v>
      </c>
      <c r="C138" s="34" t="s">
        <v>109</v>
      </c>
      <c r="D138" s="34"/>
      <c r="E138" s="34" t="s">
        <v>13</v>
      </c>
      <c r="F138" s="34" t="s">
        <v>25</v>
      </c>
      <c r="G138" s="34" t="s">
        <v>15</v>
      </c>
      <c r="H138" s="34"/>
      <c r="I138" s="34"/>
    </row>
    <row r="139" spans="1:9">
      <c r="A139" s="34" t="s">
        <v>120</v>
      </c>
      <c r="B139" s="35">
        <v>2.8033000000000002E-7</v>
      </c>
      <c r="C139" s="34" t="s">
        <v>109</v>
      </c>
      <c r="D139" s="34"/>
      <c r="E139" s="34" t="s">
        <v>13</v>
      </c>
      <c r="F139" s="34" t="s">
        <v>25</v>
      </c>
      <c r="G139" s="34" t="s">
        <v>15</v>
      </c>
      <c r="H139" s="34"/>
      <c r="I139" s="34"/>
    </row>
    <row r="140" spans="1:9">
      <c r="A140" s="34" t="s">
        <v>121</v>
      </c>
      <c r="B140" s="35">
        <v>5.6068700000000001E-6</v>
      </c>
      <c r="C140" s="34" t="s">
        <v>109</v>
      </c>
      <c r="D140" s="34"/>
      <c r="E140" s="34" t="s">
        <v>13</v>
      </c>
      <c r="F140" s="34" t="s">
        <v>25</v>
      </c>
      <c r="G140" s="34" t="s">
        <v>15</v>
      </c>
      <c r="H140" s="34"/>
      <c r="I140" s="34"/>
    </row>
    <row r="141" spans="1:9">
      <c r="A141" s="34" t="s">
        <v>122</v>
      </c>
      <c r="B141" s="35">
        <v>3.36417E-5</v>
      </c>
      <c r="C141" s="34" t="s">
        <v>109</v>
      </c>
      <c r="D141" s="34"/>
      <c r="E141" s="34" t="s">
        <v>13</v>
      </c>
      <c r="F141" s="34" t="s">
        <v>25</v>
      </c>
      <c r="G141" s="34" t="s">
        <v>15</v>
      </c>
      <c r="H141" s="34"/>
      <c r="I141" s="34"/>
    </row>
    <row r="142" spans="1:9">
      <c r="A142" s="34" t="s">
        <v>123</v>
      </c>
      <c r="B142" s="35">
        <v>5.6068700000000001E-6</v>
      </c>
      <c r="C142" s="34" t="s">
        <v>109</v>
      </c>
      <c r="D142" s="34"/>
      <c r="E142" s="34" t="s">
        <v>13</v>
      </c>
      <c r="F142" s="34" t="s">
        <v>25</v>
      </c>
      <c r="G142" s="34" t="s">
        <v>15</v>
      </c>
      <c r="H142" s="34"/>
      <c r="I142" s="34"/>
    </row>
    <row r="143" spans="1:9">
      <c r="A143" s="34" t="s">
        <v>124</v>
      </c>
      <c r="B143" s="35">
        <v>5.6068700000000005E-7</v>
      </c>
      <c r="C143" s="34" t="s">
        <v>109</v>
      </c>
      <c r="D143" s="34"/>
      <c r="E143" s="34" t="s">
        <v>13</v>
      </c>
      <c r="F143" s="34" t="s">
        <v>25</v>
      </c>
      <c r="G143" s="34" t="s">
        <v>15</v>
      </c>
      <c r="H143" s="34"/>
      <c r="I143" s="34"/>
    </row>
    <row r="144" spans="1:9">
      <c r="A144" s="34" t="s">
        <v>125</v>
      </c>
      <c r="B144" s="35">
        <v>1.5418699999999999E-5</v>
      </c>
      <c r="C144" s="34" t="s">
        <v>109</v>
      </c>
      <c r="D144" s="34"/>
      <c r="E144" s="34" t="s">
        <v>13</v>
      </c>
      <c r="F144" s="34" t="s">
        <v>25</v>
      </c>
      <c r="G144" s="34" t="s">
        <v>15</v>
      </c>
      <c r="H144" s="34"/>
      <c r="I144" s="34"/>
    </row>
    <row r="145" spans="1:9">
      <c r="A145" s="34" t="s">
        <v>126</v>
      </c>
      <c r="B145" s="35">
        <v>5.6068700000000001E-6</v>
      </c>
      <c r="C145" s="34" t="s">
        <v>109</v>
      </c>
      <c r="D145" s="34"/>
      <c r="E145" s="34" t="s">
        <v>13</v>
      </c>
      <c r="F145" s="34" t="s">
        <v>25</v>
      </c>
      <c r="G145" s="34" t="s">
        <v>15</v>
      </c>
      <c r="H145" s="34"/>
      <c r="I145" s="34"/>
    </row>
    <row r="146" spans="1:9">
      <c r="A146" s="34" t="s">
        <v>127</v>
      </c>
      <c r="B146" s="34">
        <v>0.38033800800000001</v>
      </c>
      <c r="C146" s="34" t="s">
        <v>109</v>
      </c>
      <c r="D146" s="34"/>
      <c r="E146" s="34" t="s">
        <v>128</v>
      </c>
      <c r="F146" s="34" t="s">
        <v>129</v>
      </c>
      <c r="G146" s="34" t="s">
        <v>15</v>
      </c>
      <c r="H146" s="34"/>
      <c r="I146" s="34"/>
    </row>
    <row r="147" spans="1:9">
      <c r="A147" s="34" t="s">
        <v>130</v>
      </c>
      <c r="B147" s="34">
        <v>0.36940000000000001</v>
      </c>
      <c r="C147" s="34" t="s">
        <v>109</v>
      </c>
      <c r="D147" s="34"/>
      <c r="E147" s="34" t="s">
        <v>128</v>
      </c>
      <c r="F147" s="34" t="s">
        <v>131</v>
      </c>
      <c r="G147" s="34" t="s">
        <v>15</v>
      </c>
      <c r="H147" s="34"/>
      <c r="I147" s="34"/>
    </row>
    <row r="148" spans="1:9">
      <c r="A148" s="34" t="s">
        <v>130</v>
      </c>
      <c r="B148" s="34">
        <v>1.0999999999999999E-2</v>
      </c>
      <c r="C148" s="34" t="s">
        <v>109</v>
      </c>
      <c r="D148" s="34"/>
      <c r="E148" s="34" t="s">
        <v>128</v>
      </c>
      <c r="F148" s="34" t="s">
        <v>25</v>
      </c>
      <c r="G148" s="34" t="s">
        <v>15</v>
      </c>
      <c r="H148" s="34"/>
      <c r="I148" s="34" t="s">
        <v>164</v>
      </c>
    </row>
    <row r="149" spans="1:9">
      <c r="A149" s="34" t="s">
        <v>165</v>
      </c>
      <c r="B149" s="34">
        <v>6.1611670199999997</v>
      </c>
      <c r="C149" s="34" t="s">
        <v>166</v>
      </c>
      <c r="D149" s="34" t="s">
        <v>49</v>
      </c>
      <c r="E149" s="34" t="s">
        <v>13</v>
      </c>
      <c r="F149" s="34"/>
      <c r="G149" s="34" t="s">
        <v>12</v>
      </c>
      <c r="H149" s="34" t="s">
        <v>165</v>
      </c>
      <c r="I149" s="34"/>
    </row>
    <row r="150" spans="1:9">
      <c r="A150" s="34" t="s">
        <v>133</v>
      </c>
      <c r="B150" s="35">
        <v>5.3477100000000001E-10</v>
      </c>
      <c r="C150" s="34" t="s">
        <v>166</v>
      </c>
      <c r="D150" s="34" t="s">
        <v>49</v>
      </c>
      <c r="E150" s="34" t="s">
        <v>6</v>
      </c>
      <c r="F150" s="34"/>
      <c r="G150" s="34" t="s">
        <v>12</v>
      </c>
      <c r="H150" s="34" t="s">
        <v>135</v>
      </c>
      <c r="I150" s="34"/>
    </row>
    <row r="151" spans="1:9">
      <c r="A151" s="34" t="s">
        <v>136</v>
      </c>
      <c r="B151" s="34">
        <v>5.32728E-4</v>
      </c>
      <c r="C151" s="34" t="s">
        <v>166</v>
      </c>
      <c r="D151" s="34" t="s">
        <v>137</v>
      </c>
      <c r="E151" s="34" t="s">
        <v>13</v>
      </c>
      <c r="F151" s="34"/>
      <c r="G151" s="34" t="s">
        <v>12</v>
      </c>
      <c r="H151" s="34" t="s">
        <v>138</v>
      </c>
      <c r="I151" s="34"/>
    </row>
    <row r="152" spans="1:9">
      <c r="A152" s="34" t="s">
        <v>139</v>
      </c>
      <c r="B152" s="34">
        <v>3.6000000000000001E-5</v>
      </c>
      <c r="C152" s="34" t="s">
        <v>166</v>
      </c>
      <c r="D152" s="34" t="s">
        <v>140</v>
      </c>
      <c r="E152" s="34" t="s">
        <v>13</v>
      </c>
      <c r="F152" s="34"/>
      <c r="G152" s="34" t="s">
        <v>12</v>
      </c>
      <c r="H152" s="34" t="s">
        <v>141</v>
      </c>
      <c r="I152" s="34"/>
    </row>
    <row r="153" spans="1:9">
      <c r="A153" s="34" t="s">
        <v>142</v>
      </c>
      <c r="B153" s="34">
        <v>3.6240000000000003E-4</v>
      </c>
      <c r="C153" s="34" t="s">
        <v>166</v>
      </c>
      <c r="D153" s="34" t="s">
        <v>140</v>
      </c>
      <c r="E153" s="34" t="s">
        <v>13</v>
      </c>
      <c r="F153" s="34"/>
      <c r="G153" s="34" t="s">
        <v>12</v>
      </c>
      <c r="H153" s="34" t="s">
        <v>143</v>
      </c>
      <c r="I153" s="34"/>
    </row>
    <row r="154" spans="1:9">
      <c r="A154" s="34" t="s">
        <v>167</v>
      </c>
      <c r="B154" s="34">
        <v>2.0948000000000001E-4</v>
      </c>
      <c r="C154" s="34" t="s">
        <v>166</v>
      </c>
      <c r="D154" s="34" t="s">
        <v>140</v>
      </c>
      <c r="E154" s="34" t="s">
        <v>13</v>
      </c>
      <c r="F154" s="34"/>
      <c r="G154" s="34" t="s">
        <v>12</v>
      </c>
      <c r="H154" s="34" t="s">
        <v>168</v>
      </c>
      <c r="I154" s="34"/>
    </row>
    <row r="155" spans="1:9">
      <c r="A155" s="34" t="s">
        <v>144</v>
      </c>
      <c r="B155" s="35">
        <v>2.54628E-9</v>
      </c>
      <c r="C155" s="34" t="s">
        <v>166</v>
      </c>
      <c r="D155" s="34" t="s">
        <v>140</v>
      </c>
      <c r="E155" s="34" t="s">
        <v>6</v>
      </c>
      <c r="F155" s="34"/>
      <c r="G155" s="34" t="s">
        <v>12</v>
      </c>
      <c r="H155" s="34" t="s">
        <v>145</v>
      </c>
      <c r="I155" s="34"/>
    </row>
    <row r="156" spans="1:9">
      <c r="A156" s="34" t="s">
        <v>146</v>
      </c>
      <c r="B156" s="34">
        <v>2.796E-5</v>
      </c>
      <c r="C156" s="34" t="s">
        <v>166</v>
      </c>
      <c r="D156" s="34" t="s">
        <v>140</v>
      </c>
      <c r="E156" s="34" t="s">
        <v>13</v>
      </c>
      <c r="F156" s="34"/>
      <c r="G156" s="34" t="s">
        <v>12</v>
      </c>
      <c r="H156" s="34" t="s">
        <v>147</v>
      </c>
      <c r="I156" s="34"/>
    </row>
    <row r="157" spans="1:9">
      <c r="A157" s="34" t="s">
        <v>148</v>
      </c>
      <c r="B157" s="34">
        <v>1.668E-5</v>
      </c>
      <c r="C157" s="34" t="s">
        <v>166</v>
      </c>
      <c r="D157" s="34" t="s">
        <v>140</v>
      </c>
      <c r="E157" s="34" t="s">
        <v>13</v>
      </c>
      <c r="F157" s="34"/>
      <c r="G157" s="34" t="s">
        <v>12</v>
      </c>
      <c r="H157" s="34" t="s">
        <v>149</v>
      </c>
      <c r="I157" s="34"/>
    </row>
    <row r="158" spans="1:9">
      <c r="A158" s="34" t="s">
        <v>150</v>
      </c>
      <c r="B158" s="34">
        <v>2.0291999999999999E-4</v>
      </c>
      <c r="C158" s="34" t="s">
        <v>166</v>
      </c>
      <c r="D158" s="34" t="s">
        <v>140</v>
      </c>
      <c r="E158" s="34" t="s">
        <v>13</v>
      </c>
      <c r="F158" s="34"/>
      <c r="G158" s="34" t="s">
        <v>12</v>
      </c>
      <c r="H158" s="34" t="s">
        <v>151</v>
      </c>
      <c r="I158" s="34"/>
    </row>
    <row r="159" spans="1:9">
      <c r="A159" s="34" t="s">
        <v>152</v>
      </c>
      <c r="B159" s="34">
        <v>3.1236000000000002E-4</v>
      </c>
      <c r="C159" s="34" t="s">
        <v>166</v>
      </c>
      <c r="D159" s="34" t="s">
        <v>140</v>
      </c>
      <c r="E159" s="34" t="s">
        <v>13</v>
      </c>
      <c r="F159" s="34"/>
      <c r="G159" s="34" t="s">
        <v>12</v>
      </c>
      <c r="H159" s="34" t="s">
        <v>153</v>
      </c>
      <c r="I159" s="34"/>
    </row>
    <row r="160" spans="1:9">
      <c r="A160" s="34" t="s">
        <v>154</v>
      </c>
      <c r="B160" s="34">
        <v>4.8000000000000001E-5</v>
      </c>
      <c r="C160" s="34" t="s">
        <v>166</v>
      </c>
      <c r="D160" s="34" t="s">
        <v>49</v>
      </c>
      <c r="E160" s="34" t="s">
        <v>13</v>
      </c>
      <c r="F160" s="34"/>
      <c r="G160" s="34" t="s">
        <v>12</v>
      </c>
      <c r="H160" s="34" t="s">
        <v>155</v>
      </c>
      <c r="I160" s="34"/>
    </row>
    <row r="161" spans="1:9">
      <c r="A161" s="34" t="s">
        <v>156</v>
      </c>
      <c r="B161" s="34">
        <v>1.1592E-5</v>
      </c>
      <c r="C161" s="34" t="s">
        <v>166</v>
      </c>
      <c r="D161" s="34" t="s">
        <v>140</v>
      </c>
      <c r="E161" s="34" t="s">
        <v>13</v>
      </c>
      <c r="F161" s="34"/>
      <c r="G161" s="34" t="s">
        <v>12</v>
      </c>
      <c r="H161" s="34" t="s">
        <v>157</v>
      </c>
      <c r="I161" s="34"/>
    </row>
    <row r="162" spans="1:9">
      <c r="A162" s="34" t="s">
        <v>21</v>
      </c>
      <c r="B162" s="34">
        <v>7.5375498600000004</v>
      </c>
      <c r="C162" s="34" t="s">
        <v>166</v>
      </c>
      <c r="D162" s="34" t="s">
        <v>22</v>
      </c>
      <c r="E162" s="34" t="s">
        <v>13</v>
      </c>
      <c r="F162" s="34"/>
      <c r="G162" s="34" t="s">
        <v>12</v>
      </c>
      <c r="H162" s="34" t="s">
        <v>23</v>
      </c>
      <c r="I162" s="34"/>
    </row>
    <row r="163" spans="1:9">
      <c r="A163" s="34" t="s">
        <v>158</v>
      </c>
      <c r="B163" s="34">
        <v>8.8290199999999997E-4</v>
      </c>
      <c r="C163" s="34" t="s">
        <v>166</v>
      </c>
      <c r="D163" s="34" t="s">
        <v>140</v>
      </c>
      <c r="E163" s="34" t="s">
        <v>13</v>
      </c>
      <c r="F163" s="34"/>
      <c r="G163" s="34" t="s">
        <v>12</v>
      </c>
      <c r="H163" s="34" t="s">
        <v>159</v>
      </c>
      <c r="I163" s="34"/>
    </row>
    <row r="164" spans="1:9">
      <c r="A164" s="34" t="s">
        <v>160</v>
      </c>
      <c r="B164" s="34">
        <v>3.7139999999999997E-4</v>
      </c>
      <c r="C164" s="34" t="s">
        <v>166</v>
      </c>
      <c r="D164" s="34" t="s">
        <v>140</v>
      </c>
      <c r="E164" s="34" t="s">
        <v>13</v>
      </c>
      <c r="F164" s="34"/>
      <c r="G164" s="34" t="s">
        <v>12</v>
      </c>
      <c r="H164" s="34" t="s">
        <v>161</v>
      </c>
      <c r="I164" s="34"/>
    </row>
    <row r="165" spans="1:9">
      <c r="A165" s="34" t="s">
        <v>98</v>
      </c>
      <c r="B165" s="34">
        <v>0</v>
      </c>
      <c r="C165" s="34" t="s">
        <v>166</v>
      </c>
      <c r="D165" s="34" t="s">
        <v>29</v>
      </c>
      <c r="E165" s="34" t="s">
        <v>19</v>
      </c>
      <c r="F165" s="34"/>
      <c r="G165" s="34" t="s">
        <v>12</v>
      </c>
      <c r="H165" s="34" t="s">
        <v>31</v>
      </c>
      <c r="I165" s="34"/>
    </row>
    <row r="166" spans="1:9">
      <c r="A166" s="36" t="s">
        <v>482</v>
      </c>
      <c r="B166" s="34">
        <v>4.3011681309999998</v>
      </c>
      <c r="C166" s="34" t="s">
        <v>166</v>
      </c>
      <c r="D166" s="34" t="s">
        <v>29</v>
      </c>
      <c r="E166" s="34" t="s">
        <v>128</v>
      </c>
      <c r="F166" s="34"/>
      <c r="G166" s="34" t="s">
        <v>12</v>
      </c>
      <c r="H166" s="34" t="s">
        <v>162</v>
      </c>
      <c r="I166" s="34"/>
    </row>
    <row r="167" spans="1:9">
      <c r="A167" s="34"/>
      <c r="B167" s="34"/>
      <c r="C167" s="34"/>
      <c r="D167" s="34"/>
      <c r="E167" s="34"/>
      <c r="F167" s="34"/>
      <c r="G167" s="34"/>
      <c r="H167" s="34"/>
      <c r="I167" s="34"/>
    </row>
    <row r="168" spans="1:9" ht="15.75">
      <c r="A168" s="29" t="s">
        <v>1</v>
      </c>
      <c r="B168" s="29" t="s">
        <v>254</v>
      </c>
    </row>
    <row r="169" spans="1:9">
      <c r="A169" t="s">
        <v>2</v>
      </c>
      <c r="B169" t="s">
        <v>29</v>
      </c>
    </row>
    <row r="170" spans="1:9">
      <c r="A170" t="s">
        <v>11</v>
      </c>
      <c r="B170" t="s">
        <v>255</v>
      </c>
    </row>
    <row r="171" spans="1:9">
      <c r="A171" t="s">
        <v>3</v>
      </c>
      <c r="B171">
        <v>1</v>
      </c>
    </row>
    <row r="172" spans="1:9">
      <c r="A172" t="s">
        <v>76</v>
      </c>
      <c r="B172"/>
    </row>
    <row r="173" spans="1:9">
      <c r="A173" t="s">
        <v>4</v>
      </c>
      <c r="B173" t="s">
        <v>256</v>
      </c>
    </row>
    <row r="174" spans="1:9">
      <c r="A174" t="s">
        <v>5</v>
      </c>
      <c r="B174" t="s">
        <v>78</v>
      </c>
    </row>
    <row r="175" spans="1:9">
      <c r="A175" t="s">
        <v>6</v>
      </c>
      <c r="B175" s="34" t="s">
        <v>13</v>
      </c>
    </row>
    <row r="176" spans="1:9" ht="15.75">
      <c r="A176" s="29" t="s">
        <v>7</v>
      </c>
      <c r="B176"/>
    </row>
    <row r="177" spans="1:34" ht="15.75">
      <c r="A177" s="29" t="s">
        <v>8</v>
      </c>
      <c r="B177" s="29" t="s">
        <v>9</v>
      </c>
      <c r="C177" s="29" t="s">
        <v>2</v>
      </c>
      <c r="D177" s="29" t="s">
        <v>6</v>
      </c>
      <c r="E177" s="29" t="s">
        <v>10</v>
      </c>
      <c r="F177" s="29" t="s">
        <v>5</v>
      </c>
      <c r="G177" s="29" t="s">
        <v>4</v>
      </c>
      <c r="H177" s="29" t="s">
        <v>11</v>
      </c>
    </row>
    <row r="178" spans="1:34">
      <c r="A178" t="str">
        <f>B168</f>
        <v>empty activity, for market that does not exist any more in 2050, Tr2050</v>
      </c>
      <c r="B178">
        <v>1</v>
      </c>
      <c r="C178" t="s">
        <v>29</v>
      </c>
      <c r="D178" t="str">
        <f>B175</f>
        <v>kilogram</v>
      </c>
      <c r="F178" t="s">
        <v>18</v>
      </c>
      <c r="G178" t="str">
        <f>B173</f>
        <v>nothing</v>
      </c>
    </row>
    <row r="179" spans="1:34" s="69" customFormat="1">
      <c r="A179" s="67"/>
      <c r="B179" s="67"/>
      <c r="C179" s="68"/>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c r="AB179" s="67"/>
      <c r="AC179" s="67"/>
      <c r="AD179" s="67"/>
      <c r="AE179" s="67"/>
      <c r="AF179" s="67"/>
      <c r="AG179" s="67"/>
      <c r="AH179" s="67"/>
    </row>
    <row r="180" spans="1:34">
      <c r="A180" s="39" t="s">
        <v>1</v>
      </c>
      <c r="B180" s="39" t="s">
        <v>194</v>
      </c>
      <c r="C180" s="40"/>
      <c r="D180" s="41"/>
      <c r="E180" s="41"/>
      <c r="F180" s="41"/>
      <c r="G180" s="41"/>
      <c r="H180" s="41"/>
      <c r="I180" s="41"/>
      <c r="J180" s="41"/>
      <c r="K180" s="41"/>
      <c r="L180" s="41"/>
      <c r="M180" s="41"/>
      <c r="N180" s="41"/>
      <c r="O180" s="41"/>
      <c r="P180" s="41"/>
      <c r="Q180" s="41"/>
      <c r="R180" s="41"/>
      <c r="S180" s="41"/>
      <c r="T180" s="41"/>
      <c r="U180" s="41"/>
      <c r="V180" s="41"/>
      <c r="W180" s="41"/>
      <c r="X180" s="41"/>
      <c r="Y180" s="41"/>
      <c r="Z180" s="41"/>
      <c r="AA180" s="41"/>
      <c r="AB180" s="41"/>
      <c r="AC180" s="41"/>
      <c r="AD180" s="41"/>
      <c r="AE180" s="41"/>
      <c r="AF180" s="41"/>
      <c r="AG180" s="41"/>
      <c r="AH180" s="41"/>
    </row>
    <row r="181" spans="1:34">
      <c r="A181" s="39" t="s">
        <v>11</v>
      </c>
      <c r="B181" s="41" t="s">
        <v>437</v>
      </c>
      <c r="C181" s="40"/>
      <c r="D181" s="41"/>
      <c r="E181" s="41"/>
      <c r="F181" s="41"/>
      <c r="G181" s="41"/>
      <c r="H181" s="41"/>
      <c r="I181" s="41"/>
      <c r="J181" s="41"/>
      <c r="K181" s="41"/>
      <c r="L181" s="41"/>
      <c r="M181" s="41"/>
      <c r="N181" s="41"/>
      <c r="O181" s="41"/>
      <c r="P181" s="41"/>
      <c r="Q181" s="41"/>
      <c r="R181" s="41"/>
      <c r="S181" s="41"/>
      <c r="T181" s="41"/>
      <c r="U181" s="41"/>
      <c r="V181" s="41"/>
      <c r="W181" s="41"/>
      <c r="X181" s="41"/>
      <c r="Y181" s="41"/>
      <c r="Z181" s="41"/>
      <c r="AA181" s="41"/>
      <c r="AB181" s="41"/>
      <c r="AC181" s="41"/>
      <c r="AD181" s="41"/>
      <c r="AE181" s="41"/>
      <c r="AF181" s="41"/>
      <c r="AG181" s="41"/>
      <c r="AH181" s="41"/>
    </row>
    <row r="182" spans="1:34">
      <c r="A182" s="39" t="s">
        <v>2</v>
      </c>
      <c r="B182" s="41" t="s">
        <v>29</v>
      </c>
      <c r="C182" s="40"/>
      <c r="D182" s="41"/>
      <c r="E182" s="41"/>
      <c r="F182" s="41"/>
      <c r="G182" s="41"/>
      <c r="H182" s="41"/>
      <c r="I182" s="41"/>
      <c r="J182" s="41"/>
      <c r="K182" s="41"/>
      <c r="L182" s="41"/>
      <c r="M182" s="41"/>
      <c r="N182" s="41"/>
      <c r="O182" s="41"/>
      <c r="P182" s="41"/>
      <c r="Q182" s="41"/>
      <c r="R182" s="41"/>
      <c r="S182" s="41"/>
      <c r="T182" s="41"/>
      <c r="U182" s="41"/>
      <c r="V182" s="41"/>
      <c r="W182" s="41"/>
      <c r="X182" s="41"/>
      <c r="Y182" s="41"/>
      <c r="Z182" s="41"/>
      <c r="AA182" s="41"/>
      <c r="AB182" s="41"/>
      <c r="AC182" s="41"/>
      <c r="AD182" s="41"/>
      <c r="AE182" s="41"/>
      <c r="AF182" s="41"/>
      <c r="AG182" s="41"/>
      <c r="AH182" s="41"/>
    </row>
    <row r="183" spans="1:34">
      <c r="A183" s="42" t="s">
        <v>4</v>
      </c>
      <c r="B183" s="41" t="s">
        <v>195</v>
      </c>
      <c r="C183" s="40"/>
      <c r="D183" s="41"/>
      <c r="E183" s="41"/>
      <c r="F183" s="41"/>
      <c r="G183" s="41"/>
      <c r="H183" s="41"/>
      <c r="I183" s="41"/>
      <c r="J183" s="41"/>
      <c r="K183" s="41"/>
      <c r="L183" s="41"/>
      <c r="M183" s="41"/>
      <c r="N183" s="41"/>
      <c r="O183" s="41"/>
      <c r="P183" s="41"/>
      <c r="Q183" s="41"/>
      <c r="R183" s="41"/>
      <c r="S183" s="41"/>
      <c r="T183" s="41"/>
      <c r="U183" s="41"/>
      <c r="V183" s="41"/>
      <c r="W183" s="41"/>
      <c r="X183" s="41"/>
      <c r="Y183" s="41"/>
      <c r="Z183" s="41"/>
      <c r="AA183" s="41"/>
      <c r="AB183" s="41"/>
      <c r="AC183" s="41"/>
      <c r="AD183" s="41"/>
      <c r="AE183" s="41"/>
      <c r="AF183" s="41"/>
      <c r="AG183" s="41"/>
      <c r="AH183" s="41"/>
    </row>
    <row r="184" spans="1:34">
      <c r="A184" s="39" t="s">
        <v>3</v>
      </c>
      <c r="B184" s="43">
        <v>1</v>
      </c>
      <c r="C184" s="40"/>
      <c r="D184" s="46"/>
      <c r="E184" s="41"/>
      <c r="F184" s="41"/>
      <c r="G184" s="41"/>
      <c r="H184" s="41"/>
      <c r="I184" s="41"/>
      <c r="J184" s="41"/>
      <c r="K184" s="41"/>
      <c r="L184" s="41"/>
      <c r="M184" s="41"/>
      <c r="N184" s="41"/>
      <c r="O184" s="41"/>
      <c r="P184" s="41"/>
      <c r="Q184" s="41"/>
      <c r="R184" s="41"/>
      <c r="S184" s="41"/>
      <c r="T184" s="41"/>
      <c r="U184" s="41"/>
      <c r="V184" s="41"/>
      <c r="W184" s="41"/>
      <c r="X184" s="41"/>
      <c r="Y184" s="41"/>
      <c r="Z184" s="41"/>
      <c r="AA184" s="41"/>
      <c r="AB184" s="41"/>
      <c r="AC184" s="41"/>
      <c r="AD184" s="41"/>
      <c r="AE184" s="41"/>
      <c r="AF184" s="41"/>
      <c r="AG184" s="41"/>
      <c r="AH184" s="41"/>
    </row>
    <row r="185" spans="1:34">
      <c r="A185" s="39" t="s">
        <v>6</v>
      </c>
      <c r="B185" s="41" t="s">
        <v>128</v>
      </c>
      <c r="C185" s="40"/>
      <c r="D185" s="44"/>
      <c r="E185" s="41"/>
      <c r="F185" s="41"/>
      <c r="G185" s="41"/>
      <c r="H185" s="41"/>
      <c r="I185" s="41"/>
      <c r="J185" s="41"/>
      <c r="K185" s="41"/>
      <c r="L185" s="41"/>
      <c r="M185" s="41"/>
      <c r="N185" s="41"/>
      <c r="O185" s="41"/>
      <c r="P185" s="41"/>
      <c r="Q185" s="41"/>
      <c r="R185" s="41"/>
      <c r="S185" s="41"/>
      <c r="T185" s="41"/>
      <c r="U185" s="41"/>
      <c r="V185" s="41"/>
      <c r="W185" s="41"/>
      <c r="X185" s="41"/>
      <c r="Y185" s="41"/>
      <c r="Z185" s="41"/>
      <c r="AA185" s="41"/>
      <c r="AB185" s="41"/>
      <c r="AC185" s="41"/>
      <c r="AD185" s="41"/>
      <c r="AE185" s="41"/>
      <c r="AF185" s="41"/>
      <c r="AG185" s="41"/>
      <c r="AH185" s="41"/>
    </row>
    <row r="186" spans="1:34">
      <c r="A186" s="39" t="s">
        <v>76</v>
      </c>
      <c r="B186" s="41"/>
      <c r="C186" s="40"/>
      <c r="D186" s="44"/>
      <c r="E186" s="41"/>
      <c r="F186" s="41"/>
      <c r="G186" s="41"/>
      <c r="H186" s="41"/>
      <c r="I186" s="41"/>
      <c r="J186" s="41"/>
      <c r="K186" s="41"/>
      <c r="L186" s="41"/>
      <c r="M186" s="41"/>
      <c r="N186" s="41"/>
      <c r="O186" s="41"/>
      <c r="P186" s="41"/>
      <c r="Q186" s="41"/>
      <c r="R186" s="41"/>
      <c r="S186" s="41"/>
      <c r="T186" s="41"/>
      <c r="U186" s="41"/>
      <c r="V186" s="41"/>
      <c r="W186" s="41"/>
      <c r="X186" s="41"/>
      <c r="Y186" s="41"/>
      <c r="Z186" s="41"/>
      <c r="AA186" s="41"/>
      <c r="AB186" s="41"/>
      <c r="AC186" s="41"/>
      <c r="AD186" s="41"/>
      <c r="AE186" s="41"/>
      <c r="AF186" s="41"/>
      <c r="AG186" s="41"/>
      <c r="AH186" s="41"/>
    </row>
    <row r="187" spans="1:34">
      <c r="A187" s="39" t="s">
        <v>7</v>
      </c>
      <c r="B187" s="41"/>
      <c r="C187" s="40"/>
      <c r="D187" s="41"/>
      <c r="E187" s="41"/>
      <c r="F187" s="41"/>
      <c r="G187" s="41"/>
      <c r="H187" s="41"/>
      <c r="I187" s="41"/>
      <c r="J187" s="41"/>
      <c r="K187" s="41"/>
      <c r="L187" s="41"/>
      <c r="M187" s="41"/>
      <c r="N187" s="41"/>
      <c r="O187" s="41"/>
      <c r="P187" s="41"/>
      <c r="Q187" s="41"/>
      <c r="R187" s="41"/>
      <c r="S187" s="41"/>
      <c r="T187" s="41"/>
      <c r="U187" s="41"/>
      <c r="V187" s="41"/>
      <c r="W187" s="41"/>
      <c r="X187" s="41"/>
      <c r="Y187" s="41"/>
      <c r="Z187" s="41"/>
      <c r="AA187" s="41"/>
      <c r="AB187" s="41"/>
      <c r="AC187" s="41"/>
      <c r="AD187" s="41"/>
      <c r="AE187" s="41"/>
      <c r="AF187" s="41"/>
      <c r="AG187" s="41"/>
      <c r="AH187" s="41"/>
    </row>
    <row r="188" spans="1:34">
      <c r="A188" s="39" t="s">
        <v>8</v>
      </c>
      <c r="B188" s="39" t="s">
        <v>4</v>
      </c>
      <c r="C188" s="45" t="s">
        <v>9</v>
      </c>
      <c r="D188" s="39" t="s">
        <v>6</v>
      </c>
      <c r="E188" s="39" t="s">
        <v>106</v>
      </c>
      <c r="F188" s="39" t="s">
        <v>10</v>
      </c>
      <c r="G188" s="39" t="s">
        <v>2</v>
      </c>
      <c r="H188" s="39" t="s">
        <v>5</v>
      </c>
      <c r="I188" s="39" t="s">
        <v>11</v>
      </c>
      <c r="J188" s="41"/>
      <c r="K188" s="41"/>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row>
    <row r="189" spans="1:34">
      <c r="A189" s="46" t="s">
        <v>194</v>
      </c>
      <c r="B189" s="46" t="s">
        <v>195</v>
      </c>
      <c r="C189" s="47">
        <v>1</v>
      </c>
      <c r="D189" s="41" t="s">
        <v>128</v>
      </c>
      <c r="E189" s="46" t="s">
        <v>196</v>
      </c>
      <c r="F189" s="46"/>
      <c r="G189" s="46" t="s">
        <v>29</v>
      </c>
      <c r="H189" s="46" t="s">
        <v>18</v>
      </c>
      <c r="I189" s="46"/>
      <c r="J189" s="46"/>
      <c r="K189" s="46"/>
      <c r="L189" s="41"/>
      <c r="M189" s="41"/>
      <c r="N189" s="41"/>
      <c r="O189" s="41"/>
      <c r="P189" s="41"/>
      <c r="Q189" s="41"/>
      <c r="R189" s="41"/>
      <c r="S189" s="41"/>
      <c r="T189" s="41"/>
      <c r="U189" s="41"/>
      <c r="V189" s="41"/>
      <c r="W189" s="41"/>
      <c r="X189" s="41"/>
      <c r="Y189" s="41"/>
      <c r="Z189" s="41"/>
      <c r="AA189" s="41"/>
      <c r="AB189" s="41"/>
      <c r="AC189" s="41"/>
      <c r="AD189" s="41"/>
      <c r="AE189" s="41"/>
      <c r="AF189" s="41"/>
      <c r="AG189" s="41"/>
      <c r="AH189" s="41"/>
    </row>
    <row r="190" spans="1:34">
      <c r="A190" s="46" t="s">
        <v>274</v>
      </c>
      <c r="B190" s="46" t="s">
        <v>275</v>
      </c>
      <c r="C190" s="47">
        <v>0</v>
      </c>
      <c r="D190" s="41" t="s">
        <v>13</v>
      </c>
      <c r="E190" s="46" t="s">
        <v>205</v>
      </c>
      <c r="F190" s="46"/>
      <c r="G190" s="46" t="s">
        <v>29</v>
      </c>
      <c r="H190" s="46" t="s">
        <v>12</v>
      </c>
      <c r="I190" s="46"/>
      <c r="J190" s="46"/>
      <c r="K190" s="46"/>
      <c r="L190" s="41"/>
      <c r="M190" s="41"/>
      <c r="N190" s="41"/>
      <c r="O190" s="41"/>
      <c r="P190" s="41"/>
      <c r="Q190" s="41"/>
      <c r="R190" s="41"/>
      <c r="S190" s="41"/>
      <c r="T190" s="41"/>
      <c r="U190" s="41"/>
      <c r="V190" s="41"/>
      <c r="W190" s="41"/>
      <c r="X190" s="41"/>
      <c r="Y190" s="41"/>
      <c r="Z190" s="41"/>
      <c r="AA190" s="41"/>
      <c r="AB190" s="41"/>
      <c r="AC190" s="41"/>
      <c r="AD190" s="41"/>
      <c r="AE190" s="41"/>
      <c r="AF190" s="41"/>
      <c r="AG190" s="41"/>
      <c r="AH190" s="41"/>
    </row>
    <row r="191" spans="1:34">
      <c r="A191" s="46" t="s">
        <v>28</v>
      </c>
      <c r="B191" s="46" t="s">
        <v>20</v>
      </c>
      <c r="C191" s="47">
        <v>0</v>
      </c>
      <c r="D191" s="41" t="s">
        <v>19</v>
      </c>
      <c r="E191" s="46" t="s">
        <v>205</v>
      </c>
      <c r="F191" s="46"/>
      <c r="G191" s="46" t="s">
        <v>29</v>
      </c>
      <c r="H191" s="46" t="s">
        <v>12</v>
      </c>
      <c r="I191" s="46"/>
      <c r="J191" s="46"/>
      <c r="K191" s="46"/>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row>
    <row r="192" spans="1:34">
      <c r="A192" s="41" t="s">
        <v>206</v>
      </c>
      <c r="B192" s="46" t="s">
        <v>207</v>
      </c>
      <c r="C192" s="47">
        <v>0</v>
      </c>
      <c r="D192" s="41" t="s">
        <v>6</v>
      </c>
      <c r="E192" s="46" t="s">
        <v>205</v>
      </c>
      <c r="F192" s="46"/>
      <c r="G192" s="46" t="s">
        <v>208</v>
      </c>
      <c r="H192" s="46" t="s">
        <v>12</v>
      </c>
      <c r="I192" s="59"/>
      <c r="J192" s="46"/>
      <c r="K192" s="46"/>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row>
    <row r="193" spans="1:34">
      <c r="A193" s="46" t="s">
        <v>209</v>
      </c>
      <c r="B193" s="46" t="s">
        <v>210</v>
      </c>
      <c r="C193" s="47">
        <v>0</v>
      </c>
      <c r="D193" s="41" t="s">
        <v>6</v>
      </c>
      <c r="E193" s="46" t="s">
        <v>205</v>
      </c>
      <c r="F193" s="46"/>
      <c r="G193" s="46" t="s">
        <v>140</v>
      </c>
      <c r="H193" s="46" t="s">
        <v>12</v>
      </c>
      <c r="I193" s="41"/>
      <c r="J193" s="46"/>
      <c r="K193" s="46"/>
      <c r="L193" s="41"/>
      <c r="M193" s="41"/>
      <c r="N193" s="41"/>
      <c r="O193" s="41"/>
      <c r="P193" s="41"/>
      <c r="Q193" s="41"/>
      <c r="R193" s="41"/>
      <c r="S193" s="41"/>
      <c r="T193" s="41"/>
      <c r="U193" s="41"/>
      <c r="V193" s="41"/>
      <c r="W193" s="41"/>
      <c r="X193" s="41"/>
      <c r="Y193" s="41"/>
      <c r="Z193" s="41"/>
      <c r="AA193" s="41"/>
      <c r="AB193" s="41"/>
      <c r="AC193" s="41"/>
      <c r="AD193" s="41"/>
      <c r="AE193" s="41"/>
      <c r="AF193" s="41"/>
      <c r="AG193" s="41"/>
      <c r="AH193" s="41"/>
    </row>
    <row r="194" spans="1:34">
      <c r="A194" s="40" t="s">
        <v>197</v>
      </c>
      <c r="B194" s="41"/>
      <c r="C194" s="47">
        <v>2.2403011395943495</v>
      </c>
      <c r="D194" s="41" t="s">
        <v>13</v>
      </c>
      <c r="E194" s="41" t="s">
        <v>109</v>
      </c>
      <c r="F194" s="41" t="s">
        <v>198</v>
      </c>
      <c r="G194" s="41"/>
      <c r="H194" s="41" t="s">
        <v>15</v>
      </c>
      <c r="I194" s="41" t="s">
        <v>211</v>
      </c>
      <c r="J194" s="41"/>
      <c r="K194" s="41"/>
      <c r="L194" s="41"/>
      <c r="M194" s="41"/>
      <c r="N194" s="41"/>
      <c r="O194" s="41"/>
      <c r="P194" s="41"/>
      <c r="Q194" s="41"/>
      <c r="R194" s="41"/>
      <c r="S194" s="41"/>
      <c r="T194" s="41"/>
      <c r="U194" s="41"/>
      <c r="V194" s="41"/>
      <c r="W194" s="41"/>
      <c r="X194" s="41"/>
      <c r="Y194" s="41"/>
      <c r="Z194" s="41"/>
      <c r="AA194" s="41"/>
      <c r="AB194" s="41"/>
      <c r="AC194" s="41"/>
      <c r="AD194" s="41"/>
      <c r="AE194" s="41"/>
      <c r="AF194" s="41"/>
      <c r="AG194" s="41"/>
      <c r="AH194" s="41"/>
    </row>
    <row r="195" spans="1:34">
      <c r="A195" s="46" t="s">
        <v>212</v>
      </c>
      <c r="B195" s="46"/>
      <c r="C195" s="47">
        <v>0</v>
      </c>
      <c r="D195" s="41" t="s">
        <v>13</v>
      </c>
      <c r="E195" s="41" t="s">
        <v>109</v>
      </c>
      <c r="F195" s="46" t="s">
        <v>183</v>
      </c>
      <c r="G195" s="46"/>
      <c r="H195" s="41" t="s">
        <v>15</v>
      </c>
      <c r="I195" s="41" t="s">
        <v>213</v>
      </c>
      <c r="J195" s="46"/>
      <c r="K195" s="46"/>
      <c r="L195" s="41"/>
      <c r="M195" s="41"/>
      <c r="N195" s="41"/>
      <c r="O195" s="41"/>
      <c r="P195" s="41"/>
      <c r="Q195" s="41"/>
      <c r="R195" s="41"/>
      <c r="S195" s="41"/>
      <c r="T195" s="41"/>
      <c r="U195" s="41"/>
      <c r="V195" s="41"/>
      <c r="W195" s="41"/>
      <c r="X195" s="41"/>
      <c r="Y195" s="41"/>
      <c r="Z195" s="41"/>
      <c r="AA195" s="41"/>
      <c r="AB195" s="41"/>
      <c r="AC195" s="41"/>
      <c r="AD195" s="41"/>
      <c r="AE195" s="41"/>
      <c r="AF195" s="41"/>
      <c r="AG195" s="41"/>
      <c r="AH195" s="41"/>
    </row>
    <row r="196" spans="1:34">
      <c r="A196" s="46" t="s">
        <v>184</v>
      </c>
      <c r="B196" s="46"/>
      <c r="C196" s="47">
        <v>0</v>
      </c>
      <c r="D196" s="41" t="s">
        <v>13</v>
      </c>
      <c r="E196" s="41" t="s">
        <v>109</v>
      </c>
      <c r="F196" s="46" t="s">
        <v>183</v>
      </c>
      <c r="G196" s="46"/>
      <c r="H196" s="41" t="s">
        <v>15</v>
      </c>
      <c r="I196" s="41" t="s">
        <v>213</v>
      </c>
      <c r="J196" s="46"/>
      <c r="K196" s="46"/>
      <c r="L196" s="41"/>
      <c r="M196" s="41"/>
      <c r="N196" s="41"/>
      <c r="O196" s="41"/>
      <c r="P196" s="41"/>
      <c r="Q196" s="41"/>
      <c r="R196" s="41"/>
      <c r="S196" s="41"/>
      <c r="T196" s="41"/>
      <c r="U196" s="41"/>
      <c r="V196" s="41"/>
      <c r="W196" s="41"/>
      <c r="X196" s="41"/>
      <c r="Y196" s="41"/>
      <c r="Z196" s="41"/>
      <c r="AA196" s="41"/>
      <c r="AB196" s="41"/>
      <c r="AC196" s="41"/>
      <c r="AD196" s="41"/>
      <c r="AE196" s="41"/>
      <c r="AF196" s="41"/>
      <c r="AG196" s="41"/>
      <c r="AH196" s="41"/>
    </row>
    <row r="197" spans="1:34">
      <c r="A197" s="46" t="s">
        <v>214</v>
      </c>
      <c r="B197" s="46"/>
      <c r="C197" s="47">
        <v>0</v>
      </c>
      <c r="D197" s="41" t="s">
        <v>13</v>
      </c>
      <c r="E197" s="41" t="s">
        <v>109</v>
      </c>
      <c r="F197" s="46" t="s">
        <v>183</v>
      </c>
      <c r="G197" s="46"/>
      <c r="H197" s="41" t="s">
        <v>15</v>
      </c>
      <c r="I197" s="41" t="s">
        <v>215</v>
      </c>
      <c r="J197" s="46"/>
      <c r="K197" s="46"/>
      <c r="L197" s="41"/>
      <c r="M197" s="41"/>
      <c r="N197" s="41"/>
      <c r="O197" s="41"/>
      <c r="P197" s="41"/>
      <c r="Q197" s="41"/>
      <c r="R197" s="41"/>
      <c r="S197" s="41"/>
      <c r="T197" s="41"/>
      <c r="U197" s="41"/>
      <c r="V197" s="41"/>
      <c r="W197" s="41"/>
      <c r="X197" s="41"/>
      <c r="Y197" s="41"/>
      <c r="Z197" s="41"/>
      <c r="AA197" s="41"/>
      <c r="AB197" s="41"/>
      <c r="AC197" s="41"/>
      <c r="AD197" s="41"/>
      <c r="AE197" s="41"/>
      <c r="AF197" s="41"/>
      <c r="AG197" s="41"/>
      <c r="AH197" s="41"/>
    </row>
    <row r="198" spans="1:34">
      <c r="A198" s="46" t="s">
        <v>115</v>
      </c>
      <c r="B198" s="46"/>
      <c r="C198" s="47">
        <v>0</v>
      </c>
      <c r="D198" s="41" t="s">
        <v>13</v>
      </c>
      <c r="E198" s="41" t="s">
        <v>109</v>
      </c>
      <c r="F198" s="46" t="s">
        <v>183</v>
      </c>
      <c r="G198" s="46"/>
      <c r="H198" s="41" t="s">
        <v>15</v>
      </c>
      <c r="I198" s="41" t="s">
        <v>215</v>
      </c>
      <c r="J198" s="46"/>
      <c r="K198" s="46"/>
      <c r="L198" s="41"/>
      <c r="M198" s="41"/>
      <c r="N198" s="41"/>
      <c r="O198" s="41"/>
      <c r="P198" s="41"/>
      <c r="Q198" s="41"/>
      <c r="R198" s="41"/>
      <c r="S198" s="41"/>
      <c r="T198" s="41"/>
      <c r="U198" s="41"/>
      <c r="V198" s="41"/>
      <c r="W198" s="41"/>
      <c r="X198" s="41"/>
      <c r="Y198" s="41"/>
      <c r="Z198" s="41"/>
      <c r="AA198" s="41"/>
      <c r="AB198" s="41"/>
      <c r="AC198" s="41"/>
      <c r="AD198" s="41"/>
      <c r="AE198" s="41"/>
      <c r="AF198" s="41"/>
      <c r="AG198" s="41"/>
      <c r="AH198" s="41"/>
    </row>
    <row r="199" spans="1:34">
      <c r="A199" s="46" t="s">
        <v>119</v>
      </c>
      <c r="B199" s="46"/>
      <c r="C199" s="47">
        <v>0</v>
      </c>
      <c r="D199" s="41" t="s">
        <v>13</v>
      </c>
      <c r="E199" s="41" t="s">
        <v>109</v>
      </c>
      <c r="F199" s="46" t="s">
        <v>183</v>
      </c>
      <c r="G199" s="46"/>
      <c r="H199" s="41" t="s">
        <v>15</v>
      </c>
      <c r="I199" s="41" t="s">
        <v>215</v>
      </c>
      <c r="J199" s="46"/>
      <c r="K199" s="46"/>
      <c r="L199" s="41"/>
      <c r="M199" s="41"/>
      <c r="N199" s="41"/>
      <c r="O199" s="41"/>
      <c r="P199" s="41"/>
      <c r="Q199" s="41"/>
      <c r="R199" s="41"/>
      <c r="S199" s="41"/>
      <c r="T199" s="41"/>
      <c r="U199" s="41"/>
      <c r="V199" s="41"/>
      <c r="W199" s="41"/>
      <c r="X199" s="41"/>
      <c r="Y199" s="41"/>
      <c r="Z199" s="41"/>
      <c r="AA199" s="41"/>
      <c r="AB199" s="41"/>
      <c r="AC199" s="41"/>
      <c r="AD199" s="41"/>
      <c r="AE199" s="41"/>
      <c r="AF199" s="41"/>
      <c r="AG199" s="41"/>
      <c r="AH199" s="41"/>
    </row>
    <row r="200" spans="1:34">
      <c r="A200" s="46" t="s">
        <v>125</v>
      </c>
      <c r="B200" s="46"/>
      <c r="C200" s="47">
        <v>0</v>
      </c>
      <c r="D200" s="41" t="s">
        <v>13</v>
      </c>
      <c r="E200" s="41" t="s">
        <v>109</v>
      </c>
      <c r="F200" s="46" t="s">
        <v>183</v>
      </c>
      <c r="G200" s="46"/>
      <c r="H200" s="41" t="s">
        <v>15</v>
      </c>
      <c r="I200" s="41" t="s">
        <v>215</v>
      </c>
      <c r="J200" s="46"/>
      <c r="K200" s="46"/>
      <c r="L200" s="41"/>
      <c r="M200" s="41"/>
      <c r="N200" s="41"/>
      <c r="O200" s="41"/>
      <c r="P200" s="41"/>
      <c r="Q200" s="41"/>
      <c r="R200" s="41"/>
      <c r="S200" s="41"/>
      <c r="T200" s="41"/>
      <c r="U200" s="41"/>
      <c r="V200" s="41"/>
      <c r="W200" s="41"/>
      <c r="X200" s="41"/>
      <c r="Y200" s="41"/>
      <c r="Z200" s="41"/>
      <c r="AA200" s="41"/>
      <c r="AB200" s="41"/>
      <c r="AC200" s="41"/>
      <c r="AD200" s="41"/>
      <c r="AE200" s="41"/>
      <c r="AF200" s="41"/>
      <c r="AG200" s="41"/>
      <c r="AH200" s="41"/>
    </row>
    <row r="201" spans="1:34">
      <c r="A201" s="46" t="s">
        <v>216</v>
      </c>
      <c r="B201" s="46"/>
      <c r="C201" s="47">
        <v>0</v>
      </c>
      <c r="D201" s="41" t="s">
        <v>13</v>
      </c>
      <c r="E201" s="41" t="s">
        <v>109</v>
      </c>
      <c r="F201" s="46" t="s">
        <v>183</v>
      </c>
      <c r="G201" s="46"/>
      <c r="H201" s="41" t="s">
        <v>15</v>
      </c>
      <c r="I201" s="41" t="s">
        <v>215</v>
      </c>
      <c r="J201" s="46"/>
      <c r="K201" s="46"/>
      <c r="L201" s="41"/>
      <c r="M201" s="41"/>
      <c r="N201" s="41"/>
      <c r="O201" s="41"/>
      <c r="P201" s="41"/>
      <c r="Q201" s="41"/>
      <c r="R201" s="41"/>
      <c r="S201" s="41"/>
      <c r="T201" s="41"/>
      <c r="U201" s="41"/>
      <c r="V201" s="41"/>
      <c r="W201" s="41"/>
      <c r="X201" s="41"/>
      <c r="Y201" s="41"/>
      <c r="Z201" s="41"/>
      <c r="AA201" s="41"/>
      <c r="AB201" s="41"/>
      <c r="AC201" s="41"/>
      <c r="AD201" s="41"/>
      <c r="AE201" s="41"/>
      <c r="AF201" s="41"/>
      <c r="AG201" s="41"/>
      <c r="AH201" s="41"/>
    </row>
    <row r="202" spans="1:34">
      <c r="A202" s="46" t="s">
        <v>217</v>
      </c>
      <c r="B202" s="46"/>
      <c r="C202" s="47">
        <v>0</v>
      </c>
      <c r="D202" s="41" t="s">
        <v>13</v>
      </c>
      <c r="E202" s="41" t="s">
        <v>109</v>
      </c>
      <c r="F202" s="46" t="s">
        <v>183</v>
      </c>
      <c r="G202" s="46"/>
      <c r="H202" s="41" t="s">
        <v>15</v>
      </c>
      <c r="I202" s="41" t="s">
        <v>215</v>
      </c>
      <c r="J202" s="46"/>
      <c r="K202" s="46"/>
      <c r="L202" s="41"/>
      <c r="M202" s="41"/>
      <c r="N202" s="41"/>
      <c r="O202" s="41"/>
      <c r="P202" s="41"/>
      <c r="Q202" s="41"/>
      <c r="R202" s="41"/>
      <c r="S202" s="41"/>
      <c r="T202" s="41"/>
      <c r="U202" s="41"/>
      <c r="V202" s="41"/>
      <c r="W202" s="41"/>
      <c r="X202" s="41"/>
      <c r="Y202" s="41"/>
      <c r="Z202" s="41"/>
      <c r="AA202" s="41"/>
      <c r="AB202" s="41"/>
      <c r="AC202" s="41"/>
      <c r="AD202" s="41"/>
      <c r="AE202" s="41"/>
      <c r="AF202" s="41"/>
      <c r="AG202" s="41"/>
      <c r="AH202" s="41"/>
    </row>
    <row r="203" spans="1:34" s="69" customFormat="1">
      <c r="A203" s="67"/>
      <c r="B203" s="67"/>
      <c r="C203" s="68"/>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row>
    <row r="204" spans="1:34">
      <c r="A204" s="39" t="s">
        <v>1</v>
      </c>
      <c r="B204" s="39" t="s">
        <v>199</v>
      </c>
      <c r="C204" s="40"/>
      <c r="D204" s="41"/>
      <c r="E204" s="41"/>
      <c r="F204" s="41"/>
      <c r="G204" s="41"/>
      <c r="H204" s="41"/>
      <c r="I204" s="41"/>
      <c r="J204" s="41"/>
      <c r="K204" s="41"/>
      <c r="L204" s="41"/>
      <c r="M204" s="41"/>
      <c r="N204" s="41"/>
      <c r="O204" s="41"/>
      <c r="P204" s="41"/>
      <c r="Q204" s="41"/>
      <c r="R204" s="41"/>
      <c r="S204" s="41"/>
      <c r="T204" s="41"/>
      <c r="U204" s="41"/>
      <c r="V204" s="41"/>
      <c r="W204" s="41"/>
      <c r="X204" s="41"/>
      <c r="Y204" s="41"/>
      <c r="Z204" s="41"/>
      <c r="AA204" s="41"/>
      <c r="AB204" s="41"/>
      <c r="AC204" s="41"/>
      <c r="AD204" s="41"/>
      <c r="AE204" s="41"/>
      <c r="AF204" s="41"/>
      <c r="AG204" s="41"/>
      <c r="AH204" s="41"/>
    </row>
    <row r="205" spans="1:34">
      <c r="A205" s="39" t="s">
        <v>11</v>
      </c>
      <c r="B205" s="41" t="s">
        <v>438</v>
      </c>
      <c r="C205" s="40"/>
      <c r="D205" s="41"/>
      <c r="E205" s="41"/>
      <c r="F205" s="41"/>
      <c r="G205" s="41"/>
      <c r="H205" s="41"/>
      <c r="I205" s="41"/>
      <c r="J205" s="41"/>
      <c r="K205" s="41"/>
      <c r="L205" s="41"/>
      <c r="M205" s="41"/>
      <c r="N205" s="41"/>
      <c r="O205" s="41"/>
      <c r="P205" s="41"/>
      <c r="Q205" s="41"/>
      <c r="R205" s="41"/>
      <c r="S205" s="41"/>
      <c r="T205" s="41"/>
      <c r="U205" s="41"/>
      <c r="V205" s="41"/>
      <c r="W205" s="41"/>
      <c r="X205" s="41"/>
      <c r="Y205" s="41"/>
      <c r="Z205" s="41"/>
      <c r="AA205" s="41"/>
      <c r="AB205" s="41"/>
      <c r="AC205" s="41"/>
      <c r="AD205" s="41"/>
      <c r="AE205" s="41"/>
      <c r="AF205" s="41"/>
      <c r="AG205" s="41"/>
      <c r="AH205" s="41"/>
    </row>
    <row r="206" spans="1:34">
      <c r="A206" s="39" t="s">
        <v>2</v>
      </c>
      <c r="B206" s="41" t="s">
        <v>29</v>
      </c>
      <c r="C206" s="40"/>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E206" s="41"/>
      <c r="AF206" s="41"/>
      <c r="AG206" s="41"/>
      <c r="AH206" s="41"/>
    </row>
    <row r="207" spans="1:34">
      <c r="A207" s="42" t="s">
        <v>4</v>
      </c>
      <c r="B207" s="41" t="s">
        <v>195</v>
      </c>
      <c r="C207" s="40"/>
      <c r="D207" s="41"/>
      <c r="E207" s="41"/>
      <c r="F207" s="41"/>
      <c r="G207" s="41"/>
      <c r="H207" s="41"/>
      <c r="I207" s="41"/>
      <c r="J207" s="41"/>
      <c r="K207" s="41"/>
      <c r="L207" s="41"/>
      <c r="M207" s="41"/>
      <c r="N207" s="41"/>
      <c r="O207" s="41"/>
      <c r="P207" s="41"/>
      <c r="Q207" s="41"/>
      <c r="R207" s="41"/>
      <c r="S207" s="41"/>
      <c r="T207" s="41"/>
      <c r="U207" s="41"/>
      <c r="V207" s="41"/>
      <c r="W207" s="41"/>
      <c r="X207" s="41"/>
      <c r="Y207" s="41"/>
      <c r="Z207" s="41"/>
      <c r="AA207" s="41"/>
      <c r="AB207" s="41"/>
      <c r="AC207" s="41"/>
      <c r="AD207" s="41"/>
      <c r="AE207" s="41"/>
      <c r="AF207" s="41"/>
      <c r="AG207" s="41"/>
      <c r="AH207" s="41"/>
    </row>
    <row r="208" spans="1:34">
      <c r="A208" s="39" t="s">
        <v>3</v>
      </c>
      <c r="B208" s="43">
        <v>1</v>
      </c>
      <c r="C208" s="40"/>
      <c r="D208" s="44"/>
      <c r="E208" s="41"/>
      <c r="F208" s="41"/>
      <c r="G208" s="41"/>
      <c r="H208" s="41"/>
      <c r="I208" s="41"/>
      <c r="J208" s="41"/>
      <c r="K208" s="41"/>
      <c r="L208" s="41"/>
      <c r="M208" s="41"/>
      <c r="N208" s="41"/>
      <c r="O208" s="41"/>
      <c r="P208" s="41"/>
      <c r="Q208" s="41"/>
      <c r="R208" s="41"/>
      <c r="S208" s="41"/>
      <c r="T208" s="41"/>
      <c r="U208" s="41"/>
      <c r="V208" s="41"/>
      <c r="W208" s="41"/>
      <c r="X208" s="41"/>
      <c r="Y208" s="41"/>
      <c r="Z208" s="41"/>
      <c r="AA208" s="41"/>
      <c r="AB208" s="41"/>
      <c r="AC208" s="41"/>
      <c r="AD208" s="41"/>
      <c r="AE208" s="41"/>
      <c r="AF208" s="41"/>
      <c r="AG208" s="41"/>
      <c r="AH208" s="41"/>
    </row>
    <row r="209" spans="1:34">
      <c r="A209" s="39" t="s">
        <v>6</v>
      </c>
      <c r="B209" s="41" t="s">
        <v>128</v>
      </c>
      <c r="C209" s="40"/>
      <c r="D209" s="44"/>
      <c r="E209" s="41"/>
      <c r="F209" s="41"/>
      <c r="G209" s="41"/>
      <c r="H209" s="41"/>
      <c r="I209" s="41"/>
      <c r="J209" s="41"/>
      <c r="K209" s="41"/>
      <c r="L209" s="41"/>
      <c r="M209" s="41"/>
      <c r="N209" s="41"/>
      <c r="O209" s="41"/>
      <c r="P209" s="41"/>
      <c r="Q209" s="41"/>
      <c r="R209" s="41"/>
      <c r="S209" s="41"/>
      <c r="T209" s="41"/>
      <c r="U209" s="41"/>
      <c r="V209" s="41"/>
      <c r="W209" s="41"/>
      <c r="X209" s="41"/>
      <c r="Y209" s="41"/>
      <c r="Z209" s="41"/>
      <c r="AA209" s="41"/>
      <c r="AB209" s="41"/>
      <c r="AC209" s="41"/>
      <c r="AD209" s="41"/>
      <c r="AE209" s="41"/>
      <c r="AF209" s="41"/>
      <c r="AG209" s="41"/>
      <c r="AH209" s="41"/>
    </row>
    <row r="210" spans="1:34">
      <c r="A210" s="39" t="s">
        <v>76</v>
      </c>
      <c r="B210" s="41"/>
      <c r="C210" s="40"/>
      <c r="D210" s="44"/>
      <c r="E210" s="41"/>
      <c r="F210" s="41"/>
      <c r="G210" s="41"/>
      <c r="H210" s="41"/>
      <c r="I210" s="41"/>
      <c r="J210" s="41"/>
      <c r="K210" s="41"/>
      <c r="L210" s="41"/>
      <c r="M210" s="41"/>
      <c r="N210" s="41"/>
      <c r="O210" s="41"/>
      <c r="P210" s="41"/>
      <c r="Q210" s="41"/>
      <c r="R210" s="41"/>
      <c r="S210" s="41"/>
      <c r="T210" s="41"/>
      <c r="U210" s="41"/>
      <c r="V210" s="41"/>
      <c r="W210" s="41"/>
      <c r="X210" s="41"/>
      <c r="Y210" s="41"/>
      <c r="Z210" s="41"/>
      <c r="AA210" s="41"/>
      <c r="AB210" s="41"/>
      <c r="AC210" s="41"/>
      <c r="AD210" s="41"/>
      <c r="AE210" s="41"/>
      <c r="AF210" s="41"/>
      <c r="AG210" s="41"/>
      <c r="AH210" s="41"/>
    </row>
    <row r="211" spans="1:34">
      <c r="A211" s="39" t="s">
        <v>7</v>
      </c>
      <c r="B211" s="41"/>
      <c r="C211" s="40"/>
      <c r="D211" s="41"/>
      <c r="E211" s="41"/>
      <c r="F211" s="41"/>
      <c r="G211" s="41"/>
      <c r="H211" s="41"/>
      <c r="I211" s="41"/>
      <c r="J211" s="41"/>
      <c r="K211" s="41"/>
      <c r="L211" s="41"/>
      <c r="M211" s="41"/>
      <c r="N211" s="41"/>
      <c r="O211" s="41"/>
      <c r="P211" s="41"/>
      <c r="Q211" s="41"/>
      <c r="R211" s="41"/>
      <c r="S211" s="41"/>
      <c r="T211" s="41"/>
      <c r="U211" s="41"/>
      <c r="V211" s="41"/>
      <c r="W211" s="41"/>
      <c r="X211" s="41"/>
      <c r="Y211" s="41"/>
      <c r="Z211" s="41"/>
      <c r="AA211" s="41"/>
      <c r="AB211" s="41"/>
      <c r="AC211" s="41"/>
      <c r="AD211" s="41"/>
      <c r="AE211" s="41"/>
      <c r="AF211" s="41"/>
      <c r="AG211" s="41"/>
      <c r="AH211" s="41"/>
    </row>
    <row r="212" spans="1:34">
      <c r="A212" s="39" t="s">
        <v>8</v>
      </c>
      <c r="B212" s="39" t="s">
        <v>4</v>
      </c>
      <c r="C212" s="45" t="s">
        <v>9</v>
      </c>
      <c r="D212" s="39" t="s">
        <v>6</v>
      </c>
      <c r="E212" s="39" t="s">
        <v>106</v>
      </c>
      <c r="F212" s="39" t="s">
        <v>10</v>
      </c>
      <c r="G212" s="39" t="s">
        <v>2</v>
      </c>
      <c r="H212" s="39" t="s">
        <v>5</v>
      </c>
      <c r="I212" s="39" t="s">
        <v>11</v>
      </c>
      <c r="J212" s="41"/>
      <c r="K212" s="41"/>
      <c r="L212" s="41"/>
      <c r="M212" s="41"/>
      <c r="N212" s="41"/>
      <c r="O212" s="41"/>
      <c r="P212" s="41"/>
      <c r="Q212" s="41"/>
      <c r="R212" s="41"/>
      <c r="S212" s="41"/>
      <c r="T212" s="41"/>
      <c r="U212" s="41"/>
      <c r="V212" s="41"/>
      <c r="W212" s="41"/>
      <c r="X212" s="41"/>
      <c r="Y212" s="41"/>
      <c r="Z212" s="41"/>
      <c r="AA212" s="41"/>
      <c r="AB212" s="41"/>
      <c r="AC212" s="41"/>
      <c r="AD212" s="41"/>
      <c r="AE212" s="41"/>
      <c r="AF212" s="41"/>
      <c r="AG212" s="41"/>
      <c r="AH212" s="41"/>
    </row>
    <row r="213" spans="1:34">
      <c r="A213" s="46" t="s">
        <v>199</v>
      </c>
      <c r="B213" s="46" t="s">
        <v>195</v>
      </c>
      <c r="C213" s="47">
        <v>1</v>
      </c>
      <c r="D213" s="41" t="s">
        <v>128</v>
      </c>
      <c r="E213" s="46" t="s">
        <v>196</v>
      </c>
      <c r="F213" s="46"/>
      <c r="G213" s="46" t="s">
        <v>29</v>
      </c>
      <c r="H213" s="46" t="s">
        <v>18</v>
      </c>
      <c r="I213" s="46"/>
      <c r="J213" s="46"/>
      <c r="K213" s="46"/>
      <c r="L213" s="41"/>
      <c r="M213" s="41"/>
      <c r="N213" s="41"/>
      <c r="O213" s="41"/>
      <c r="P213" s="41"/>
      <c r="Q213" s="41"/>
      <c r="R213" s="41"/>
      <c r="S213" s="41"/>
      <c r="T213" s="41"/>
      <c r="U213" s="41"/>
      <c r="V213" s="41"/>
      <c r="W213" s="41"/>
      <c r="X213" s="41"/>
      <c r="Y213" s="41"/>
      <c r="Z213" s="41"/>
      <c r="AA213" s="41"/>
      <c r="AB213" s="41"/>
      <c r="AC213" s="41"/>
      <c r="AD213" s="41"/>
      <c r="AE213" s="41"/>
      <c r="AF213" s="41"/>
      <c r="AG213" s="41"/>
      <c r="AH213" s="41"/>
    </row>
    <row r="214" spans="1:34">
      <c r="A214" s="46" t="s">
        <v>28</v>
      </c>
      <c r="B214" s="46" t="s">
        <v>20</v>
      </c>
      <c r="C214" s="40">
        <v>0</v>
      </c>
      <c r="D214" s="41" t="s">
        <v>19</v>
      </c>
      <c r="E214" s="46" t="s">
        <v>205</v>
      </c>
      <c r="F214" s="46"/>
      <c r="G214" s="46" t="s">
        <v>29</v>
      </c>
      <c r="H214" s="46" t="s">
        <v>12</v>
      </c>
      <c r="I214" s="46"/>
      <c r="J214" s="46"/>
      <c r="K214" s="46"/>
      <c r="L214" s="41"/>
      <c r="M214" s="41"/>
      <c r="N214" s="41"/>
      <c r="O214" s="41"/>
      <c r="P214" s="41"/>
      <c r="Q214" s="41"/>
      <c r="R214" s="41"/>
      <c r="S214" s="41"/>
      <c r="T214" s="41"/>
      <c r="U214" s="41"/>
      <c r="V214" s="41"/>
      <c r="W214" s="41"/>
      <c r="X214" s="41"/>
      <c r="Y214" s="41"/>
      <c r="Z214" s="41"/>
      <c r="AA214" s="41"/>
      <c r="AB214" s="41"/>
      <c r="AC214" s="41"/>
      <c r="AD214" s="41"/>
      <c r="AE214" s="41"/>
      <c r="AF214" s="41"/>
      <c r="AG214" s="41"/>
      <c r="AH214" s="41"/>
    </row>
    <row r="215" spans="1:34">
      <c r="A215" s="41" t="s">
        <v>206</v>
      </c>
      <c r="B215" s="46" t="s">
        <v>207</v>
      </c>
      <c r="C215" s="40">
        <v>0</v>
      </c>
      <c r="D215" s="41" t="s">
        <v>6</v>
      </c>
      <c r="E215" s="46" t="s">
        <v>205</v>
      </c>
      <c r="F215" s="46"/>
      <c r="G215" s="46" t="s">
        <v>208</v>
      </c>
      <c r="H215" s="46" t="s">
        <v>12</v>
      </c>
      <c r="I215" s="59"/>
      <c r="J215" s="46"/>
      <c r="K215" s="46"/>
      <c r="L215" s="41"/>
      <c r="M215" s="41"/>
      <c r="N215" s="41"/>
      <c r="O215" s="41"/>
      <c r="P215" s="41"/>
      <c r="Q215" s="41"/>
      <c r="R215" s="41"/>
      <c r="S215" s="41"/>
      <c r="T215" s="41"/>
      <c r="U215" s="41"/>
      <c r="V215" s="41"/>
      <c r="W215" s="41"/>
      <c r="X215" s="41"/>
      <c r="Y215" s="41"/>
      <c r="Z215" s="41"/>
      <c r="AA215" s="41"/>
      <c r="AB215" s="41"/>
      <c r="AC215" s="41"/>
      <c r="AD215" s="41"/>
      <c r="AE215" s="41"/>
      <c r="AF215" s="41"/>
      <c r="AG215" s="41"/>
      <c r="AH215" s="41"/>
    </row>
    <row r="216" spans="1:34">
      <c r="A216" s="46" t="s">
        <v>209</v>
      </c>
      <c r="B216" s="46" t="s">
        <v>210</v>
      </c>
      <c r="C216" s="40">
        <v>0</v>
      </c>
      <c r="D216" s="41" t="s">
        <v>6</v>
      </c>
      <c r="E216" s="46" t="s">
        <v>205</v>
      </c>
      <c r="F216" s="46"/>
      <c r="G216" s="46" t="s">
        <v>140</v>
      </c>
      <c r="H216" s="46" t="s">
        <v>12</v>
      </c>
      <c r="I216" s="41"/>
      <c r="J216" s="46"/>
      <c r="K216" s="46"/>
      <c r="L216" s="41"/>
      <c r="M216" s="41"/>
      <c r="N216" s="41"/>
      <c r="O216" s="41"/>
      <c r="P216" s="41"/>
      <c r="Q216" s="41"/>
      <c r="R216" s="41"/>
      <c r="S216" s="41"/>
      <c r="T216" s="41"/>
      <c r="U216" s="41"/>
      <c r="V216" s="41"/>
      <c r="W216" s="41"/>
      <c r="X216" s="41"/>
      <c r="Y216" s="41"/>
      <c r="Z216" s="41"/>
      <c r="AA216" s="41"/>
      <c r="AB216" s="41"/>
      <c r="AC216" s="41"/>
      <c r="AD216" s="41"/>
      <c r="AE216" s="41"/>
      <c r="AF216" s="41"/>
      <c r="AG216" s="41"/>
      <c r="AH216" s="41"/>
    </row>
    <row r="217" spans="1:34">
      <c r="A217" s="40" t="s">
        <v>197</v>
      </c>
      <c r="B217" s="41"/>
      <c r="C217" s="47">
        <v>2.2482890141514411</v>
      </c>
      <c r="D217" s="41" t="s">
        <v>13</v>
      </c>
      <c r="E217" s="41" t="s">
        <v>109</v>
      </c>
      <c r="F217" s="41" t="s">
        <v>198</v>
      </c>
      <c r="G217" s="41"/>
      <c r="H217" s="41" t="s">
        <v>15</v>
      </c>
      <c r="I217" s="41" t="s">
        <v>211</v>
      </c>
      <c r="J217" s="41"/>
      <c r="K217" s="41"/>
      <c r="L217" s="41"/>
      <c r="M217" s="41"/>
      <c r="N217" s="41"/>
      <c r="O217" s="41"/>
      <c r="P217" s="41"/>
      <c r="Q217" s="41"/>
      <c r="R217" s="41"/>
      <c r="S217" s="41"/>
      <c r="T217" s="41"/>
      <c r="U217" s="41"/>
      <c r="V217" s="41"/>
      <c r="W217" s="41"/>
      <c r="X217" s="41"/>
      <c r="Y217" s="41"/>
      <c r="Z217" s="41"/>
      <c r="AA217" s="41"/>
      <c r="AB217" s="41"/>
      <c r="AC217" s="41"/>
      <c r="AD217" s="41"/>
      <c r="AE217" s="41"/>
      <c r="AF217" s="41"/>
      <c r="AG217" s="41"/>
      <c r="AH217" s="41"/>
    </row>
    <row r="218" spans="1:34">
      <c r="A218" s="46" t="s">
        <v>212</v>
      </c>
      <c r="B218" s="46"/>
      <c r="C218" s="40">
        <v>0</v>
      </c>
      <c r="D218" s="41" t="s">
        <v>13</v>
      </c>
      <c r="E218" s="41" t="s">
        <v>109</v>
      </c>
      <c r="F218" s="46" t="s">
        <v>183</v>
      </c>
      <c r="G218" s="46"/>
      <c r="H218" s="41" t="s">
        <v>15</v>
      </c>
      <c r="I218" s="41" t="s">
        <v>213</v>
      </c>
      <c r="J218" s="46"/>
      <c r="K218" s="46"/>
      <c r="L218" s="41"/>
      <c r="M218" s="41"/>
      <c r="N218" s="41"/>
      <c r="O218" s="41"/>
      <c r="P218" s="41"/>
      <c r="Q218" s="41"/>
      <c r="R218" s="41"/>
      <c r="S218" s="41"/>
      <c r="T218" s="41"/>
      <c r="U218" s="41"/>
      <c r="V218" s="41"/>
      <c r="W218" s="41"/>
      <c r="X218" s="41"/>
      <c r="Y218" s="41"/>
      <c r="Z218" s="41"/>
      <c r="AA218" s="41"/>
      <c r="AB218" s="41"/>
      <c r="AC218" s="41"/>
      <c r="AD218" s="41"/>
      <c r="AE218" s="41"/>
      <c r="AF218" s="41"/>
      <c r="AG218" s="41"/>
      <c r="AH218" s="41"/>
    </row>
    <row r="219" spans="1:34">
      <c r="A219" s="46" t="s">
        <v>184</v>
      </c>
      <c r="B219" s="46"/>
      <c r="C219" s="40">
        <v>0</v>
      </c>
      <c r="D219" s="41" t="s">
        <v>13</v>
      </c>
      <c r="E219" s="41" t="s">
        <v>109</v>
      </c>
      <c r="F219" s="46" t="s">
        <v>183</v>
      </c>
      <c r="G219" s="46"/>
      <c r="H219" s="41" t="s">
        <v>15</v>
      </c>
      <c r="I219" s="41" t="s">
        <v>213</v>
      </c>
      <c r="J219" s="46"/>
      <c r="K219" s="46"/>
      <c r="L219" s="41"/>
      <c r="M219" s="41"/>
      <c r="N219" s="41"/>
      <c r="O219" s="41"/>
      <c r="P219" s="41"/>
      <c r="Q219" s="41"/>
      <c r="R219" s="41"/>
      <c r="S219" s="41"/>
      <c r="T219" s="41"/>
      <c r="U219" s="41"/>
      <c r="V219" s="41"/>
      <c r="W219" s="41"/>
      <c r="X219" s="41"/>
      <c r="Y219" s="41"/>
      <c r="Z219" s="41"/>
      <c r="AA219" s="41"/>
      <c r="AB219" s="41"/>
      <c r="AC219" s="41"/>
      <c r="AD219" s="41"/>
      <c r="AE219" s="41"/>
      <c r="AF219" s="41"/>
      <c r="AG219" s="41"/>
      <c r="AH219" s="41"/>
    </row>
    <row r="220" spans="1:34">
      <c r="A220" s="46" t="s">
        <v>214</v>
      </c>
      <c r="B220" s="46"/>
      <c r="C220" s="40">
        <v>0</v>
      </c>
      <c r="D220" s="41" t="s">
        <v>13</v>
      </c>
      <c r="E220" s="41" t="s">
        <v>109</v>
      </c>
      <c r="F220" s="46" t="s">
        <v>183</v>
      </c>
      <c r="G220" s="46"/>
      <c r="H220" s="41" t="s">
        <v>15</v>
      </c>
      <c r="I220" s="41" t="s">
        <v>215</v>
      </c>
      <c r="J220" s="46"/>
      <c r="K220" s="46"/>
      <c r="L220" s="41"/>
      <c r="M220" s="41"/>
      <c r="N220" s="41"/>
      <c r="O220" s="41"/>
      <c r="P220" s="41"/>
      <c r="Q220" s="41"/>
      <c r="R220" s="41"/>
      <c r="S220" s="41"/>
      <c r="T220" s="41"/>
      <c r="U220" s="41"/>
      <c r="V220" s="41"/>
      <c r="W220" s="41"/>
      <c r="X220" s="41"/>
      <c r="Y220" s="41"/>
      <c r="Z220" s="41"/>
      <c r="AA220" s="41"/>
      <c r="AB220" s="41"/>
      <c r="AC220" s="41"/>
      <c r="AD220" s="41"/>
      <c r="AE220" s="41"/>
      <c r="AF220" s="41"/>
      <c r="AG220" s="41"/>
      <c r="AH220" s="41"/>
    </row>
    <row r="221" spans="1:34">
      <c r="A221" s="46" t="s">
        <v>115</v>
      </c>
      <c r="B221" s="46"/>
      <c r="C221" s="40">
        <v>0</v>
      </c>
      <c r="D221" s="41" t="s">
        <v>13</v>
      </c>
      <c r="E221" s="41" t="s">
        <v>109</v>
      </c>
      <c r="F221" s="46" t="s">
        <v>183</v>
      </c>
      <c r="G221" s="46"/>
      <c r="H221" s="41" t="s">
        <v>15</v>
      </c>
      <c r="I221" s="41" t="s">
        <v>215</v>
      </c>
      <c r="J221" s="46"/>
      <c r="K221" s="46"/>
      <c r="L221" s="41"/>
      <c r="M221" s="41"/>
      <c r="N221" s="41"/>
      <c r="O221" s="41"/>
      <c r="P221" s="41"/>
      <c r="Q221" s="41"/>
      <c r="R221" s="41"/>
      <c r="S221" s="41"/>
      <c r="T221" s="41"/>
      <c r="U221" s="41"/>
      <c r="V221" s="41"/>
      <c r="W221" s="41"/>
      <c r="X221" s="41"/>
      <c r="Y221" s="41"/>
      <c r="Z221" s="41"/>
      <c r="AA221" s="41"/>
      <c r="AB221" s="41"/>
      <c r="AC221" s="41"/>
      <c r="AD221" s="41"/>
      <c r="AE221" s="41"/>
      <c r="AF221" s="41"/>
      <c r="AG221" s="41"/>
      <c r="AH221" s="41"/>
    </row>
    <row r="222" spans="1:34">
      <c r="A222" s="46" t="s">
        <v>119</v>
      </c>
      <c r="B222" s="46"/>
      <c r="C222" s="40">
        <v>0</v>
      </c>
      <c r="D222" s="41" t="s">
        <v>13</v>
      </c>
      <c r="E222" s="41" t="s">
        <v>109</v>
      </c>
      <c r="F222" s="46" t="s">
        <v>183</v>
      </c>
      <c r="G222" s="46"/>
      <c r="H222" s="41" t="s">
        <v>15</v>
      </c>
      <c r="I222" s="41" t="s">
        <v>215</v>
      </c>
      <c r="J222" s="46"/>
      <c r="K222" s="46"/>
      <c r="L222" s="41"/>
      <c r="M222" s="41"/>
      <c r="N222" s="41"/>
      <c r="O222" s="41"/>
      <c r="P222" s="41"/>
      <c r="Q222" s="41"/>
      <c r="R222" s="41"/>
      <c r="S222" s="41"/>
      <c r="T222" s="41"/>
      <c r="U222" s="41"/>
      <c r="V222" s="41"/>
      <c r="W222" s="41"/>
      <c r="X222" s="41"/>
      <c r="Y222" s="41"/>
      <c r="Z222" s="41"/>
      <c r="AA222" s="41"/>
      <c r="AB222" s="41"/>
      <c r="AC222" s="41"/>
      <c r="AD222" s="41"/>
      <c r="AE222" s="41"/>
      <c r="AF222" s="41"/>
      <c r="AG222" s="41"/>
      <c r="AH222" s="41"/>
    </row>
    <row r="223" spans="1:34">
      <c r="A223" s="46" t="s">
        <v>125</v>
      </c>
      <c r="B223" s="46"/>
      <c r="C223" s="40">
        <v>0</v>
      </c>
      <c r="D223" s="41" t="s">
        <v>13</v>
      </c>
      <c r="E223" s="41" t="s">
        <v>109</v>
      </c>
      <c r="F223" s="46" t="s">
        <v>183</v>
      </c>
      <c r="G223" s="46"/>
      <c r="H223" s="41" t="s">
        <v>15</v>
      </c>
      <c r="I223" s="41" t="s">
        <v>215</v>
      </c>
      <c r="J223" s="46"/>
      <c r="K223" s="46"/>
      <c r="L223" s="41"/>
      <c r="M223" s="41"/>
      <c r="N223" s="41"/>
      <c r="O223" s="41"/>
      <c r="P223" s="41"/>
      <c r="Q223" s="41"/>
      <c r="R223" s="41"/>
      <c r="S223" s="41"/>
      <c r="T223" s="41"/>
      <c r="U223" s="41"/>
      <c r="V223" s="41"/>
      <c r="W223" s="41"/>
      <c r="X223" s="41"/>
      <c r="Y223" s="41"/>
      <c r="Z223" s="41"/>
      <c r="AA223" s="41"/>
      <c r="AB223" s="41"/>
      <c r="AC223" s="41"/>
      <c r="AD223" s="41"/>
      <c r="AE223" s="41"/>
      <c r="AF223" s="41"/>
      <c r="AG223" s="41"/>
      <c r="AH223" s="41"/>
    </row>
    <row r="224" spans="1:34">
      <c r="A224" s="46" t="s">
        <v>216</v>
      </c>
      <c r="B224" s="46"/>
      <c r="C224" s="40">
        <v>0</v>
      </c>
      <c r="D224" s="41" t="s">
        <v>13</v>
      </c>
      <c r="E224" s="41" t="s">
        <v>109</v>
      </c>
      <c r="F224" s="46" t="s">
        <v>183</v>
      </c>
      <c r="G224" s="46"/>
      <c r="H224" s="41" t="s">
        <v>15</v>
      </c>
      <c r="I224" s="41" t="s">
        <v>215</v>
      </c>
      <c r="J224" s="46"/>
      <c r="K224" s="46"/>
      <c r="L224" s="41"/>
      <c r="M224" s="41"/>
      <c r="N224" s="41"/>
      <c r="O224" s="41"/>
      <c r="P224" s="41"/>
      <c r="Q224" s="41"/>
      <c r="R224" s="41"/>
      <c r="S224" s="41"/>
      <c r="T224" s="41"/>
      <c r="U224" s="41"/>
      <c r="V224" s="41"/>
      <c r="W224" s="41"/>
      <c r="X224" s="41"/>
      <c r="Y224" s="41"/>
      <c r="Z224" s="41"/>
      <c r="AA224" s="41"/>
      <c r="AB224" s="41"/>
      <c r="AC224" s="41"/>
      <c r="AD224" s="41"/>
      <c r="AE224" s="41"/>
      <c r="AF224" s="41"/>
      <c r="AG224" s="41"/>
      <c r="AH224" s="41"/>
    </row>
    <row r="225" spans="1:34">
      <c r="A225" s="46" t="s">
        <v>217</v>
      </c>
      <c r="B225" s="46"/>
      <c r="C225" s="40">
        <v>0</v>
      </c>
      <c r="D225" s="41" t="s">
        <v>13</v>
      </c>
      <c r="E225" s="41" t="s">
        <v>109</v>
      </c>
      <c r="F225" s="46" t="s">
        <v>183</v>
      </c>
      <c r="G225" s="46"/>
      <c r="H225" s="41" t="s">
        <v>15</v>
      </c>
      <c r="I225" s="41" t="s">
        <v>215</v>
      </c>
      <c r="J225" s="46"/>
      <c r="K225" s="46"/>
      <c r="L225" s="41"/>
      <c r="M225" s="41"/>
      <c r="N225" s="41"/>
      <c r="O225" s="41"/>
      <c r="P225" s="41"/>
      <c r="Q225" s="41"/>
      <c r="R225" s="41"/>
      <c r="S225" s="41"/>
      <c r="T225" s="41"/>
      <c r="U225" s="41"/>
      <c r="V225" s="41"/>
      <c r="W225" s="41"/>
      <c r="X225" s="41"/>
      <c r="Y225" s="41"/>
      <c r="Z225" s="41"/>
      <c r="AA225" s="41"/>
      <c r="AB225" s="41"/>
      <c r="AC225" s="41"/>
      <c r="AD225" s="41"/>
      <c r="AE225" s="41"/>
      <c r="AF225" s="41"/>
      <c r="AG225" s="41"/>
      <c r="AH225" s="41"/>
    </row>
    <row r="226" spans="1:34" s="69" customFormat="1">
      <c r="A226" s="67"/>
      <c r="B226" s="67"/>
      <c r="C226" s="68"/>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row>
    <row r="227" spans="1:34">
      <c r="A227" s="39" t="s">
        <v>1</v>
      </c>
      <c r="B227" s="39" t="s">
        <v>200</v>
      </c>
      <c r="C227" s="40"/>
      <c r="D227" s="41"/>
      <c r="E227" s="41"/>
      <c r="F227" s="41"/>
      <c r="G227" s="41"/>
      <c r="H227" s="41"/>
      <c r="I227" s="41"/>
      <c r="J227" s="41"/>
      <c r="K227" s="41"/>
      <c r="L227" s="41"/>
      <c r="M227" s="41"/>
      <c r="N227" s="41"/>
      <c r="O227" s="41"/>
      <c r="P227" s="41"/>
      <c r="Q227" s="41"/>
      <c r="R227" s="41"/>
      <c r="S227" s="41"/>
      <c r="T227" s="41"/>
      <c r="U227" s="41"/>
      <c r="V227" s="41"/>
      <c r="W227" s="41"/>
      <c r="X227" s="41"/>
      <c r="Y227" s="41"/>
      <c r="Z227" s="41"/>
      <c r="AA227" s="41"/>
      <c r="AB227" s="41"/>
      <c r="AC227" s="41"/>
      <c r="AD227" s="41"/>
      <c r="AE227" s="41"/>
      <c r="AF227" s="41"/>
      <c r="AG227" s="41"/>
      <c r="AH227" s="41"/>
    </row>
    <row r="228" spans="1:34">
      <c r="A228" s="39" t="s">
        <v>11</v>
      </c>
      <c r="B228" s="41" t="s">
        <v>439</v>
      </c>
      <c r="C228" s="40"/>
      <c r="D228" s="41"/>
      <c r="E228" s="41"/>
      <c r="F228" s="41"/>
      <c r="G228" s="41"/>
      <c r="H228" s="41"/>
      <c r="I228" s="41"/>
      <c r="J228" s="41"/>
      <c r="K228" s="41"/>
      <c r="L228" s="41"/>
      <c r="M228" s="41"/>
      <c r="N228" s="41"/>
      <c r="O228" s="41"/>
      <c r="P228" s="41"/>
      <c r="Q228" s="41"/>
      <c r="R228" s="41"/>
      <c r="S228" s="41"/>
      <c r="T228" s="41"/>
      <c r="U228" s="41"/>
      <c r="V228" s="41"/>
      <c r="W228" s="41"/>
      <c r="X228" s="41"/>
      <c r="Y228" s="41"/>
      <c r="Z228" s="41"/>
      <c r="AA228" s="41"/>
      <c r="AB228" s="41"/>
      <c r="AC228" s="41"/>
      <c r="AD228" s="41"/>
      <c r="AE228" s="41"/>
      <c r="AF228" s="41"/>
      <c r="AG228" s="41"/>
      <c r="AH228" s="41"/>
    </row>
    <row r="229" spans="1:34">
      <c r="A229" s="39" t="s">
        <v>2</v>
      </c>
      <c r="B229" s="41" t="s">
        <v>29</v>
      </c>
      <c r="C229" s="40"/>
      <c r="D229" s="41"/>
      <c r="E229" s="41"/>
      <c r="F229" s="41"/>
      <c r="G229" s="41"/>
      <c r="H229" s="41"/>
      <c r="I229" s="41"/>
      <c r="J229" s="41"/>
      <c r="K229" s="41"/>
      <c r="L229" s="41"/>
      <c r="M229" s="41"/>
      <c r="N229" s="41"/>
      <c r="O229" s="41"/>
      <c r="P229" s="41"/>
      <c r="Q229" s="41"/>
      <c r="R229" s="41"/>
      <c r="S229" s="41"/>
      <c r="T229" s="41"/>
      <c r="U229" s="41"/>
      <c r="V229" s="41"/>
      <c r="W229" s="41"/>
      <c r="X229" s="41"/>
      <c r="Y229" s="41"/>
      <c r="Z229" s="41"/>
      <c r="AA229" s="41"/>
      <c r="AB229" s="41"/>
      <c r="AC229" s="41"/>
      <c r="AD229" s="41"/>
      <c r="AE229" s="41"/>
      <c r="AF229" s="41"/>
      <c r="AG229" s="41"/>
      <c r="AH229" s="41"/>
    </row>
    <row r="230" spans="1:34">
      <c r="A230" s="42" t="s">
        <v>4</v>
      </c>
      <c r="B230" s="41" t="s">
        <v>195</v>
      </c>
      <c r="C230" s="40"/>
      <c r="D230" s="41"/>
      <c r="E230" s="41"/>
      <c r="F230" s="41"/>
      <c r="G230" s="41"/>
      <c r="H230" s="41"/>
      <c r="I230" s="41"/>
      <c r="J230" s="41"/>
      <c r="K230" s="41"/>
      <c r="L230" s="41"/>
      <c r="M230" s="41"/>
      <c r="N230" s="41"/>
      <c r="O230" s="41"/>
      <c r="P230" s="41"/>
      <c r="Q230" s="41"/>
      <c r="R230" s="41"/>
      <c r="S230" s="41"/>
      <c r="T230" s="41"/>
      <c r="U230" s="41"/>
      <c r="V230" s="41"/>
      <c r="W230" s="41"/>
      <c r="X230" s="41"/>
      <c r="Y230" s="41"/>
      <c r="Z230" s="41"/>
      <c r="AA230" s="41"/>
      <c r="AB230" s="41"/>
      <c r="AC230" s="41"/>
      <c r="AD230" s="41"/>
      <c r="AE230" s="41"/>
      <c r="AF230" s="41"/>
      <c r="AG230" s="41"/>
      <c r="AH230" s="41"/>
    </row>
    <row r="231" spans="1:34">
      <c r="A231" s="39" t="s">
        <v>3</v>
      </c>
      <c r="B231" s="43">
        <v>1</v>
      </c>
      <c r="C231" s="40"/>
      <c r="D231" s="44"/>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E231" s="41"/>
      <c r="AF231" s="41"/>
      <c r="AG231" s="41"/>
      <c r="AH231" s="41"/>
    </row>
    <row r="232" spans="1:34">
      <c r="A232" s="39" t="s">
        <v>6</v>
      </c>
      <c r="B232" s="41" t="s">
        <v>128</v>
      </c>
      <c r="C232" s="40"/>
      <c r="D232" s="44"/>
      <c r="E232" s="41"/>
      <c r="F232" s="41"/>
      <c r="G232" s="41"/>
      <c r="H232" s="41"/>
      <c r="I232" s="41"/>
      <c r="J232" s="41"/>
      <c r="K232" s="41"/>
      <c r="L232" s="41"/>
      <c r="M232" s="41"/>
      <c r="N232" s="41"/>
      <c r="O232" s="41"/>
      <c r="P232" s="41"/>
      <c r="Q232" s="41"/>
      <c r="R232" s="41"/>
      <c r="S232" s="41"/>
      <c r="T232" s="41"/>
      <c r="U232" s="41"/>
      <c r="V232" s="41"/>
      <c r="W232" s="41"/>
      <c r="X232" s="41"/>
      <c r="Y232" s="41"/>
      <c r="Z232" s="41"/>
      <c r="AA232" s="41"/>
      <c r="AB232" s="41"/>
      <c r="AC232" s="41"/>
      <c r="AD232" s="41"/>
      <c r="AE232" s="41"/>
      <c r="AF232" s="41"/>
      <c r="AG232" s="41"/>
      <c r="AH232" s="41"/>
    </row>
    <row r="233" spans="1:34">
      <c r="A233" s="39" t="s">
        <v>76</v>
      </c>
      <c r="B233" s="41"/>
      <c r="C233" s="40"/>
      <c r="D233" s="44"/>
      <c r="E233" s="41"/>
      <c r="F233" s="41"/>
      <c r="G233" s="41"/>
      <c r="H233" s="41"/>
      <c r="I233" s="41"/>
      <c r="J233" s="41"/>
      <c r="K233" s="41"/>
      <c r="L233" s="41"/>
      <c r="M233" s="41"/>
      <c r="N233" s="41"/>
      <c r="O233" s="41"/>
      <c r="P233" s="41"/>
      <c r="Q233" s="41"/>
      <c r="R233" s="41"/>
      <c r="S233" s="41"/>
      <c r="T233" s="41"/>
      <c r="U233" s="41"/>
      <c r="V233" s="41"/>
      <c r="W233" s="41"/>
      <c r="X233" s="41"/>
      <c r="Y233" s="41"/>
      <c r="Z233" s="41"/>
      <c r="AA233" s="41"/>
      <c r="AB233" s="41"/>
      <c r="AC233" s="41"/>
      <c r="AD233" s="41"/>
      <c r="AE233" s="41"/>
      <c r="AF233" s="41"/>
      <c r="AG233" s="41"/>
      <c r="AH233" s="41"/>
    </row>
    <row r="234" spans="1:34">
      <c r="A234" s="39" t="s">
        <v>7</v>
      </c>
      <c r="B234" s="41"/>
      <c r="C234" s="40"/>
      <c r="D234" s="41"/>
      <c r="E234" s="41"/>
      <c r="F234" s="41"/>
      <c r="G234" s="41"/>
      <c r="H234" s="41"/>
      <c r="I234" s="41"/>
      <c r="J234" s="41"/>
      <c r="K234" s="41"/>
      <c r="L234" s="41"/>
      <c r="M234" s="41"/>
      <c r="N234" s="41"/>
      <c r="O234" s="41"/>
      <c r="P234" s="41"/>
      <c r="Q234" s="41"/>
      <c r="R234" s="41"/>
      <c r="S234" s="41"/>
      <c r="T234" s="41"/>
      <c r="U234" s="41"/>
      <c r="V234" s="41"/>
      <c r="W234" s="41"/>
      <c r="X234" s="41"/>
      <c r="Y234" s="41"/>
      <c r="Z234" s="41"/>
      <c r="AA234" s="41"/>
      <c r="AB234" s="41"/>
      <c r="AC234" s="41"/>
      <c r="AD234" s="41"/>
      <c r="AE234" s="41"/>
      <c r="AF234" s="41"/>
      <c r="AG234" s="41"/>
      <c r="AH234" s="41"/>
    </row>
    <row r="235" spans="1:34">
      <c r="A235" s="39" t="s">
        <v>8</v>
      </c>
      <c r="B235" s="39" t="s">
        <v>4</v>
      </c>
      <c r="C235" s="45" t="s">
        <v>9</v>
      </c>
      <c r="D235" s="39" t="s">
        <v>6</v>
      </c>
      <c r="E235" s="39" t="s">
        <v>106</v>
      </c>
      <c r="F235" s="39" t="s">
        <v>10</v>
      </c>
      <c r="G235" s="39" t="s">
        <v>2</v>
      </c>
      <c r="H235" s="39" t="s">
        <v>5</v>
      </c>
      <c r="I235" s="39" t="s">
        <v>11</v>
      </c>
      <c r="J235" s="41"/>
      <c r="K235" s="41"/>
      <c r="L235" s="41"/>
      <c r="M235" s="41"/>
      <c r="N235" s="41"/>
      <c r="O235" s="41"/>
      <c r="P235" s="41"/>
      <c r="Q235" s="41"/>
      <c r="R235" s="41"/>
      <c r="S235" s="41"/>
      <c r="T235" s="41"/>
      <c r="U235" s="41"/>
      <c r="V235" s="41"/>
      <c r="W235" s="41"/>
      <c r="X235" s="41"/>
      <c r="Y235" s="41"/>
      <c r="Z235" s="41"/>
      <c r="AA235" s="41"/>
      <c r="AB235" s="41"/>
      <c r="AC235" s="41"/>
      <c r="AD235" s="41"/>
      <c r="AE235" s="41"/>
      <c r="AF235" s="41"/>
      <c r="AG235" s="41"/>
      <c r="AH235" s="41"/>
    </row>
    <row r="236" spans="1:34">
      <c r="A236" s="46" t="s">
        <v>200</v>
      </c>
      <c r="B236" s="46" t="s">
        <v>195</v>
      </c>
      <c r="C236" s="47">
        <v>1</v>
      </c>
      <c r="D236" s="41" t="s">
        <v>128</v>
      </c>
      <c r="E236" s="46" t="s">
        <v>196</v>
      </c>
      <c r="F236" s="46"/>
      <c r="G236" s="46" t="s">
        <v>29</v>
      </c>
      <c r="H236" s="46" t="s">
        <v>18</v>
      </c>
      <c r="I236" s="46"/>
      <c r="J236" s="46"/>
      <c r="K236" s="46"/>
      <c r="L236" s="41"/>
      <c r="M236" s="41"/>
      <c r="N236" s="41"/>
      <c r="O236" s="41"/>
      <c r="P236" s="41"/>
      <c r="Q236" s="41"/>
      <c r="R236" s="41"/>
      <c r="S236" s="41"/>
      <c r="T236" s="41"/>
      <c r="U236" s="41"/>
      <c r="V236" s="41"/>
      <c r="W236" s="41"/>
      <c r="X236" s="41"/>
      <c r="Y236" s="41"/>
      <c r="Z236" s="41"/>
      <c r="AA236" s="41"/>
      <c r="AB236" s="41"/>
      <c r="AC236" s="41"/>
      <c r="AD236" s="41"/>
      <c r="AE236" s="41"/>
      <c r="AF236" s="41"/>
      <c r="AG236" s="41"/>
      <c r="AH236" s="41"/>
    </row>
    <row r="237" spans="1:34">
      <c r="A237" s="46" t="s">
        <v>28</v>
      </c>
      <c r="B237" s="46" t="s">
        <v>20</v>
      </c>
      <c r="C237" s="40">
        <v>0</v>
      </c>
      <c r="D237" s="41" t="s">
        <v>19</v>
      </c>
      <c r="E237" s="46" t="s">
        <v>205</v>
      </c>
      <c r="F237" s="46"/>
      <c r="G237" s="46" t="s">
        <v>29</v>
      </c>
      <c r="H237" s="46" t="s">
        <v>12</v>
      </c>
      <c r="I237" s="46"/>
      <c r="J237" s="46"/>
      <c r="K237" s="46"/>
      <c r="L237" s="41"/>
      <c r="M237" s="41"/>
      <c r="N237" s="41"/>
      <c r="O237" s="41"/>
      <c r="P237" s="41"/>
      <c r="Q237" s="41"/>
      <c r="R237" s="41"/>
      <c r="S237" s="41"/>
      <c r="T237" s="41"/>
      <c r="U237" s="41"/>
      <c r="V237" s="41"/>
      <c r="W237" s="41"/>
      <c r="X237" s="41"/>
      <c r="Y237" s="41"/>
      <c r="Z237" s="41"/>
      <c r="AA237" s="41"/>
      <c r="AB237" s="41"/>
      <c r="AC237" s="41"/>
      <c r="AD237" s="41"/>
      <c r="AE237" s="41"/>
      <c r="AF237" s="41"/>
      <c r="AG237" s="41"/>
      <c r="AH237" s="41"/>
    </row>
    <row r="238" spans="1:34">
      <c r="A238" s="41" t="s">
        <v>206</v>
      </c>
      <c r="B238" s="46" t="s">
        <v>207</v>
      </c>
      <c r="C238" s="40">
        <v>0</v>
      </c>
      <c r="D238" s="41" t="s">
        <v>6</v>
      </c>
      <c r="E238" s="46" t="s">
        <v>205</v>
      </c>
      <c r="F238" s="46"/>
      <c r="G238" s="46" t="s">
        <v>208</v>
      </c>
      <c r="H238" s="46" t="s">
        <v>12</v>
      </c>
      <c r="I238" s="59"/>
      <c r="J238" s="46"/>
      <c r="K238" s="46"/>
      <c r="L238" s="41"/>
      <c r="M238" s="41"/>
      <c r="N238" s="41"/>
      <c r="O238" s="41"/>
      <c r="P238" s="41"/>
      <c r="Q238" s="41"/>
      <c r="R238" s="41"/>
      <c r="S238" s="41"/>
      <c r="T238" s="41"/>
      <c r="U238" s="41"/>
      <c r="V238" s="41"/>
      <c r="W238" s="41"/>
      <c r="X238" s="41"/>
      <c r="Y238" s="41"/>
      <c r="Z238" s="41"/>
      <c r="AA238" s="41"/>
      <c r="AB238" s="41"/>
      <c r="AC238" s="41"/>
      <c r="AD238" s="41"/>
      <c r="AE238" s="41"/>
      <c r="AF238" s="41"/>
      <c r="AG238" s="41"/>
      <c r="AH238" s="41"/>
    </row>
    <row r="239" spans="1:34">
      <c r="A239" s="46" t="s">
        <v>209</v>
      </c>
      <c r="B239" s="46" t="s">
        <v>210</v>
      </c>
      <c r="C239" s="40">
        <v>0</v>
      </c>
      <c r="D239" s="41" t="s">
        <v>6</v>
      </c>
      <c r="E239" s="46" t="s">
        <v>205</v>
      </c>
      <c r="F239" s="46"/>
      <c r="G239" s="46" t="s">
        <v>140</v>
      </c>
      <c r="H239" s="46" t="s">
        <v>12</v>
      </c>
      <c r="I239" s="41"/>
      <c r="J239" s="46"/>
      <c r="K239" s="46"/>
      <c r="L239" s="41"/>
      <c r="M239" s="41"/>
      <c r="N239" s="41"/>
      <c r="O239" s="41"/>
      <c r="P239" s="41"/>
      <c r="Q239" s="41"/>
      <c r="R239" s="41"/>
      <c r="S239" s="41"/>
      <c r="T239" s="41"/>
      <c r="U239" s="41"/>
      <c r="V239" s="41"/>
      <c r="W239" s="41"/>
      <c r="X239" s="41"/>
      <c r="Y239" s="41"/>
      <c r="Z239" s="41"/>
      <c r="AA239" s="41"/>
      <c r="AB239" s="41"/>
      <c r="AC239" s="41"/>
      <c r="AD239" s="41"/>
      <c r="AE239" s="41"/>
      <c r="AF239" s="41"/>
      <c r="AG239" s="41"/>
      <c r="AH239" s="41"/>
    </row>
    <row r="240" spans="1:34">
      <c r="A240" s="40" t="s">
        <v>197</v>
      </c>
      <c r="B240" s="41"/>
      <c r="C240" s="47">
        <v>2.2348029877051991</v>
      </c>
      <c r="D240" s="41" t="s">
        <v>13</v>
      </c>
      <c r="E240" s="41" t="s">
        <v>109</v>
      </c>
      <c r="F240" s="41" t="s">
        <v>198</v>
      </c>
      <c r="G240" s="41"/>
      <c r="H240" s="41" t="s">
        <v>15</v>
      </c>
      <c r="I240" s="41" t="s">
        <v>211</v>
      </c>
      <c r="J240" s="41"/>
      <c r="K240" s="41"/>
      <c r="L240" s="41"/>
      <c r="M240" s="41"/>
      <c r="N240" s="41"/>
      <c r="O240" s="41"/>
      <c r="P240" s="41"/>
      <c r="Q240" s="41"/>
      <c r="R240" s="41"/>
      <c r="S240" s="41"/>
      <c r="T240" s="41"/>
      <c r="U240" s="41"/>
      <c r="V240" s="41"/>
      <c r="W240" s="41"/>
      <c r="X240" s="41"/>
      <c r="Y240" s="41"/>
      <c r="Z240" s="41"/>
      <c r="AA240" s="41"/>
      <c r="AB240" s="41"/>
      <c r="AC240" s="41"/>
      <c r="AD240" s="41"/>
      <c r="AE240" s="41"/>
      <c r="AF240" s="41"/>
      <c r="AG240" s="41"/>
      <c r="AH240" s="41"/>
    </row>
    <row r="241" spans="1:34">
      <c r="A241" s="46" t="s">
        <v>212</v>
      </c>
      <c r="B241" s="46"/>
      <c r="C241" s="40">
        <v>0</v>
      </c>
      <c r="D241" s="41" t="s">
        <v>13</v>
      </c>
      <c r="E241" s="41" t="s">
        <v>109</v>
      </c>
      <c r="F241" s="46" t="s">
        <v>183</v>
      </c>
      <c r="G241" s="46"/>
      <c r="H241" s="41" t="s">
        <v>15</v>
      </c>
      <c r="I241" s="41" t="s">
        <v>213</v>
      </c>
      <c r="J241" s="46"/>
      <c r="K241" s="46"/>
      <c r="L241" s="41"/>
      <c r="M241" s="41"/>
      <c r="N241" s="41"/>
      <c r="O241" s="41"/>
      <c r="P241" s="41"/>
      <c r="Q241" s="41"/>
      <c r="R241" s="41"/>
      <c r="S241" s="41"/>
      <c r="T241" s="41"/>
      <c r="U241" s="41"/>
      <c r="V241" s="41"/>
      <c r="W241" s="41"/>
      <c r="X241" s="41"/>
      <c r="Y241" s="41"/>
      <c r="Z241" s="41"/>
      <c r="AA241" s="41"/>
      <c r="AB241" s="41"/>
      <c r="AC241" s="41"/>
      <c r="AD241" s="41"/>
      <c r="AE241" s="41"/>
      <c r="AF241" s="41"/>
      <c r="AG241" s="41"/>
      <c r="AH241" s="41"/>
    </row>
    <row r="242" spans="1:34">
      <c r="A242" s="46" t="s">
        <v>184</v>
      </c>
      <c r="B242" s="46"/>
      <c r="C242" s="40">
        <v>0</v>
      </c>
      <c r="D242" s="41" t="s">
        <v>13</v>
      </c>
      <c r="E242" s="41" t="s">
        <v>109</v>
      </c>
      <c r="F242" s="46" t="s">
        <v>183</v>
      </c>
      <c r="G242" s="46"/>
      <c r="H242" s="41" t="s">
        <v>15</v>
      </c>
      <c r="I242" s="41" t="s">
        <v>213</v>
      </c>
      <c r="J242" s="46"/>
      <c r="K242" s="46"/>
      <c r="L242" s="41"/>
      <c r="M242" s="41"/>
      <c r="N242" s="41"/>
      <c r="O242" s="41"/>
      <c r="P242" s="41"/>
      <c r="Q242" s="41"/>
      <c r="R242" s="41"/>
      <c r="S242" s="41"/>
      <c r="T242" s="41"/>
      <c r="U242" s="41"/>
      <c r="V242" s="41"/>
      <c r="W242" s="41"/>
      <c r="X242" s="41"/>
      <c r="Y242" s="41"/>
      <c r="Z242" s="41"/>
      <c r="AA242" s="41"/>
      <c r="AB242" s="41"/>
      <c r="AC242" s="41"/>
      <c r="AD242" s="41"/>
      <c r="AE242" s="41"/>
      <c r="AF242" s="41"/>
      <c r="AG242" s="41"/>
      <c r="AH242" s="41"/>
    </row>
    <row r="243" spans="1:34">
      <c r="A243" s="46" t="s">
        <v>214</v>
      </c>
      <c r="B243" s="46"/>
      <c r="C243" s="40">
        <v>0</v>
      </c>
      <c r="D243" s="41" t="s">
        <v>13</v>
      </c>
      <c r="E243" s="41" t="s">
        <v>109</v>
      </c>
      <c r="F243" s="46" t="s">
        <v>183</v>
      </c>
      <c r="G243" s="46"/>
      <c r="H243" s="41" t="s">
        <v>15</v>
      </c>
      <c r="I243" s="41" t="s">
        <v>215</v>
      </c>
      <c r="J243" s="46"/>
      <c r="K243" s="46"/>
      <c r="L243" s="41"/>
      <c r="M243" s="41"/>
      <c r="N243" s="41"/>
      <c r="O243" s="41"/>
      <c r="P243" s="41"/>
      <c r="Q243" s="41"/>
      <c r="R243" s="41"/>
      <c r="S243" s="41"/>
      <c r="T243" s="41"/>
      <c r="U243" s="41"/>
      <c r="V243" s="41"/>
      <c r="W243" s="41"/>
      <c r="X243" s="41"/>
      <c r="Y243" s="41"/>
      <c r="Z243" s="41"/>
      <c r="AA243" s="41"/>
      <c r="AB243" s="41"/>
      <c r="AC243" s="41"/>
      <c r="AD243" s="41"/>
      <c r="AE243" s="41"/>
      <c r="AF243" s="41"/>
      <c r="AG243" s="41"/>
      <c r="AH243" s="41"/>
    </row>
    <row r="244" spans="1:34">
      <c r="A244" s="46" t="s">
        <v>115</v>
      </c>
      <c r="B244" s="46"/>
      <c r="C244" s="40">
        <v>0</v>
      </c>
      <c r="D244" s="41" t="s">
        <v>13</v>
      </c>
      <c r="E244" s="41" t="s">
        <v>109</v>
      </c>
      <c r="F244" s="46" t="s">
        <v>183</v>
      </c>
      <c r="G244" s="46"/>
      <c r="H244" s="41" t="s">
        <v>15</v>
      </c>
      <c r="I244" s="41" t="s">
        <v>215</v>
      </c>
      <c r="J244" s="46"/>
      <c r="K244" s="46"/>
      <c r="L244" s="41"/>
      <c r="M244" s="41"/>
      <c r="N244" s="41"/>
      <c r="O244" s="41"/>
      <c r="P244" s="41"/>
      <c r="Q244" s="41"/>
      <c r="R244" s="41"/>
      <c r="S244" s="41"/>
      <c r="T244" s="41"/>
      <c r="U244" s="41"/>
      <c r="V244" s="41"/>
      <c r="W244" s="41"/>
      <c r="X244" s="41"/>
      <c r="Y244" s="41"/>
      <c r="Z244" s="41"/>
      <c r="AA244" s="41"/>
      <c r="AB244" s="41"/>
      <c r="AC244" s="41"/>
      <c r="AD244" s="41"/>
      <c r="AE244" s="41"/>
      <c r="AF244" s="41"/>
      <c r="AG244" s="41"/>
      <c r="AH244" s="41"/>
    </row>
    <row r="245" spans="1:34">
      <c r="A245" s="46" t="s">
        <v>119</v>
      </c>
      <c r="B245" s="46"/>
      <c r="C245" s="40">
        <v>0</v>
      </c>
      <c r="D245" s="41" t="s">
        <v>13</v>
      </c>
      <c r="E245" s="41" t="s">
        <v>109</v>
      </c>
      <c r="F245" s="46" t="s">
        <v>183</v>
      </c>
      <c r="G245" s="46"/>
      <c r="H245" s="41" t="s">
        <v>15</v>
      </c>
      <c r="I245" s="41" t="s">
        <v>215</v>
      </c>
      <c r="J245" s="46"/>
      <c r="K245" s="46"/>
      <c r="L245" s="41"/>
      <c r="M245" s="41"/>
      <c r="N245" s="41"/>
      <c r="O245" s="41"/>
      <c r="P245" s="41"/>
      <c r="Q245" s="41"/>
      <c r="R245" s="41"/>
      <c r="S245" s="41"/>
      <c r="T245" s="41"/>
      <c r="U245" s="41"/>
      <c r="V245" s="41"/>
      <c r="W245" s="41"/>
      <c r="X245" s="41"/>
      <c r="Y245" s="41"/>
      <c r="Z245" s="41"/>
      <c r="AA245" s="41"/>
      <c r="AB245" s="41"/>
      <c r="AC245" s="41"/>
      <c r="AD245" s="41"/>
      <c r="AE245" s="41"/>
      <c r="AF245" s="41"/>
      <c r="AG245" s="41"/>
      <c r="AH245" s="41"/>
    </row>
    <row r="246" spans="1:34">
      <c r="A246" s="46" t="s">
        <v>125</v>
      </c>
      <c r="B246" s="46"/>
      <c r="C246" s="40">
        <v>0</v>
      </c>
      <c r="D246" s="41" t="s">
        <v>13</v>
      </c>
      <c r="E246" s="41" t="s">
        <v>109</v>
      </c>
      <c r="F246" s="46" t="s">
        <v>183</v>
      </c>
      <c r="G246" s="46"/>
      <c r="H246" s="41" t="s">
        <v>15</v>
      </c>
      <c r="I246" s="41" t="s">
        <v>215</v>
      </c>
      <c r="J246" s="46"/>
      <c r="K246" s="46"/>
      <c r="L246" s="41"/>
      <c r="M246" s="41"/>
      <c r="N246" s="41"/>
      <c r="O246" s="41"/>
      <c r="P246" s="41"/>
      <c r="Q246" s="41"/>
      <c r="R246" s="41"/>
      <c r="S246" s="41"/>
      <c r="T246" s="41"/>
      <c r="U246" s="41"/>
      <c r="V246" s="41"/>
      <c r="W246" s="41"/>
      <c r="X246" s="41"/>
      <c r="Y246" s="41"/>
      <c r="Z246" s="41"/>
      <c r="AA246" s="41"/>
      <c r="AB246" s="41"/>
      <c r="AC246" s="41"/>
      <c r="AD246" s="41"/>
      <c r="AE246" s="41"/>
      <c r="AF246" s="41"/>
      <c r="AG246" s="41"/>
      <c r="AH246" s="41"/>
    </row>
    <row r="247" spans="1:34">
      <c r="A247" s="46" t="s">
        <v>216</v>
      </c>
      <c r="B247" s="46"/>
      <c r="C247" s="40">
        <v>0</v>
      </c>
      <c r="D247" s="41" t="s">
        <v>13</v>
      </c>
      <c r="E247" s="41" t="s">
        <v>109</v>
      </c>
      <c r="F247" s="46" t="s">
        <v>183</v>
      </c>
      <c r="G247" s="46"/>
      <c r="H247" s="41" t="s">
        <v>15</v>
      </c>
      <c r="I247" s="41" t="s">
        <v>215</v>
      </c>
      <c r="J247" s="46"/>
      <c r="K247" s="46"/>
      <c r="L247" s="41"/>
      <c r="M247" s="41"/>
      <c r="N247" s="41"/>
      <c r="O247" s="41"/>
      <c r="P247" s="41"/>
      <c r="Q247" s="41"/>
      <c r="R247" s="41"/>
      <c r="S247" s="41"/>
      <c r="T247" s="41"/>
      <c r="U247" s="41"/>
      <c r="V247" s="41"/>
      <c r="W247" s="41"/>
      <c r="X247" s="41"/>
      <c r="Y247" s="41"/>
      <c r="Z247" s="41"/>
      <c r="AA247" s="41"/>
      <c r="AB247" s="41"/>
      <c r="AC247" s="41"/>
      <c r="AD247" s="41"/>
      <c r="AE247" s="41"/>
      <c r="AF247" s="41"/>
      <c r="AG247" s="41"/>
      <c r="AH247" s="41"/>
    </row>
    <row r="248" spans="1:34">
      <c r="A248" s="46" t="s">
        <v>217</v>
      </c>
      <c r="B248" s="46"/>
      <c r="C248" s="40">
        <v>0</v>
      </c>
      <c r="D248" s="41" t="s">
        <v>13</v>
      </c>
      <c r="E248" s="41" t="s">
        <v>109</v>
      </c>
      <c r="F248" s="46" t="s">
        <v>183</v>
      </c>
      <c r="G248" s="46"/>
      <c r="H248" s="41" t="s">
        <v>15</v>
      </c>
      <c r="I248" s="41" t="s">
        <v>215</v>
      </c>
      <c r="J248" s="46"/>
      <c r="K248" s="46"/>
      <c r="L248" s="41"/>
      <c r="M248" s="41"/>
      <c r="N248" s="41"/>
      <c r="O248" s="41"/>
      <c r="P248" s="41"/>
      <c r="Q248" s="41"/>
      <c r="R248" s="41"/>
      <c r="S248" s="41"/>
      <c r="T248" s="41"/>
      <c r="U248" s="41"/>
      <c r="V248" s="41"/>
      <c r="W248" s="41"/>
      <c r="X248" s="41"/>
      <c r="Y248" s="41"/>
      <c r="Z248" s="41"/>
      <c r="AA248" s="41"/>
      <c r="AB248" s="41"/>
      <c r="AC248" s="41"/>
      <c r="AD248" s="41"/>
      <c r="AE248" s="41"/>
      <c r="AF248" s="41"/>
      <c r="AG248" s="41"/>
      <c r="AH248" s="41"/>
    </row>
    <row r="249" spans="1:34" s="69" customFormat="1">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row>
    <row r="250" spans="1:34">
      <c r="A250" s="39" t="s">
        <v>1</v>
      </c>
      <c r="B250" s="39" t="s">
        <v>201</v>
      </c>
      <c r="C250" s="40"/>
      <c r="D250" s="41"/>
      <c r="E250" s="41"/>
      <c r="F250" s="41"/>
      <c r="G250" s="41"/>
      <c r="H250" s="41"/>
      <c r="I250" s="41"/>
      <c r="J250" s="41"/>
      <c r="K250" s="41"/>
      <c r="L250" s="41"/>
      <c r="M250" s="41"/>
      <c r="N250" s="41"/>
      <c r="O250" s="41"/>
      <c r="P250" s="41"/>
      <c r="Q250" s="41"/>
      <c r="R250" s="41"/>
      <c r="S250" s="41"/>
      <c r="T250" s="41"/>
      <c r="U250" s="41"/>
      <c r="V250" s="41"/>
      <c r="W250" s="41"/>
      <c r="X250" s="41"/>
      <c r="Y250" s="41"/>
      <c r="Z250" s="41"/>
      <c r="AA250" s="41"/>
      <c r="AB250" s="41"/>
      <c r="AC250" s="41"/>
      <c r="AD250" s="41"/>
      <c r="AE250" s="41"/>
      <c r="AF250" s="41"/>
      <c r="AG250" s="41"/>
      <c r="AH250" s="41"/>
    </row>
    <row r="251" spans="1:34">
      <c r="A251" s="39" t="s">
        <v>11</v>
      </c>
      <c r="B251" s="41" t="s">
        <v>440</v>
      </c>
      <c r="C251" s="40"/>
      <c r="D251" s="41"/>
      <c r="E251" s="41"/>
      <c r="F251" s="41"/>
      <c r="G251" s="41"/>
      <c r="H251" s="41"/>
      <c r="I251" s="41"/>
      <c r="J251" s="41"/>
      <c r="K251" s="41"/>
      <c r="L251" s="41"/>
      <c r="M251" s="41"/>
      <c r="N251" s="41"/>
      <c r="O251" s="41"/>
      <c r="P251" s="41"/>
      <c r="Q251" s="41"/>
      <c r="R251" s="41"/>
      <c r="S251" s="41"/>
      <c r="T251" s="41"/>
      <c r="U251" s="41"/>
      <c r="V251" s="41"/>
      <c r="W251" s="41"/>
      <c r="X251" s="41"/>
      <c r="Y251" s="41"/>
      <c r="Z251" s="41"/>
      <c r="AA251" s="41"/>
      <c r="AB251" s="41"/>
      <c r="AC251" s="41"/>
      <c r="AD251" s="41"/>
      <c r="AE251" s="41"/>
      <c r="AF251" s="41"/>
      <c r="AG251" s="41"/>
      <c r="AH251" s="41"/>
    </row>
    <row r="252" spans="1:34">
      <c r="A252" s="39" t="s">
        <v>2</v>
      </c>
      <c r="B252" s="41" t="s">
        <v>29</v>
      </c>
      <c r="C252" s="40"/>
      <c r="D252" s="41"/>
      <c r="E252" s="41"/>
      <c r="F252" s="41"/>
      <c r="G252" s="41"/>
      <c r="H252" s="41"/>
      <c r="I252" s="41"/>
      <c r="J252" s="41"/>
      <c r="K252" s="41"/>
      <c r="L252" s="41"/>
      <c r="M252" s="41"/>
      <c r="N252" s="41"/>
      <c r="O252" s="41"/>
      <c r="P252" s="41"/>
      <c r="Q252" s="41"/>
      <c r="R252" s="41"/>
      <c r="S252" s="41"/>
      <c r="T252" s="41"/>
      <c r="U252" s="41"/>
      <c r="V252" s="41"/>
      <c r="W252" s="41"/>
      <c r="X252" s="41"/>
      <c r="Y252" s="41"/>
      <c r="Z252" s="41"/>
      <c r="AA252" s="41"/>
      <c r="AB252" s="41"/>
      <c r="AC252" s="41"/>
      <c r="AD252" s="41"/>
      <c r="AE252" s="41"/>
      <c r="AF252" s="41"/>
      <c r="AG252" s="41"/>
      <c r="AH252" s="41"/>
    </row>
    <row r="253" spans="1:34">
      <c r="A253" s="42" t="s">
        <v>4</v>
      </c>
      <c r="B253" s="41" t="s">
        <v>195</v>
      </c>
      <c r="C253" s="40"/>
      <c r="D253" s="41"/>
      <c r="E253" s="41"/>
      <c r="F253" s="41"/>
      <c r="G253" s="41"/>
      <c r="H253" s="41"/>
      <c r="I253" s="41"/>
      <c r="J253" s="41"/>
      <c r="K253" s="41"/>
      <c r="L253" s="41"/>
      <c r="M253" s="41"/>
      <c r="N253" s="41"/>
      <c r="O253" s="41"/>
      <c r="P253" s="41"/>
      <c r="Q253" s="41"/>
      <c r="R253" s="41"/>
      <c r="S253" s="41"/>
      <c r="T253" s="41"/>
      <c r="U253" s="41"/>
      <c r="V253" s="41"/>
      <c r="W253" s="41"/>
      <c r="X253" s="41"/>
      <c r="Y253" s="41"/>
      <c r="Z253" s="41"/>
      <c r="AA253" s="41"/>
      <c r="AB253" s="41"/>
      <c r="AC253" s="41"/>
      <c r="AD253" s="41"/>
      <c r="AE253" s="41"/>
      <c r="AF253" s="41"/>
      <c r="AG253" s="41"/>
      <c r="AH253" s="41"/>
    </row>
    <row r="254" spans="1:34">
      <c r="A254" s="39" t="s">
        <v>3</v>
      </c>
      <c r="B254" s="43">
        <v>1</v>
      </c>
      <c r="C254" s="43"/>
      <c r="D254" s="44"/>
      <c r="E254" s="41"/>
      <c r="F254" s="41"/>
      <c r="G254" s="41"/>
      <c r="H254" s="41"/>
      <c r="I254" s="41"/>
      <c r="J254" s="41"/>
      <c r="K254" s="41"/>
      <c r="L254" s="41"/>
      <c r="M254" s="41"/>
      <c r="N254" s="41"/>
      <c r="O254" s="41"/>
      <c r="P254" s="41"/>
      <c r="Q254" s="41"/>
      <c r="R254" s="41"/>
      <c r="S254" s="41"/>
      <c r="T254" s="41"/>
      <c r="U254" s="41"/>
      <c r="V254" s="41"/>
      <c r="W254" s="41"/>
      <c r="X254" s="41"/>
      <c r="Y254" s="41"/>
      <c r="Z254" s="41"/>
      <c r="AA254" s="41"/>
      <c r="AB254" s="41"/>
      <c r="AC254" s="41"/>
      <c r="AD254" s="41"/>
      <c r="AE254" s="41"/>
      <c r="AF254" s="41"/>
      <c r="AG254" s="41"/>
      <c r="AH254" s="41"/>
    </row>
    <row r="255" spans="1:34">
      <c r="A255" s="39" t="s">
        <v>6</v>
      </c>
      <c r="B255" s="41" t="s">
        <v>128</v>
      </c>
      <c r="C255" s="40"/>
      <c r="D255" s="44"/>
      <c r="E255" s="41"/>
      <c r="F255" s="41"/>
      <c r="G255" s="41"/>
      <c r="H255" s="41"/>
      <c r="I255" s="41"/>
      <c r="J255" s="41"/>
      <c r="K255" s="48"/>
      <c r="L255" s="41"/>
      <c r="M255" s="41"/>
      <c r="N255" s="41"/>
      <c r="O255" s="41"/>
      <c r="P255" s="41"/>
      <c r="Q255" s="41"/>
      <c r="R255" s="41"/>
      <c r="S255" s="41"/>
      <c r="T255" s="41"/>
      <c r="U255" s="41"/>
      <c r="V255" s="41"/>
      <c r="W255" s="41"/>
      <c r="X255" s="41"/>
      <c r="Y255" s="41"/>
      <c r="Z255" s="41"/>
      <c r="AA255" s="41"/>
      <c r="AB255" s="41"/>
      <c r="AC255" s="41"/>
      <c r="AD255" s="41"/>
      <c r="AE255" s="41"/>
      <c r="AF255" s="41"/>
      <c r="AG255" s="41"/>
      <c r="AH255" s="41"/>
    </row>
    <row r="256" spans="1:34">
      <c r="A256" s="39" t="s">
        <v>76</v>
      </c>
      <c r="B256" s="41"/>
      <c r="C256" s="40"/>
      <c r="D256" s="44"/>
      <c r="E256" s="41"/>
      <c r="F256" s="41"/>
      <c r="G256" s="41"/>
      <c r="H256" s="41"/>
      <c r="I256" s="41"/>
      <c r="J256" s="41"/>
      <c r="K256" s="41"/>
      <c r="L256" s="41"/>
      <c r="M256" s="41"/>
      <c r="N256" s="41"/>
      <c r="O256" s="41"/>
      <c r="P256" s="41"/>
      <c r="Q256" s="41"/>
      <c r="R256" s="41"/>
      <c r="S256" s="41"/>
      <c r="T256" s="41"/>
      <c r="U256" s="41"/>
      <c r="V256" s="41"/>
      <c r="W256" s="41"/>
      <c r="X256" s="41"/>
      <c r="Y256" s="41"/>
      <c r="Z256" s="41"/>
      <c r="AA256" s="41"/>
      <c r="AB256" s="41"/>
      <c r="AC256" s="41"/>
      <c r="AD256" s="41"/>
      <c r="AE256" s="41"/>
      <c r="AF256" s="41"/>
      <c r="AG256" s="41"/>
      <c r="AH256" s="41"/>
    </row>
    <row r="257" spans="1:34">
      <c r="A257" s="39" t="s">
        <v>7</v>
      </c>
      <c r="B257" s="41"/>
      <c r="C257" s="40"/>
      <c r="D257" s="41"/>
      <c r="E257" s="41"/>
      <c r="F257" s="41"/>
      <c r="G257" s="41"/>
      <c r="H257" s="41"/>
      <c r="I257" s="41"/>
      <c r="J257" s="41"/>
      <c r="K257" s="41"/>
      <c r="L257" s="41"/>
      <c r="M257" s="41"/>
      <c r="N257" s="41"/>
      <c r="O257" s="41"/>
      <c r="P257" s="41"/>
      <c r="Q257" s="41"/>
      <c r="R257" s="41"/>
      <c r="S257" s="41"/>
      <c r="T257" s="41"/>
      <c r="U257" s="41"/>
      <c r="V257" s="41"/>
      <c r="W257" s="41"/>
      <c r="X257" s="41"/>
      <c r="Y257" s="41"/>
      <c r="Z257" s="41"/>
      <c r="AA257" s="41"/>
      <c r="AB257" s="41"/>
      <c r="AC257" s="41"/>
      <c r="AD257" s="41"/>
      <c r="AE257" s="41"/>
      <c r="AF257" s="41"/>
      <c r="AG257" s="41"/>
      <c r="AH257" s="41"/>
    </row>
    <row r="258" spans="1:34">
      <c r="A258" s="39" t="s">
        <v>8</v>
      </c>
      <c r="B258" s="39" t="s">
        <v>4</v>
      </c>
      <c r="C258" s="45" t="s">
        <v>9</v>
      </c>
      <c r="D258" s="39" t="s">
        <v>6</v>
      </c>
      <c r="E258" s="39" t="s">
        <v>106</v>
      </c>
      <c r="F258" s="39" t="s">
        <v>10</v>
      </c>
      <c r="G258" s="39" t="s">
        <v>2</v>
      </c>
      <c r="H258" s="39" t="s">
        <v>5</v>
      </c>
      <c r="I258" s="39" t="s">
        <v>11</v>
      </c>
      <c r="J258" s="41"/>
      <c r="K258" s="41"/>
      <c r="L258" s="41"/>
      <c r="M258" s="41"/>
      <c r="N258" s="41"/>
      <c r="O258" s="41"/>
      <c r="P258" s="41"/>
      <c r="Q258" s="41"/>
      <c r="R258" s="41"/>
      <c r="S258" s="41"/>
      <c r="T258" s="41"/>
      <c r="U258" s="41"/>
      <c r="V258" s="41"/>
      <c r="W258" s="41"/>
      <c r="X258" s="41"/>
      <c r="Y258" s="41"/>
      <c r="Z258" s="41"/>
      <c r="AA258" s="41"/>
      <c r="AB258" s="41"/>
      <c r="AC258" s="41"/>
      <c r="AD258" s="41"/>
      <c r="AE258" s="41"/>
      <c r="AF258" s="41"/>
      <c r="AG258" s="41"/>
      <c r="AH258" s="41"/>
    </row>
    <row r="259" spans="1:34">
      <c r="A259" s="46" t="s">
        <v>201</v>
      </c>
      <c r="B259" s="46" t="s">
        <v>195</v>
      </c>
      <c r="C259" s="40">
        <v>1</v>
      </c>
      <c r="D259" s="41" t="s">
        <v>128</v>
      </c>
      <c r="E259" s="46" t="s">
        <v>196</v>
      </c>
      <c r="F259" s="46"/>
      <c r="G259" s="46" t="s">
        <v>29</v>
      </c>
      <c r="H259" s="46" t="s">
        <v>18</v>
      </c>
      <c r="I259" s="46"/>
      <c r="J259" s="46"/>
      <c r="K259" s="46"/>
      <c r="L259" s="41"/>
      <c r="M259" s="41"/>
      <c r="N259" s="41"/>
      <c r="O259" s="41"/>
      <c r="P259" s="41"/>
      <c r="Q259" s="41"/>
      <c r="R259" s="41"/>
      <c r="S259" s="41"/>
      <c r="T259" s="41"/>
      <c r="U259" s="41"/>
      <c r="V259" s="41"/>
      <c r="W259" s="41"/>
      <c r="X259" s="41"/>
      <c r="Y259" s="41"/>
      <c r="Z259" s="41"/>
      <c r="AA259" s="41"/>
      <c r="AB259" s="41"/>
      <c r="AC259" s="41"/>
      <c r="AD259" s="41"/>
      <c r="AE259" s="41"/>
      <c r="AF259" s="41"/>
      <c r="AG259" s="41"/>
      <c r="AH259" s="41"/>
    </row>
    <row r="260" spans="1:34">
      <c r="A260" s="46" t="s">
        <v>202</v>
      </c>
      <c r="B260" s="46" t="s">
        <v>203</v>
      </c>
      <c r="C260" s="40">
        <v>21.366271416169667</v>
      </c>
      <c r="D260" s="41" t="s">
        <v>13</v>
      </c>
      <c r="E260" s="46" t="s">
        <v>196</v>
      </c>
      <c r="F260" s="46"/>
      <c r="G260" s="46" t="s">
        <v>29</v>
      </c>
      <c r="H260" s="46" t="s">
        <v>12</v>
      </c>
      <c r="I260" s="46" t="s">
        <v>204</v>
      </c>
      <c r="J260" s="46"/>
      <c r="K260" s="46"/>
      <c r="L260" s="41"/>
      <c r="M260" s="41"/>
      <c r="N260" s="41"/>
      <c r="O260" s="41"/>
      <c r="P260" s="41"/>
      <c r="Q260" s="41"/>
      <c r="R260" s="41"/>
      <c r="S260" s="41"/>
      <c r="T260" s="41"/>
      <c r="U260" s="41"/>
      <c r="V260" s="41"/>
      <c r="W260" s="41"/>
      <c r="X260" s="41"/>
      <c r="Y260" s="41"/>
      <c r="Z260" s="41"/>
      <c r="AA260" s="41"/>
      <c r="AB260" s="41"/>
      <c r="AC260" s="41"/>
      <c r="AD260" s="41"/>
      <c r="AE260" s="41"/>
      <c r="AF260" s="41"/>
      <c r="AG260" s="41"/>
      <c r="AH260" s="41"/>
    </row>
    <row r="261" spans="1:34">
      <c r="A261" s="46" t="s">
        <v>28</v>
      </c>
      <c r="B261" s="46" t="s">
        <v>20</v>
      </c>
      <c r="C261" s="40">
        <v>0.13686158590383854</v>
      </c>
      <c r="D261" s="41" t="s">
        <v>19</v>
      </c>
      <c r="E261" s="46" t="s">
        <v>205</v>
      </c>
      <c r="F261" s="46"/>
      <c r="G261" s="46" t="s">
        <v>29</v>
      </c>
      <c r="H261" s="46" t="s">
        <v>12</v>
      </c>
      <c r="I261" s="46"/>
      <c r="J261" s="46"/>
      <c r="K261" s="46"/>
      <c r="L261" s="41"/>
      <c r="M261" s="41"/>
      <c r="N261" s="41"/>
      <c r="O261" s="41"/>
      <c r="P261" s="41"/>
      <c r="Q261" s="41"/>
      <c r="R261" s="41"/>
      <c r="S261" s="41"/>
      <c r="T261" s="41"/>
      <c r="U261" s="41"/>
      <c r="V261" s="41"/>
      <c r="W261" s="41"/>
      <c r="X261" s="41"/>
      <c r="Y261" s="41"/>
      <c r="Z261" s="41"/>
      <c r="AA261" s="41"/>
      <c r="AB261" s="41"/>
      <c r="AC261" s="41"/>
      <c r="AD261" s="41"/>
      <c r="AE261" s="41"/>
      <c r="AF261" s="41"/>
      <c r="AG261" s="41"/>
      <c r="AH261" s="41"/>
    </row>
    <row r="262" spans="1:34">
      <c r="A262" s="41" t="s">
        <v>206</v>
      </c>
      <c r="B262" s="46" t="s">
        <v>207</v>
      </c>
      <c r="C262" s="40">
        <v>3.2478194058327522E-7</v>
      </c>
      <c r="D262" s="41" t="s">
        <v>6</v>
      </c>
      <c r="E262" s="46" t="s">
        <v>205</v>
      </c>
      <c r="F262" s="46"/>
      <c r="G262" s="46" t="s">
        <v>208</v>
      </c>
      <c r="H262" s="46" t="s">
        <v>12</v>
      </c>
      <c r="I262" s="59"/>
      <c r="J262" s="46"/>
      <c r="K262" s="46"/>
      <c r="L262" s="41"/>
      <c r="M262" s="41"/>
      <c r="N262" s="41"/>
      <c r="O262" s="41"/>
      <c r="P262" s="41"/>
      <c r="Q262" s="41"/>
      <c r="R262" s="41"/>
      <c r="S262" s="41"/>
      <c r="T262" s="41"/>
      <c r="U262" s="41"/>
      <c r="V262" s="41"/>
      <c r="W262" s="41"/>
      <c r="X262" s="41"/>
      <c r="Y262" s="41"/>
      <c r="Z262" s="41"/>
      <c r="AA262" s="41"/>
      <c r="AB262" s="41"/>
      <c r="AC262" s="41"/>
      <c r="AD262" s="41"/>
      <c r="AE262" s="41"/>
      <c r="AF262" s="41"/>
      <c r="AG262" s="41"/>
      <c r="AH262" s="41"/>
    </row>
    <row r="263" spans="1:34">
      <c r="A263" s="46" t="s">
        <v>209</v>
      </c>
      <c r="B263" s="46" t="s">
        <v>210</v>
      </c>
      <c r="C263" s="40">
        <v>1.1858025387172218E-6</v>
      </c>
      <c r="D263" s="41" t="s">
        <v>6</v>
      </c>
      <c r="E263" s="46" t="s">
        <v>205</v>
      </c>
      <c r="F263" s="46"/>
      <c r="G263" s="46" t="s">
        <v>140</v>
      </c>
      <c r="H263" s="46" t="s">
        <v>12</v>
      </c>
      <c r="I263" s="41"/>
      <c r="J263" s="46"/>
      <c r="K263" s="46"/>
      <c r="L263" s="41"/>
      <c r="M263" s="41"/>
      <c r="N263" s="41"/>
      <c r="O263" s="41"/>
      <c r="P263" s="41"/>
      <c r="Q263" s="41"/>
      <c r="R263" s="41"/>
      <c r="S263" s="41"/>
      <c r="T263" s="41"/>
      <c r="U263" s="41"/>
      <c r="V263" s="41"/>
      <c r="W263" s="41"/>
      <c r="X263" s="41"/>
      <c r="Y263" s="41"/>
      <c r="Z263" s="41"/>
      <c r="AA263" s="41"/>
      <c r="AB263" s="41"/>
      <c r="AC263" s="41"/>
      <c r="AD263" s="41"/>
      <c r="AE263" s="41"/>
      <c r="AF263" s="41"/>
      <c r="AG263" s="41"/>
      <c r="AH263" s="41"/>
    </row>
    <row r="264" spans="1:34">
      <c r="A264" s="40" t="s">
        <v>197</v>
      </c>
      <c r="B264" s="41"/>
      <c r="C264" s="40">
        <v>2.2243910590121834</v>
      </c>
      <c r="D264" s="41" t="s">
        <v>13</v>
      </c>
      <c r="E264" s="41" t="s">
        <v>109</v>
      </c>
      <c r="F264" s="41" t="s">
        <v>198</v>
      </c>
      <c r="G264" s="41"/>
      <c r="H264" s="41" t="s">
        <v>15</v>
      </c>
      <c r="I264" s="41" t="s">
        <v>211</v>
      </c>
      <c r="J264" s="41"/>
      <c r="K264" s="41"/>
      <c r="L264" s="41"/>
      <c r="M264" s="41"/>
      <c r="N264" s="41"/>
      <c r="O264" s="41"/>
      <c r="P264" s="41"/>
      <c r="Q264" s="41"/>
      <c r="R264" s="41"/>
      <c r="S264" s="41"/>
      <c r="T264" s="41"/>
      <c r="U264" s="41"/>
      <c r="V264" s="41"/>
      <c r="W264" s="41"/>
      <c r="X264" s="41"/>
      <c r="Y264" s="41"/>
      <c r="Z264" s="41"/>
      <c r="AA264" s="41"/>
      <c r="AB264" s="41"/>
      <c r="AC264" s="41"/>
      <c r="AD264" s="41"/>
      <c r="AE264" s="41"/>
      <c r="AF264" s="41"/>
      <c r="AG264" s="41"/>
      <c r="AH264" s="41"/>
    </row>
    <row r="265" spans="1:34">
      <c r="A265" s="46" t="s">
        <v>212</v>
      </c>
      <c r="B265" s="46"/>
      <c r="C265" s="40">
        <v>0.2632929400988413</v>
      </c>
      <c r="D265" s="41" t="s">
        <v>13</v>
      </c>
      <c r="E265" s="41" t="s">
        <v>109</v>
      </c>
      <c r="F265" s="46" t="s">
        <v>183</v>
      </c>
      <c r="G265" s="46"/>
      <c r="H265" s="41" t="s">
        <v>15</v>
      </c>
      <c r="I265" s="41" t="s">
        <v>213</v>
      </c>
      <c r="J265" s="46"/>
      <c r="K265" s="46"/>
      <c r="L265" s="41"/>
      <c r="M265" s="41"/>
      <c r="N265" s="41"/>
      <c r="O265" s="41"/>
      <c r="P265" s="41"/>
      <c r="Q265" s="41"/>
      <c r="R265" s="41"/>
      <c r="S265" s="41"/>
      <c r="T265" s="41"/>
      <c r="U265" s="41"/>
      <c r="V265" s="41"/>
      <c r="W265" s="41"/>
      <c r="X265" s="41"/>
      <c r="Y265" s="41"/>
      <c r="Z265" s="41"/>
      <c r="AA265" s="41"/>
      <c r="AB265" s="41"/>
      <c r="AC265" s="41"/>
      <c r="AD265" s="41"/>
      <c r="AE265" s="41"/>
      <c r="AF265" s="41"/>
      <c r="AG265" s="41"/>
      <c r="AH265" s="41"/>
    </row>
    <row r="266" spans="1:34">
      <c r="A266" s="46" t="s">
        <v>184</v>
      </c>
      <c r="B266" s="46"/>
      <c r="C266" s="40">
        <v>1.3939813637531055E-2</v>
      </c>
      <c r="D266" s="41" t="s">
        <v>13</v>
      </c>
      <c r="E266" s="41" t="s">
        <v>109</v>
      </c>
      <c r="F266" s="46" t="s">
        <v>183</v>
      </c>
      <c r="G266" s="46"/>
      <c r="H266" s="41" t="s">
        <v>15</v>
      </c>
      <c r="I266" s="41" t="s">
        <v>213</v>
      </c>
      <c r="J266" s="46"/>
      <c r="K266" s="46"/>
      <c r="L266" s="41"/>
      <c r="M266" s="41"/>
      <c r="N266" s="41"/>
      <c r="O266" s="41"/>
      <c r="P266" s="41"/>
      <c r="Q266" s="41"/>
      <c r="R266" s="41"/>
      <c r="S266" s="41"/>
      <c r="T266" s="41"/>
      <c r="U266" s="41"/>
      <c r="V266" s="41"/>
      <c r="W266" s="41"/>
      <c r="X266" s="41"/>
      <c r="Y266" s="41"/>
      <c r="Z266" s="41"/>
      <c r="AA266" s="41"/>
      <c r="AB266" s="41"/>
      <c r="AC266" s="41"/>
      <c r="AD266" s="41"/>
      <c r="AE266" s="41"/>
      <c r="AF266" s="41"/>
      <c r="AG266" s="41"/>
      <c r="AH266" s="41"/>
    </row>
    <row r="267" spans="1:34">
      <c r="A267" s="46" t="s">
        <v>214</v>
      </c>
      <c r="B267" s="46"/>
      <c r="C267" s="40">
        <v>1.2515583871999998E-4</v>
      </c>
      <c r="D267" s="41" t="s">
        <v>13</v>
      </c>
      <c r="E267" s="41" t="s">
        <v>109</v>
      </c>
      <c r="F267" s="46" t="s">
        <v>183</v>
      </c>
      <c r="G267" s="46"/>
      <c r="H267" s="41" t="s">
        <v>15</v>
      </c>
      <c r="I267" s="41" t="s">
        <v>215</v>
      </c>
      <c r="J267" s="46"/>
      <c r="K267" s="46"/>
      <c r="L267" s="41"/>
      <c r="M267" s="41"/>
      <c r="N267" s="41"/>
      <c r="O267" s="41"/>
      <c r="P267" s="41"/>
      <c r="Q267" s="41"/>
      <c r="R267" s="41"/>
      <c r="S267" s="41"/>
      <c r="T267" s="41"/>
      <c r="U267" s="41"/>
      <c r="V267" s="41"/>
      <c r="W267" s="41"/>
      <c r="X267" s="41"/>
      <c r="Y267" s="41"/>
      <c r="Z267" s="41"/>
      <c r="AA267" s="41"/>
      <c r="AB267" s="41"/>
      <c r="AC267" s="41"/>
      <c r="AD267" s="41"/>
      <c r="AE267" s="41"/>
      <c r="AF267" s="41"/>
      <c r="AG267" s="41"/>
      <c r="AH267" s="41"/>
    </row>
    <row r="268" spans="1:34">
      <c r="A268" s="46" t="s">
        <v>115</v>
      </c>
      <c r="B268" s="46"/>
      <c r="C268" s="40">
        <v>6.5182656435999982E-6</v>
      </c>
      <c r="D268" s="41" t="s">
        <v>13</v>
      </c>
      <c r="E268" s="41" t="s">
        <v>109</v>
      </c>
      <c r="F268" s="46" t="s">
        <v>183</v>
      </c>
      <c r="G268" s="46"/>
      <c r="H268" s="41" t="s">
        <v>15</v>
      </c>
      <c r="I268" s="41" t="s">
        <v>215</v>
      </c>
      <c r="J268" s="46"/>
      <c r="K268" s="46"/>
      <c r="L268" s="41"/>
      <c r="M268" s="41"/>
      <c r="N268" s="41"/>
      <c r="O268" s="41"/>
      <c r="P268" s="41"/>
      <c r="Q268" s="41"/>
      <c r="R268" s="41"/>
      <c r="S268" s="41"/>
      <c r="T268" s="41"/>
      <c r="U268" s="41"/>
      <c r="V268" s="41"/>
      <c r="W268" s="41"/>
      <c r="X268" s="41"/>
      <c r="Y268" s="41"/>
      <c r="Z268" s="41"/>
      <c r="AA268" s="41"/>
      <c r="AB268" s="41"/>
      <c r="AC268" s="41"/>
      <c r="AD268" s="41"/>
      <c r="AE268" s="41"/>
      <c r="AF268" s="41"/>
      <c r="AG268" s="41"/>
      <c r="AH268" s="41"/>
    </row>
    <row r="269" spans="1:34">
      <c r="A269" s="46" t="s">
        <v>119</v>
      </c>
      <c r="B269" s="46"/>
      <c r="C269" s="40">
        <v>3.9108905687999992E-5</v>
      </c>
      <c r="D269" s="41" t="s">
        <v>13</v>
      </c>
      <c r="E269" s="41" t="s">
        <v>109</v>
      </c>
      <c r="F269" s="46" t="s">
        <v>183</v>
      </c>
      <c r="G269" s="46"/>
      <c r="H269" s="41" t="s">
        <v>15</v>
      </c>
      <c r="I269" s="41" t="s">
        <v>215</v>
      </c>
      <c r="J269" s="46"/>
      <c r="K269" s="46"/>
      <c r="L269" s="41"/>
      <c r="M269" s="41"/>
      <c r="N269" s="41"/>
      <c r="O269" s="41"/>
      <c r="P269" s="41"/>
      <c r="Q269" s="41"/>
      <c r="R269" s="41"/>
      <c r="S269" s="41"/>
      <c r="T269" s="41"/>
      <c r="U269" s="41"/>
      <c r="V269" s="41"/>
      <c r="W269" s="41"/>
      <c r="X269" s="41"/>
      <c r="Y269" s="41"/>
      <c r="Z269" s="41"/>
      <c r="AA269" s="41"/>
      <c r="AB269" s="41"/>
      <c r="AC269" s="41"/>
      <c r="AD269" s="41"/>
      <c r="AE269" s="41"/>
      <c r="AF269" s="41"/>
      <c r="AG269" s="41"/>
      <c r="AH269" s="41"/>
    </row>
    <row r="270" spans="1:34">
      <c r="A270" s="46" t="s">
        <v>125</v>
      </c>
      <c r="B270" s="46"/>
      <c r="C270" s="40">
        <v>6.5182656435999986E-5</v>
      </c>
      <c r="D270" s="41" t="s">
        <v>13</v>
      </c>
      <c r="E270" s="41" t="s">
        <v>109</v>
      </c>
      <c r="F270" s="46" t="s">
        <v>183</v>
      </c>
      <c r="G270" s="46"/>
      <c r="H270" s="41" t="s">
        <v>15</v>
      </c>
      <c r="I270" s="41" t="s">
        <v>215</v>
      </c>
      <c r="J270" s="46"/>
      <c r="K270" s="46"/>
      <c r="L270" s="41"/>
      <c r="M270" s="41"/>
      <c r="N270" s="41"/>
      <c r="O270" s="41"/>
      <c r="P270" s="41"/>
      <c r="Q270" s="41"/>
      <c r="R270" s="41"/>
      <c r="S270" s="41"/>
      <c r="T270" s="41"/>
      <c r="U270" s="41"/>
      <c r="V270" s="41"/>
      <c r="W270" s="41"/>
      <c r="X270" s="41"/>
      <c r="Y270" s="41"/>
      <c r="Z270" s="41"/>
      <c r="AA270" s="41"/>
      <c r="AB270" s="41"/>
      <c r="AC270" s="41"/>
      <c r="AD270" s="41"/>
      <c r="AE270" s="41"/>
      <c r="AF270" s="41"/>
      <c r="AG270" s="41"/>
      <c r="AH270" s="41"/>
    </row>
    <row r="271" spans="1:34">
      <c r="A271" s="46" t="s">
        <v>216</v>
      </c>
      <c r="B271" s="46"/>
      <c r="C271" s="40">
        <v>5.2146354539999984E-6</v>
      </c>
      <c r="D271" s="41" t="s">
        <v>13</v>
      </c>
      <c r="E271" s="41" t="s">
        <v>109</v>
      </c>
      <c r="F271" s="46" t="s">
        <v>183</v>
      </c>
      <c r="G271" s="46"/>
      <c r="H271" s="41" t="s">
        <v>15</v>
      </c>
      <c r="I271" s="41" t="s">
        <v>215</v>
      </c>
      <c r="J271" s="46"/>
      <c r="K271" s="46"/>
      <c r="L271" s="41"/>
      <c r="M271" s="41"/>
      <c r="N271" s="41"/>
      <c r="O271" s="41"/>
      <c r="P271" s="41"/>
      <c r="Q271" s="41"/>
      <c r="R271" s="41"/>
      <c r="S271" s="41"/>
      <c r="T271" s="41"/>
      <c r="U271" s="41"/>
      <c r="V271" s="41"/>
      <c r="W271" s="41"/>
      <c r="X271" s="41"/>
      <c r="Y271" s="41"/>
      <c r="Z271" s="41"/>
      <c r="AA271" s="41"/>
      <c r="AB271" s="41"/>
      <c r="AC271" s="41"/>
      <c r="AD271" s="41"/>
      <c r="AE271" s="41"/>
      <c r="AF271" s="41"/>
      <c r="AG271" s="41"/>
      <c r="AH271" s="41"/>
    </row>
    <row r="272" spans="1:34">
      <c r="A272" s="46" t="s">
        <v>217</v>
      </c>
      <c r="B272" s="46"/>
      <c r="C272" s="40">
        <v>1.8251510827999994E-11</v>
      </c>
      <c r="D272" s="41" t="s">
        <v>13</v>
      </c>
      <c r="E272" s="41" t="s">
        <v>109</v>
      </c>
      <c r="F272" s="46" t="s">
        <v>183</v>
      </c>
      <c r="G272" s="46"/>
      <c r="H272" s="41" t="s">
        <v>15</v>
      </c>
      <c r="I272" s="41" t="s">
        <v>215</v>
      </c>
      <c r="J272" s="46"/>
      <c r="K272" s="46"/>
      <c r="L272" s="41"/>
      <c r="M272" s="41"/>
      <c r="N272" s="41"/>
      <c r="O272" s="41"/>
      <c r="P272" s="41"/>
      <c r="Q272" s="41"/>
      <c r="R272" s="41"/>
      <c r="S272" s="41"/>
      <c r="T272" s="41"/>
      <c r="U272" s="41"/>
      <c r="V272" s="41"/>
      <c r="W272" s="41"/>
      <c r="X272" s="41"/>
      <c r="Y272" s="41"/>
      <c r="Z272" s="41"/>
      <c r="AA272" s="41"/>
      <c r="AB272" s="41"/>
      <c r="AC272" s="41"/>
      <c r="AD272" s="41"/>
      <c r="AE272" s="41"/>
      <c r="AF272" s="41"/>
      <c r="AG272" s="41"/>
      <c r="AH272" s="41"/>
    </row>
    <row r="273" spans="1:34" s="69" customFormat="1">
      <c r="A273" s="67"/>
      <c r="B273" s="67"/>
      <c r="C273" s="68"/>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row>
    <row r="274" spans="1:34">
      <c r="A274" s="39" t="s">
        <v>1</v>
      </c>
      <c r="B274" s="39" t="s">
        <v>218</v>
      </c>
      <c r="C274" s="40"/>
      <c r="D274" s="41"/>
      <c r="E274" s="41"/>
      <c r="F274" s="41"/>
      <c r="G274" s="41"/>
      <c r="H274" s="41"/>
      <c r="I274" s="41"/>
      <c r="J274" s="41"/>
    </row>
    <row r="275" spans="1:34">
      <c r="A275" s="39" t="s">
        <v>11</v>
      </c>
      <c r="B275" s="41" t="s">
        <v>441</v>
      </c>
      <c r="C275" s="40"/>
      <c r="D275" s="41"/>
      <c r="E275" s="41"/>
      <c r="F275" s="41"/>
      <c r="G275" s="41"/>
      <c r="H275" s="41"/>
      <c r="I275" s="41"/>
      <c r="J275" s="41"/>
    </row>
    <row r="276" spans="1:34">
      <c r="A276" s="39" t="s">
        <v>2</v>
      </c>
      <c r="B276" s="41" t="s">
        <v>29</v>
      </c>
      <c r="C276" s="40"/>
      <c r="D276" s="41"/>
      <c r="E276" s="41"/>
      <c r="F276" s="41"/>
      <c r="G276" s="41"/>
      <c r="H276" s="41"/>
      <c r="I276" s="41"/>
      <c r="J276" s="41"/>
    </row>
    <row r="277" spans="1:34">
      <c r="A277" s="42" t="s">
        <v>4</v>
      </c>
      <c r="B277" s="41" t="s">
        <v>195</v>
      </c>
      <c r="D277" s="41"/>
      <c r="E277" s="41"/>
      <c r="F277" s="41"/>
      <c r="G277" s="41"/>
      <c r="H277" s="41"/>
      <c r="I277" s="41"/>
      <c r="J277" s="41"/>
    </row>
    <row r="278" spans="1:34">
      <c r="A278" s="39" t="s">
        <v>3</v>
      </c>
      <c r="B278" s="43">
        <v>1</v>
      </c>
      <c r="C278" s="40"/>
      <c r="D278" s="41"/>
      <c r="E278" s="41"/>
      <c r="F278" s="41"/>
      <c r="G278" s="41"/>
      <c r="H278" s="41"/>
      <c r="I278" s="41"/>
      <c r="J278" s="41"/>
    </row>
    <row r="279" spans="1:34">
      <c r="A279" s="39" t="s">
        <v>6</v>
      </c>
      <c r="B279" s="41" t="s">
        <v>128</v>
      </c>
      <c r="C279" s="40"/>
      <c r="D279" s="41"/>
      <c r="E279" s="41"/>
      <c r="F279" s="41"/>
      <c r="G279" s="41"/>
      <c r="H279" s="41"/>
      <c r="I279" s="41"/>
      <c r="J279" s="41"/>
    </row>
    <row r="280" spans="1:34">
      <c r="A280" s="39" t="s">
        <v>76</v>
      </c>
      <c r="B280" s="41"/>
      <c r="C280" s="40"/>
      <c r="D280" s="44"/>
      <c r="E280" s="41"/>
      <c r="F280" s="41"/>
      <c r="G280" s="41"/>
      <c r="H280" s="41"/>
      <c r="I280" s="41"/>
      <c r="J280" s="41"/>
    </row>
    <row r="281" spans="1:34">
      <c r="A281" s="39" t="s">
        <v>7</v>
      </c>
      <c r="B281" s="41"/>
      <c r="C281" s="40"/>
      <c r="D281" s="41"/>
      <c r="E281" s="41"/>
      <c r="F281" s="41"/>
      <c r="G281" s="41"/>
      <c r="H281" s="41"/>
      <c r="I281" s="41"/>
      <c r="J281" s="41"/>
    </row>
    <row r="282" spans="1:34">
      <c r="A282" s="39" t="s">
        <v>8</v>
      </c>
      <c r="B282" s="39" t="s">
        <v>4</v>
      </c>
      <c r="C282" s="45" t="s">
        <v>9</v>
      </c>
      <c r="D282" s="39" t="s">
        <v>6</v>
      </c>
      <c r="E282" s="39" t="s">
        <v>106</v>
      </c>
      <c r="F282" s="39" t="s">
        <v>10</v>
      </c>
      <c r="G282" s="39" t="s">
        <v>2</v>
      </c>
      <c r="H282" s="39" t="s">
        <v>5</v>
      </c>
      <c r="I282" s="39" t="s">
        <v>11</v>
      </c>
      <c r="J282" s="41"/>
    </row>
    <row r="283" spans="1:34">
      <c r="A283" s="46" t="s">
        <v>218</v>
      </c>
      <c r="B283" s="46" t="s">
        <v>195</v>
      </c>
      <c r="C283" s="47">
        <v>1</v>
      </c>
      <c r="D283" s="41" t="s">
        <v>128</v>
      </c>
      <c r="E283" s="46" t="s">
        <v>196</v>
      </c>
      <c r="F283" s="46"/>
      <c r="G283" s="46" t="s">
        <v>29</v>
      </c>
      <c r="H283" s="46" t="s">
        <v>18</v>
      </c>
      <c r="I283" s="46"/>
      <c r="J283" s="46"/>
    </row>
    <row r="284" spans="1:34">
      <c r="A284" s="46" t="s">
        <v>219</v>
      </c>
      <c r="B284" s="46" t="s">
        <v>220</v>
      </c>
      <c r="C284" s="47">
        <v>8.5232248605658256</v>
      </c>
      <c r="D284" s="41" t="s">
        <v>13</v>
      </c>
      <c r="E284" s="46" t="s">
        <v>196</v>
      </c>
      <c r="F284" s="46"/>
      <c r="G284" s="46" t="s">
        <v>29</v>
      </c>
      <c r="H284" s="46" t="s">
        <v>12</v>
      </c>
      <c r="I284" s="46" t="s">
        <v>221</v>
      </c>
      <c r="J284" s="46"/>
    </row>
    <row r="285" spans="1:34">
      <c r="A285" s="46" t="s">
        <v>28</v>
      </c>
      <c r="B285" s="46" t="s">
        <v>20</v>
      </c>
      <c r="C285" s="47">
        <v>0.14149097282644188</v>
      </c>
      <c r="D285" s="41" t="s">
        <v>19</v>
      </c>
      <c r="E285" s="46" t="s">
        <v>205</v>
      </c>
      <c r="F285" s="46"/>
      <c r="G285" s="46" t="s">
        <v>29</v>
      </c>
      <c r="H285" s="46" t="s">
        <v>12</v>
      </c>
      <c r="I285" s="46"/>
      <c r="J285" s="46"/>
      <c r="K285" s="46"/>
      <c r="L285" s="41"/>
      <c r="M285" s="41"/>
      <c r="N285" s="41"/>
      <c r="O285" s="41"/>
      <c r="P285" s="41"/>
      <c r="Q285" s="41"/>
      <c r="R285" s="41"/>
      <c r="S285" s="41"/>
      <c r="T285" s="41"/>
      <c r="U285" s="41"/>
      <c r="V285" s="41"/>
      <c r="W285" s="41"/>
      <c r="X285" s="41"/>
      <c r="Y285" s="41"/>
      <c r="Z285" s="41"/>
      <c r="AA285" s="41"/>
      <c r="AB285" s="41"/>
      <c r="AC285" s="41"/>
      <c r="AD285" s="41"/>
      <c r="AE285" s="41"/>
      <c r="AF285" s="41"/>
      <c r="AG285" s="41"/>
      <c r="AH285" s="41"/>
    </row>
    <row r="286" spans="1:34">
      <c r="A286" s="41" t="s">
        <v>206</v>
      </c>
      <c r="B286" s="46" t="s">
        <v>207</v>
      </c>
      <c r="C286" s="40">
        <v>3.2478194058327522E-7</v>
      </c>
      <c r="D286" s="41" t="s">
        <v>6</v>
      </c>
      <c r="E286" s="46" t="s">
        <v>205</v>
      </c>
      <c r="F286" s="46"/>
      <c r="G286" s="46" t="s">
        <v>208</v>
      </c>
      <c r="H286" s="46" t="s">
        <v>12</v>
      </c>
      <c r="I286" s="59"/>
      <c r="J286" s="46"/>
      <c r="K286" s="46"/>
      <c r="L286" s="41"/>
      <c r="M286" s="41"/>
      <c r="N286" s="41"/>
      <c r="O286" s="41"/>
      <c r="P286" s="41"/>
      <c r="Q286" s="41"/>
      <c r="R286" s="41"/>
      <c r="S286" s="41"/>
      <c r="T286" s="41"/>
      <c r="U286" s="41"/>
      <c r="V286" s="41"/>
      <c r="W286" s="41"/>
      <c r="X286" s="41"/>
      <c r="Y286" s="41"/>
      <c r="Z286" s="41"/>
      <c r="AA286" s="41"/>
      <c r="AB286" s="41"/>
      <c r="AC286" s="41"/>
      <c r="AD286" s="41"/>
      <c r="AE286" s="41"/>
      <c r="AF286" s="41"/>
      <c r="AG286" s="41"/>
      <c r="AH286" s="41"/>
    </row>
    <row r="287" spans="1:34">
      <c r="A287" s="46" t="s">
        <v>209</v>
      </c>
      <c r="B287" s="46" t="s">
        <v>210</v>
      </c>
      <c r="C287" s="40">
        <v>1.2259126889049042E-6</v>
      </c>
      <c r="D287" s="41" t="s">
        <v>6</v>
      </c>
      <c r="E287" s="46" t="s">
        <v>205</v>
      </c>
      <c r="F287" s="46"/>
      <c r="G287" s="46" t="s">
        <v>140</v>
      </c>
      <c r="H287" s="46" t="s">
        <v>12</v>
      </c>
      <c r="I287" s="46" t="s">
        <v>222</v>
      </c>
      <c r="J287" s="46"/>
      <c r="K287" s="46"/>
      <c r="L287" s="41"/>
      <c r="M287" s="41"/>
      <c r="N287" s="41"/>
      <c r="O287" s="41"/>
      <c r="P287" s="41"/>
      <c r="Q287" s="41"/>
      <c r="R287" s="41"/>
      <c r="S287" s="41"/>
      <c r="T287" s="41"/>
      <c r="U287" s="41"/>
      <c r="V287" s="41"/>
      <c r="W287" s="41"/>
      <c r="X287" s="41"/>
      <c r="Y287" s="41"/>
      <c r="Z287" s="41"/>
      <c r="AA287" s="41"/>
      <c r="AB287" s="41"/>
      <c r="AC287" s="41"/>
      <c r="AD287" s="41"/>
      <c r="AE287" s="41"/>
      <c r="AF287" s="41"/>
      <c r="AG287" s="41"/>
      <c r="AH287" s="41"/>
    </row>
    <row r="288" spans="1:34">
      <c r="A288" s="40" t="s">
        <v>197</v>
      </c>
      <c r="B288" s="41"/>
      <c r="C288" s="47">
        <v>2.2505808627236248</v>
      </c>
      <c r="D288" s="41" t="s">
        <v>13</v>
      </c>
      <c r="E288" s="41" t="s">
        <v>109</v>
      </c>
      <c r="F288" s="41" t="s">
        <v>198</v>
      </c>
      <c r="G288" s="41"/>
      <c r="H288" s="41" t="s">
        <v>15</v>
      </c>
      <c r="I288" s="41" t="s">
        <v>211</v>
      </c>
      <c r="J288" s="41"/>
      <c r="K288" s="41"/>
      <c r="L288" s="41"/>
      <c r="M288" s="41"/>
      <c r="N288" s="41"/>
      <c r="O288" s="41"/>
      <c r="P288" s="41"/>
      <c r="Q288" s="41"/>
      <c r="R288" s="41"/>
      <c r="S288" s="41"/>
      <c r="T288" s="41"/>
      <c r="U288" s="41"/>
      <c r="V288" s="41"/>
      <c r="W288" s="41"/>
      <c r="X288" s="41"/>
      <c r="Y288" s="41"/>
      <c r="Z288" s="41"/>
      <c r="AA288" s="41"/>
      <c r="AB288" s="41"/>
      <c r="AC288" s="41"/>
      <c r="AD288" s="41"/>
      <c r="AE288" s="41"/>
      <c r="AF288" s="41"/>
      <c r="AG288" s="41"/>
      <c r="AH288" s="41"/>
    </row>
    <row r="289" spans="1:34">
      <c r="A289" s="46" t="s">
        <v>212</v>
      </c>
      <c r="B289" s="46"/>
      <c r="C289" s="47">
        <v>0.26554760117984672</v>
      </c>
      <c r="D289" s="41" t="s">
        <v>13</v>
      </c>
      <c r="E289" s="41" t="s">
        <v>109</v>
      </c>
      <c r="F289" s="46" t="s">
        <v>183</v>
      </c>
      <c r="G289" s="46"/>
      <c r="H289" s="41" t="s">
        <v>15</v>
      </c>
      <c r="I289" s="41" t="s">
        <v>213</v>
      </c>
      <c r="J289" s="46"/>
      <c r="K289" s="46"/>
      <c r="L289" s="41"/>
      <c r="M289" s="41"/>
      <c r="N289" s="41"/>
      <c r="O289" s="41"/>
      <c r="P289" s="41"/>
      <c r="Q289" s="41"/>
      <c r="R289" s="41"/>
      <c r="S289" s="41"/>
      <c r="T289" s="41"/>
      <c r="U289" s="41"/>
      <c r="V289" s="41"/>
      <c r="W289" s="41"/>
      <c r="X289" s="41"/>
      <c r="Y289" s="41"/>
      <c r="Z289" s="41"/>
      <c r="AA289" s="41"/>
      <c r="AB289" s="41"/>
      <c r="AC289" s="41"/>
      <c r="AD289" s="41"/>
      <c r="AE289" s="41"/>
      <c r="AF289" s="41"/>
      <c r="AG289" s="41"/>
      <c r="AH289" s="41"/>
    </row>
    <row r="290" spans="1:34">
      <c r="A290" s="46" t="s">
        <v>184</v>
      </c>
      <c r="B290" s="46"/>
      <c r="C290" s="47">
        <v>1.4411332292900546E-2</v>
      </c>
      <c r="D290" s="41" t="s">
        <v>13</v>
      </c>
      <c r="E290" s="41" t="s">
        <v>109</v>
      </c>
      <c r="F290" s="46" t="s">
        <v>183</v>
      </c>
      <c r="G290" s="46"/>
      <c r="H290" s="41" t="s">
        <v>15</v>
      </c>
      <c r="I290" s="41" t="s">
        <v>213</v>
      </c>
      <c r="J290" s="46"/>
      <c r="K290" s="46"/>
      <c r="L290" s="41"/>
      <c r="M290" s="41"/>
      <c r="N290" s="41"/>
      <c r="O290" s="41"/>
      <c r="P290" s="41"/>
      <c r="Q290" s="41"/>
      <c r="R290" s="41"/>
      <c r="S290" s="41"/>
      <c r="T290" s="41"/>
      <c r="U290" s="41"/>
      <c r="V290" s="41"/>
      <c r="W290" s="41"/>
      <c r="X290" s="41"/>
      <c r="Y290" s="41"/>
      <c r="Z290" s="41"/>
      <c r="AA290" s="41"/>
      <c r="AB290" s="41"/>
      <c r="AC290" s="41"/>
      <c r="AD290" s="41"/>
      <c r="AE290" s="41"/>
      <c r="AF290" s="41"/>
      <c r="AG290" s="41"/>
      <c r="AH290" s="41"/>
    </row>
    <row r="291" spans="1:34">
      <c r="A291" s="46" t="s">
        <v>214</v>
      </c>
      <c r="B291" s="46"/>
      <c r="C291" s="40">
        <v>1.2515583872E-4</v>
      </c>
      <c r="D291" s="41" t="s">
        <v>13</v>
      </c>
      <c r="E291" s="41" t="s">
        <v>109</v>
      </c>
      <c r="F291" s="46" t="s">
        <v>183</v>
      </c>
      <c r="G291" s="46"/>
      <c r="H291" s="41" t="s">
        <v>15</v>
      </c>
      <c r="I291" s="41" t="s">
        <v>215</v>
      </c>
      <c r="J291" s="46"/>
      <c r="K291" s="46"/>
      <c r="L291" s="41"/>
      <c r="M291" s="41"/>
      <c r="N291" s="41"/>
      <c r="O291" s="41"/>
      <c r="P291" s="41"/>
      <c r="Q291" s="41"/>
      <c r="R291" s="41"/>
      <c r="S291" s="41"/>
      <c r="T291" s="41"/>
      <c r="U291" s="41"/>
      <c r="V291" s="41"/>
      <c r="W291" s="41"/>
      <c r="X291" s="41"/>
      <c r="Y291" s="41"/>
      <c r="Z291" s="41"/>
      <c r="AA291" s="41"/>
      <c r="AB291" s="41"/>
      <c r="AC291" s="41"/>
      <c r="AD291" s="41"/>
      <c r="AE291" s="41"/>
      <c r="AF291" s="41"/>
      <c r="AG291" s="41"/>
      <c r="AH291" s="41"/>
    </row>
    <row r="292" spans="1:34">
      <c r="A292" s="46" t="s">
        <v>115</v>
      </c>
      <c r="B292" s="46"/>
      <c r="C292" s="40">
        <v>6.5182656435999991E-6</v>
      </c>
      <c r="D292" s="41" t="s">
        <v>13</v>
      </c>
      <c r="E292" s="41" t="s">
        <v>109</v>
      </c>
      <c r="F292" s="46" t="s">
        <v>183</v>
      </c>
      <c r="G292" s="46"/>
      <c r="H292" s="41" t="s">
        <v>15</v>
      </c>
      <c r="I292" s="41" t="s">
        <v>215</v>
      </c>
      <c r="J292" s="46"/>
      <c r="K292" s="46"/>
      <c r="L292" s="41"/>
      <c r="M292" s="41"/>
      <c r="N292" s="41"/>
      <c r="O292" s="41"/>
      <c r="P292" s="41"/>
      <c r="Q292" s="41"/>
      <c r="R292" s="41"/>
      <c r="S292" s="41"/>
      <c r="T292" s="41"/>
      <c r="U292" s="41"/>
      <c r="V292" s="41"/>
      <c r="W292" s="41"/>
      <c r="X292" s="41"/>
      <c r="Y292" s="41"/>
      <c r="Z292" s="41"/>
      <c r="AA292" s="41"/>
      <c r="AB292" s="41"/>
      <c r="AC292" s="41"/>
      <c r="AD292" s="41"/>
      <c r="AE292" s="41"/>
      <c r="AF292" s="41"/>
      <c r="AG292" s="41"/>
      <c r="AH292" s="41"/>
    </row>
    <row r="293" spans="1:34">
      <c r="A293" s="46" t="s">
        <v>119</v>
      </c>
      <c r="B293" s="46"/>
      <c r="C293" s="40">
        <v>3.9108905687999992E-5</v>
      </c>
      <c r="D293" s="41" t="s">
        <v>13</v>
      </c>
      <c r="E293" s="41" t="s">
        <v>109</v>
      </c>
      <c r="F293" s="46" t="s">
        <v>183</v>
      </c>
      <c r="G293" s="46"/>
      <c r="H293" s="41" t="s">
        <v>15</v>
      </c>
      <c r="I293" s="41" t="s">
        <v>215</v>
      </c>
      <c r="J293" s="46"/>
      <c r="K293" s="46"/>
      <c r="L293" s="41"/>
      <c r="M293" s="41"/>
      <c r="N293" s="41"/>
      <c r="O293" s="41"/>
      <c r="P293" s="41"/>
      <c r="Q293" s="41"/>
      <c r="R293" s="41"/>
      <c r="S293" s="41"/>
      <c r="T293" s="41"/>
      <c r="U293" s="41"/>
      <c r="V293" s="41"/>
      <c r="W293" s="41"/>
      <c r="X293" s="41"/>
      <c r="Y293" s="41"/>
      <c r="Z293" s="41"/>
      <c r="AA293" s="41"/>
      <c r="AB293" s="41"/>
      <c r="AC293" s="41"/>
      <c r="AD293" s="41"/>
      <c r="AE293" s="41"/>
      <c r="AF293" s="41"/>
      <c r="AG293" s="41"/>
      <c r="AH293" s="41"/>
    </row>
    <row r="294" spans="1:34">
      <c r="A294" s="46" t="s">
        <v>125</v>
      </c>
      <c r="B294" s="46"/>
      <c r="C294" s="40">
        <v>6.5182656435999999E-5</v>
      </c>
      <c r="D294" s="41" t="s">
        <v>13</v>
      </c>
      <c r="E294" s="41" t="s">
        <v>109</v>
      </c>
      <c r="F294" s="46" t="s">
        <v>183</v>
      </c>
      <c r="G294" s="46"/>
      <c r="H294" s="41" t="s">
        <v>15</v>
      </c>
      <c r="I294" s="41" t="s">
        <v>215</v>
      </c>
      <c r="J294" s="46"/>
      <c r="K294" s="46"/>
      <c r="L294" s="41"/>
      <c r="M294" s="41"/>
      <c r="N294" s="41"/>
      <c r="O294" s="41"/>
      <c r="P294" s="41"/>
      <c r="Q294" s="41"/>
      <c r="R294" s="41"/>
      <c r="S294" s="41"/>
      <c r="T294" s="41"/>
      <c r="U294" s="41"/>
      <c r="V294" s="41"/>
      <c r="W294" s="41"/>
      <c r="X294" s="41"/>
      <c r="Y294" s="41"/>
      <c r="Z294" s="41"/>
      <c r="AA294" s="41"/>
      <c r="AB294" s="41"/>
      <c r="AC294" s="41"/>
      <c r="AD294" s="41"/>
      <c r="AE294" s="41"/>
      <c r="AF294" s="41"/>
      <c r="AG294" s="41"/>
      <c r="AH294" s="41"/>
    </row>
    <row r="295" spans="1:34">
      <c r="A295" s="46" t="s">
        <v>216</v>
      </c>
      <c r="B295" s="46"/>
      <c r="C295" s="40">
        <v>5.2146354539999992E-6</v>
      </c>
      <c r="D295" s="41" t="s">
        <v>13</v>
      </c>
      <c r="E295" s="41" t="s">
        <v>109</v>
      </c>
      <c r="F295" s="46" t="s">
        <v>183</v>
      </c>
      <c r="G295" s="46"/>
      <c r="H295" s="41" t="s">
        <v>15</v>
      </c>
      <c r="I295" s="41" t="s">
        <v>215</v>
      </c>
      <c r="J295" s="46"/>
      <c r="K295" s="46"/>
      <c r="L295" s="41"/>
      <c r="M295" s="41"/>
      <c r="N295" s="41"/>
      <c r="O295" s="41"/>
      <c r="P295" s="41"/>
      <c r="Q295" s="41"/>
      <c r="R295" s="41"/>
      <c r="S295" s="41"/>
      <c r="T295" s="41"/>
      <c r="U295" s="41"/>
      <c r="V295" s="41"/>
      <c r="W295" s="41"/>
      <c r="X295" s="41"/>
      <c r="Y295" s="41"/>
      <c r="Z295" s="41"/>
      <c r="AA295" s="41"/>
      <c r="AB295" s="41"/>
      <c r="AC295" s="41"/>
      <c r="AD295" s="41"/>
      <c r="AE295" s="41"/>
      <c r="AF295" s="41"/>
      <c r="AG295" s="41"/>
      <c r="AH295" s="41"/>
    </row>
    <row r="296" spans="1:34">
      <c r="A296" s="46" t="s">
        <v>217</v>
      </c>
      <c r="B296" s="46"/>
      <c r="C296" s="40">
        <v>1.8251510827999997E-11</v>
      </c>
      <c r="D296" s="41" t="s">
        <v>13</v>
      </c>
      <c r="E296" s="41" t="s">
        <v>109</v>
      </c>
      <c r="F296" s="46" t="s">
        <v>183</v>
      </c>
      <c r="G296" s="46"/>
      <c r="H296" s="41" t="s">
        <v>15</v>
      </c>
      <c r="I296" s="41" t="s">
        <v>215</v>
      </c>
      <c r="J296" s="46"/>
      <c r="K296" s="46"/>
      <c r="L296" s="41"/>
      <c r="M296" s="41"/>
      <c r="N296" s="41"/>
      <c r="O296" s="41"/>
      <c r="P296" s="41"/>
      <c r="Q296" s="41"/>
      <c r="R296" s="41"/>
      <c r="S296" s="41"/>
      <c r="T296" s="41"/>
      <c r="U296" s="41"/>
      <c r="V296" s="41"/>
      <c r="W296" s="41"/>
      <c r="X296" s="41"/>
      <c r="Y296" s="41"/>
      <c r="Z296" s="41"/>
      <c r="AA296" s="41"/>
      <c r="AB296" s="41"/>
      <c r="AC296" s="41"/>
      <c r="AD296" s="41"/>
      <c r="AE296" s="41"/>
      <c r="AF296" s="41"/>
      <c r="AG296" s="41"/>
      <c r="AH296" s="41"/>
    </row>
    <row r="297" spans="1:34" s="69" customFormat="1">
      <c r="A297" s="67"/>
      <c r="B297" s="67"/>
      <c r="C297" s="68"/>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row>
    <row r="298" spans="1:34">
      <c r="A298" s="39" t="s">
        <v>1</v>
      </c>
      <c r="B298" s="39" t="s">
        <v>223</v>
      </c>
      <c r="C298" s="40"/>
      <c r="D298" s="41"/>
      <c r="E298" s="41"/>
      <c r="F298" s="41"/>
      <c r="G298" s="41"/>
      <c r="H298" s="41"/>
      <c r="I298" s="41"/>
      <c r="J298" s="41"/>
      <c r="K298" s="41"/>
      <c r="L298" s="41"/>
      <c r="M298" s="41"/>
      <c r="N298" s="41"/>
      <c r="O298" s="41"/>
      <c r="P298" s="41"/>
      <c r="Q298" s="41"/>
      <c r="R298" s="41"/>
      <c r="S298" s="41"/>
      <c r="T298" s="41"/>
      <c r="U298" s="41"/>
      <c r="V298" s="41"/>
      <c r="W298" s="41"/>
      <c r="X298" s="41"/>
      <c r="Y298" s="41"/>
      <c r="Z298" s="41"/>
      <c r="AA298" s="41"/>
      <c r="AB298" s="41"/>
      <c r="AC298" s="41"/>
      <c r="AD298" s="41"/>
      <c r="AE298" s="41"/>
      <c r="AF298" s="41"/>
      <c r="AG298" s="41"/>
      <c r="AH298" s="41"/>
    </row>
    <row r="299" spans="1:34">
      <c r="A299" s="39" t="s">
        <v>11</v>
      </c>
      <c r="B299" s="41" t="s">
        <v>442</v>
      </c>
      <c r="C299" s="40"/>
      <c r="D299" s="41"/>
      <c r="E299" s="41"/>
      <c r="F299" s="41"/>
      <c r="G299" s="41"/>
      <c r="H299" s="41"/>
      <c r="I299" s="41"/>
      <c r="J299" s="41"/>
      <c r="K299" s="41"/>
      <c r="L299" s="41"/>
      <c r="M299" s="41"/>
      <c r="N299" s="41"/>
      <c r="O299" s="41"/>
      <c r="P299" s="41"/>
      <c r="Q299" s="41"/>
      <c r="R299" s="41"/>
      <c r="S299" s="41"/>
      <c r="T299" s="41"/>
      <c r="U299" s="41"/>
      <c r="V299" s="41"/>
      <c r="W299" s="41"/>
      <c r="X299" s="41"/>
      <c r="Y299" s="41"/>
      <c r="Z299" s="41"/>
      <c r="AA299" s="41"/>
      <c r="AB299" s="41"/>
      <c r="AC299" s="41"/>
      <c r="AD299" s="41"/>
      <c r="AE299" s="41"/>
      <c r="AF299" s="41"/>
      <c r="AG299" s="41"/>
      <c r="AH299" s="41"/>
    </row>
    <row r="300" spans="1:34">
      <c r="A300" s="39" t="s">
        <v>2</v>
      </c>
      <c r="B300" s="41" t="s">
        <v>29</v>
      </c>
      <c r="C300" s="40"/>
      <c r="D300" s="41"/>
      <c r="E300" s="41"/>
      <c r="F300" s="41"/>
      <c r="G300" s="41"/>
      <c r="H300" s="41"/>
      <c r="I300" s="41"/>
      <c r="J300" s="41"/>
      <c r="K300" s="41"/>
      <c r="L300" s="41"/>
      <c r="M300" s="41"/>
      <c r="N300" s="41"/>
      <c r="O300" s="41"/>
      <c r="P300" s="41"/>
      <c r="Q300" s="41"/>
      <c r="R300" s="41"/>
      <c r="S300" s="41"/>
      <c r="T300" s="41"/>
      <c r="U300" s="41"/>
      <c r="V300" s="41"/>
      <c r="W300" s="41"/>
      <c r="X300" s="41"/>
      <c r="Y300" s="41"/>
      <c r="Z300" s="41"/>
      <c r="AA300" s="41"/>
      <c r="AB300" s="41"/>
      <c r="AC300" s="41"/>
      <c r="AD300" s="41"/>
      <c r="AE300" s="41"/>
      <c r="AF300" s="41"/>
      <c r="AG300" s="41"/>
      <c r="AH300" s="41"/>
    </row>
    <row r="301" spans="1:34">
      <c r="A301" s="42" t="s">
        <v>4</v>
      </c>
      <c r="B301" s="41" t="s">
        <v>195</v>
      </c>
      <c r="C301" s="40"/>
      <c r="D301" s="41"/>
      <c r="E301" s="41"/>
      <c r="F301" s="41"/>
      <c r="G301" s="41"/>
      <c r="H301" s="41"/>
      <c r="I301" s="41"/>
      <c r="J301" s="41"/>
      <c r="K301" s="41"/>
      <c r="L301" s="41"/>
      <c r="M301" s="41"/>
      <c r="N301" s="41"/>
      <c r="O301" s="41"/>
      <c r="P301" s="41"/>
      <c r="Q301" s="41"/>
      <c r="R301" s="41"/>
      <c r="S301" s="41"/>
      <c r="T301" s="41"/>
      <c r="U301" s="41"/>
      <c r="V301" s="41"/>
      <c r="W301" s="41"/>
      <c r="X301" s="41"/>
      <c r="Y301" s="41"/>
      <c r="Z301" s="41"/>
      <c r="AA301" s="41"/>
      <c r="AB301" s="41"/>
      <c r="AC301" s="41"/>
      <c r="AD301" s="41"/>
      <c r="AE301" s="41"/>
      <c r="AF301" s="41"/>
      <c r="AG301" s="41"/>
      <c r="AH301" s="41"/>
    </row>
    <row r="302" spans="1:34">
      <c r="A302" s="39" t="s">
        <v>3</v>
      </c>
      <c r="B302" s="43">
        <v>1</v>
      </c>
      <c r="C302" s="40"/>
      <c r="D302" s="44"/>
      <c r="E302" s="41"/>
      <c r="F302" s="41"/>
      <c r="G302" s="41"/>
      <c r="H302" s="41"/>
      <c r="I302" s="41"/>
      <c r="J302" s="41"/>
      <c r="K302" s="41"/>
      <c r="L302" s="41"/>
      <c r="M302" s="41"/>
      <c r="N302" s="41"/>
      <c r="O302" s="41"/>
      <c r="P302" s="41"/>
      <c r="Q302" s="41"/>
      <c r="R302" s="41"/>
      <c r="S302" s="41"/>
      <c r="T302" s="41"/>
      <c r="U302" s="41"/>
      <c r="V302" s="41"/>
      <c r="W302" s="41"/>
      <c r="X302" s="41"/>
      <c r="Y302" s="41"/>
      <c r="Z302" s="41"/>
      <c r="AA302" s="41"/>
      <c r="AB302" s="41"/>
      <c r="AC302" s="41"/>
      <c r="AD302" s="41"/>
      <c r="AE302" s="41"/>
      <c r="AF302" s="41"/>
      <c r="AG302" s="41"/>
      <c r="AH302" s="41"/>
    </row>
    <row r="303" spans="1:34">
      <c r="A303" s="39" t="s">
        <v>6</v>
      </c>
      <c r="B303" s="41" t="s">
        <v>128</v>
      </c>
      <c r="C303" s="40"/>
      <c r="D303" s="44"/>
      <c r="E303" s="41"/>
      <c r="F303" s="41"/>
      <c r="G303" s="41"/>
      <c r="H303" s="41"/>
      <c r="I303" s="41"/>
      <c r="J303" s="41"/>
      <c r="K303" s="41"/>
      <c r="L303" s="41"/>
      <c r="M303" s="41"/>
      <c r="N303" s="41"/>
      <c r="O303" s="41"/>
      <c r="P303" s="41"/>
      <c r="Q303" s="41"/>
      <c r="R303" s="41"/>
      <c r="S303" s="41"/>
      <c r="T303" s="41"/>
      <c r="U303" s="41"/>
      <c r="V303" s="41"/>
      <c r="W303" s="41"/>
      <c r="X303" s="41"/>
      <c r="Y303" s="41"/>
      <c r="Z303" s="41"/>
      <c r="AA303" s="41"/>
      <c r="AB303" s="41"/>
      <c r="AC303" s="41"/>
      <c r="AD303" s="41"/>
      <c r="AE303" s="41"/>
      <c r="AF303" s="41"/>
      <c r="AG303" s="41"/>
      <c r="AH303" s="41"/>
    </row>
    <row r="304" spans="1:34">
      <c r="A304" s="39" t="s">
        <v>76</v>
      </c>
      <c r="B304" s="41"/>
      <c r="C304" s="40"/>
      <c r="D304" s="44"/>
      <c r="E304" s="41"/>
      <c r="F304" s="41"/>
      <c r="G304" s="41"/>
      <c r="H304" s="41"/>
      <c r="I304" s="41"/>
      <c r="J304" s="41"/>
      <c r="K304" s="41"/>
      <c r="L304" s="41"/>
      <c r="M304" s="41"/>
      <c r="N304" s="41"/>
      <c r="O304" s="41"/>
      <c r="P304" s="41"/>
      <c r="Q304" s="41"/>
      <c r="R304" s="41"/>
      <c r="S304" s="41"/>
      <c r="T304" s="41"/>
      <c r="U304" s="41"/>
      <c r="V304" s="41"/>
      <c r="W304" s="41"/>
      <c r="X304" s="41"/>
      <c r="Y304" s="41"/>
      <c r="Z304" s="41"/>
      <c r="AA304" s="41"/>
      <c r="AB304" s="41"/>
      <c r="AC304" s="41"/>
      <c r="AD304" s="41"/>
      <c r="AE304" s="41"/>
      <c r="AF304" s="41"/>
      <c r="AG304" s="41"/>
      <c r="AH304" s="41"/>
    </row>
    <row r="305" spans="1:34">
      <c r="A305" s="39" t="s">
        <v>7</v>
      </c>
      <c r="B305" s="41"/>
      <c r="C305" s="40"/>
      <c r="D305" s="41"/>
      <c r="E305" s="41"/>
      <c r="F305" s="41"/>
      <c r="G305" s="41"/>
      <c r="H305" s="41"/>
      <c r="I305" s="41"/>
      <c r="J305" s="41"/>
      <c r="K305" s="41"/>
      <c r="L305" s="41"/>
      <c r="M305" s="41"/>
      <c r="N305" s="41"/>
      <c r="O305" s="41"/>
      <c r="P305" s="41"/>
      <c r="Q305" s="41"/>
      <c r="R305" s="41"/>
      <c r="S305" s="41"/>
      <c r="T305" s="41"/>
      <c r="U305" s="41"/>
      <c r="V305" s="41"/>
      <c r="W305" s="41"/>
      <c r="X305" s="41"/>
      <c r="Y305" s="41"/>
      <c r="Z305" s="41"/>
      <c r="AA305" s="41"/>
      <c r="AB305" s="41"/>
      <c r="AC305" s="41"/>
      <c r="AD305" s="41"/>
      <c r="AE305" s="41"/>
      <c r="AF305" s="41"/>
      <c r="AG305" s="41"/>
      <c r="AH305" s="41"/>
    </row>
    <row r="306" spans="1:34">
      <c r="A306" s="39" t="s">
        <v>8</v>
      </c>
      <c r="B306" s="39" t="s">
        <v>4</v>
      </c>
      <c r="C306" s="45" t="s">
        <v>9</v>
      </c>
      <c r="D306" s="39" t="s">
        <v>6</v>
      </c>
      <c r="E306" s="39" t="s">
        <v>106</v>
      </c>
      <c r="F306" s="39" t="s">
        <v>10</v>
      </c>
      <c r="G306" s="39" t="s">
        <v>2</v>
      </c>
      <c r="H306" s="39" t="s">
        <v>5</v>
      </c>
      <c r="I306" s="39" t="s">
        <v>11</v>
      </c>
      <c r="J306" s="41"/>
      <c r="K306" s="41"/>
      <c r="L306" s="41"/>
      <c r="M306" s="41"/>
      <c r="N306" s="41"/>
      <c r="O306" s="41"/>
      <c r="P306" s="41"/>
      <c r="Q306" s="41"/>
      <c r="R306" s="41"/>
      <c r="S306" s="41"/>
      <c r="T306" s="41"/>
      <c r="U306" s="41"/>
      <c r="V306" s="41"/>
      <c r="W306" s="41"/>
      <c r="X306" s="41"/>
      <c r="Y306" s="41"/>
      <c r="Z306" s="41"/>
      <c r="AA306" s="41"/>
      <c r="AB306" s="41"/>
      <c r="AC306" s="41"/>
      <c r="AD306" s="41"/>
      <c r="AE306" s="41"/>
      <c r="AF306" s="41"/>
      <c r="AG306" s="41"/>
      <c r="AH306" s="41"/>
    </row>
    <row r="307" spans="1:34">
      <c r="A307" s="46" t="s">
        <v>223</v>
      </c>
      <c r="B307" s="46" t="s">
        <v>195</v>
      </c>
      <c r="C307" s="47">
        <v>1</v>
      </c>
      <c r="D307" s="41" t="s">
        <v>128</v>
      </c>
      <c r="E307" s="46" t="s">
        <v>196</v>
      </c>
      <c r="F307" s="46"/>
      <c r="G307" s="46" t="s">
        <v>29</v>
      </c>
      <c r="H307" s="46" t="s">
        <v>18</v>
      </c>
      <c r="I307" s="46"/>
      <c r="J307" s="46"/>
      <c r="K307" s="46"/>
      <c r="L307" s="41"/>
      <c r="M307" s="41"/>
      <c r="N307" s="41"/>
      <c r="O307" s="41"/>
      <c r="P307" s="41"/>
      <c r="Q307" s="41"/>
      <c r="R307" s="41"/>
      <c r="S307" s="41"/>
      <c r="T307" s="41"/>
      <c r="U307" s="41"/>
      <c r="V307" s="41"/>
      <c r="W307" s="41"/>
      <c r="X307" s="41"/>
      <c r="Y307" s="41"/>
      <c r="Z307" s="41"/>
      <c r="AA307" s="41"/>
      <c r="AB307" s="41"/>
      <c r="AC307" s="41"/>
      <c r="AD307" s="41"/>
      <c r="AE307" s="41"/>
      <c r="AF307" s="41"/>
      <c r="AG307" s="41"/>
      <c r="AH307" s="41"/>
    </row>
    <row r="308" spans="1:34">
      <c r="A308" s="41" t="s">
        <v>451</v>
      </c>
      <c r="B308" s="41" t="s">
        <v>450</v>
      </c>
      <c r="C308" s="47">
        <v>7.1155050309249033</v>
      </c>
      <c r="D308" s="41" t="s">
        <v>13</v>
      </c>
      <c r="E308" s="46" t="s">
        <v>196</v>
      </c>
      <c r="F308" s="41"/>
      <c r="G308" s="46" t="s">
        <v>29</v>
      </c>
      <c r="H308" s="41" t="s">
        <v>12</v>
      </c>
      <c r="I308" s="46" t="s">
        <v>221</v>
      </c>
      <c r="J308" s="41"/>
      <c r="K308" s="41"/>
      <c r="L308" s="41"/>
      <c r="M308" s="41"/>
      <c r="N308" s="41"/>
      <c r="O308" s="41"/>
      <c r="P308" s="41"/>
      <c r="Q308" s="41"/>
      <c r="R308" s="41"/>
      <c r="S308" s="41"/>
      <c r="T308" s="41"/>
      <c r="U308" s="41"/>
      <c r="V308" s="41"/>
      <c r="W308" s="41"/>
      <c r="X308" s="41"/>
      <c r="Y308" s="41"/>
      <c r="Z308" s="41"/>
      <c r="AA308" s="41"/>
      <c r="AB308" s="41"/>
      <c r="AC308" s="41"/>
      <c r="AD308" s="41"/>
      <c r="AE308" s="41"/>
      <c r="AF308" s="41"/>
      <c r="AG308" s="41"/>
      <c r="AH308" s="41"/>
    </row>
    <row r="309" spans="1:34">
      <c r="A309" s="46" t="s">
        <v>28</v>
      </c>
      <c r="B309" s="46" t="s">
        <v>20</v>
      </c>
      <c r="C309" s="47">
        <v>0.14257531854349526</v>
      </c>
      <c r="D309" s="41" t="s">
        <v>19</v>
      </c>
      <c r="E309" s="46" t="s">
        <v>205</v>
      </c>
      <c r="F309" s="46"/>
      <c r="G309" s="46" t="s">
        <v>29</v>
      </c>
      <c r="H309" s="46" t="s">
        <v>12</v>
      </c>
      <c r="I309" s="46"/>
      <c r="J309" s="46"/>
      <c r="K309" s="46"/>
      <c r="L309" s="41"/>
      <c r="M309" s="41"/>
      <c r="N309" s="41"/>
      <c r="O309" s="41"/>
      <c r="P309" s="41"/>
      <c r="Q309" s="41"/>
      <c r="R309" s="41"/>
      <c r="S309" s="41"/>
      <c r="T309" s="41"/>
      <c r="U309" s="41"/>
      <c r="V309" s="41"/>
      <c r="W309" s="41"/>
      <c r="X309" s="41"/>
      <c r="Y309" s="41"/>
      <c r="Z309" s="41"/>
      <c r="AA309" s="41"/>
      <c r="AB309" s="41"/>
      <c r="AC309" s="41"/>
      <c r="AD309" s="41"/>
      <c r="AE309" s="41"/>
      <c r="AF309" s="41"/>
      <c r="AG309" s="41"/>
      <c r="AH309" s="41"/>
    </row>
    <row r="310" spans="1:34">
      <c r="A310" s="41" t="s">
        <v>206</v>
      </c>
      <c r="B310" s="46" t="s">
        <v>207</v>
      </c>
      <c r="C310" s="40">
        <v>3.2478194058327522E-7</v>
      </c>
      <c r="D310" s="41" t="s">
        <v>6</v>
      </c>
      <c r="E310" s="46" t="s">
        <v>205</v>
      </c>
      <c r="F310" s="46"/>
      <c r="G310" s="46" t="s">
        <v>208</v>
      </c>
      <c r="H310" s="46" t="s">
        <v>12</v>
      </c>
      <c r="I310" s="59"/>
      <c r="J310" s="46"/>
      <c r="K310" s="46"/>
      <c r="L310" s="41"/>
      <c r="M310" s="41"/>
      <c r="N310" s="41"/>
      <c r="O310" s="41"/>
      <c r="P310" s="41"/>
      <c r="Q310" s="41"/>
      <c r="R310" s="41"/>
      <c r="S310" s="41"/>
      <c r="T310" s="41"/>
      <c r="U310" s="41"/>
      <c r="V310" s="41"/>
      <c r="W310" s="41"/>
      <c r="X310" s="41"/>
      <c r="Y310" s="41"/>
      <c r="Z310" s="41"/>
      <c r="AA310" s="41"/>
      <c r="AB310" s="41"/>
      <c r="AC310" s="41"/>
      <c r="AD310" s="41"/>
      <c r="AE310" s="41"/>
      <c r="AF310" s="41"/>
      <c r="AG310" s="41"/>
      <c r="AH310" s="41"/>
    </row>
    <row r="311" spans="1:34">
      <c r="A311" s="46" t="s">
        <v>209</v>
      </c>
      <c r="B311" s="46" t="s">
        <v>210</v>
      </c>
      <c r="C311" s="40">
        <v>1.2353077276634966E-6</v>
      </c>
      <c r="D311" s="41" t="s">
        <v>6</v>
      </c>
      <c r="E311" s="46" t="s">
        <v>205</v>
      </c>
      <c r="F311" s="46"/>
      <c r="G311" s="46" t="s">
        <v>140</v>
      </c>
      <c r="H311" s="46" t="s">
        <v>12</v>
      </c>
      <c r="I311" s="46" t="s">
        <v>222</v>
      </c>
      <c r="J311" s="46"/>
      <c r="K311" s="46"/>
      <c r="L311" s="41"/>
      <c r="M311" s="41"/>
      <c r="N311" s="41"/>
      <c r="O311" s="41"/>
      <c r="P311" s="41"/>
      <c r="Q311" s="41"/>
      <c r="R311" s="41"/>
      <c r="S311" s="41"/>
      <c r="T311" s="41"/>
      <c r="U311" s="41"/>
      <c r="V311" s="41"/>
      <c r="W311" s="41"/>
      <c r="X311" s="41"/>
      <c r="Y311" s="41"/>
      <c r="Z311" s="41"/>
      <c r="AA311" s="41"/>
      <c r="AB311" s="41"/>
      <c r="AC311" s="41"/>
      <c r="AD311" s="41"/>
      <c r="AE311" s="41"/>
      <c r="AF311" s="41"/>
      <c r="AG311" s="41"/>
      <c r="AH311" s="41"/>
    </row>
    <row r="312" spans="1:34">
      <c r="A312" s="40" t="s">
        <v>197</v>
      </c>
      <c r="B312" s="41"/>
      <c r="C312" s="47">
        <v>2.2511077672142359</v>
      </c>
      <c r="D312" s="41" t="s">
        <v>13</v>
      </c>
      <c r="E312" s="41" t="s">
        <v>109</v>
      </c>
      <c r="F312" s="41" t="s">
        <v>198</v>
      </c>
      <c r="G312" s="41"/>
      <c r="H312" s="41" t="s">
        <v>15</v>
      </c>
      <c r="I312" s="41" t="s">
        <v>211</v>
      </c>
    </row>
    <row r="313" spans="1:34">
      <c r="A313" s="46" t="s">
        <v>212</v>
      </c>
      <c r="B313" s="49"/>
      <c r="C313" s="47">
        <v>0.2653153277009781</v>
      </c>
      <c r="D313" s="41" t="s">
        <v>13</v>
      </c>
      <c r="E313" s="41" t="s">
        <v>109</v>
      </c>
      <c r="F313" s="46" t="s">
        <v>183</v>
      </c>
      <c r="G313" s="46"/>
      <c r="H313" s="41" t="s">
        <v>15</v>
      </c>
      <c r="I313" s="41" t="s">
        <v>213</v>
      </c>
    </row>
    <row r="314" spans="1:34">
      <c r="A314" s="46" t="s">
        <v>184</v>
      </c>
      <c r="B314" s="46"/>
      <c r="C314" s="47">
        <v>1.4521776557553446E-2</v>
      </c>
      <c r="D314" s="41" t="s">
        <v>13</v>
      </c>
      <c r="E314" s="41" t="s">
        <v>109</v>
      </c>
      <c r="F314" s="46" t="s">
        <v>183</v>
      </c>
      <c r="G314" s="46"/>
      <c r="H314" s="41" t="s">
        <v>15</v>
      </c>
      <c r="I314" s="41" t="s">
        <v>213</v>
      </c>
    </row>
    <row r="315" spans="1:34">
      <c r="A315" s="46" t="s">
        <v>214</v>
      </c>
      <c r="B315" s="46"/>
      <c r="C315" s="40">
        <v>1.2515583872E-4</v>
      </c>
      <c r="D315" s="41" t="s">
        <v>13</v>
      </c>
      <c r="E315" s="41" t="s">
        <v>109</v>
      </c>
      <c r="F315" s="46" t="s">
        <v>183</v>
      </c>
      <c r="G315" s="46"/>
      <c r="H315" s="41" t="s">
        <v>15</v>
      </c>
      <c r="I315" s="41" t="s">
        <v>215</v>
      </c>
      <c r="J315" s="46"/>
      <c r="K315" s="46"/>
      <c r="L315" s="41"/>
      <c r="M315" s="41"/>
      <c r="N315" s="41"/>
      <c r="O315" s="41"/>
      <c r="P315" s="41"/>
      <c r="Q315" s="41"/>
      <c r="R315" s="41"/>
      <c r="S315" s="41"/>
      <c r="T315" s="41"/>
      <c r="U315" s="41"/>
      <c r="V315" s="41"/>
      <c r="W315" s="41"/>
      <c r="X315" s="41"/>
      <c r="Y315" s="41"/>
      <c r="Z315" s="41"/>
      <c r="AA315" s="41"/>
      <c r="AB315" s="41"/>
      <c r="AC315" s="41"/>
      <c r="AD315" s="41"/>
      <c r="AE315" s="41"/>
      <c r="AF315" s="41"/>
      <c r="AG315" s="41"/>
      <c r="AH315" s="41"/>
    </row>
    <row r="316" spans="1:34">
      <c r="A316" s="46" t="s">
        <v>115</v>
      </c>
      <c r="B316" s="46"/>
      <c r="C316" s="40">
        <v>6.5182656435999991E-6</v>
      </c>
      <c r="D316" s="41" t="s">
        <v>13</v>
      </c>
      <c r="E316" s="41" t="s">
        <v>109</v>
      </c>
      <c r="F316" s="46" t="s">
        <v>183</v>
      </c>
      <c r="G316" s="46"/>
      <c r="H316" s="41" t="s">
        <v>15</v>
      </c>
      <c r="I316" s="41" t="s">
        <v>215</v>
      </c>
      <c r="J316" s="46"/>
      <c r="K316" s="46"/>
      <c r="L316" s="41"/>
      <c r="M316" s="41"/>
      <c r="N316" s="41"/>
      <c r="O316" s="41"/>
      <c r="P316" s="41"/>
      <c r="Q316" s="41"/>
      <c r="R316" s="41"/>
      <c r="S316" s="41"/>
      <c r="T316" s="41"/>
      <c r="U316" s="41"/>
      <c r="V316" s="41"/>
      <c r="W316" s="41"/>
      <c r="X316" s="41"/>
      <c r="Y316" s="41"/>
      <c r="Z316" s="41"/>
      <c r="AA316" s="41"/>
      <c r="AB316" s="41"/>
      <c r="AC316" s="41"/>
      <c r="AD316" s="41"/>
      <c r="AE316" s="41"/>
      <c r="AF316" s="41"/>
      <c r="AG316" s="41"/>
      <c r="AH316" s="41"/>
    </row>
    <row r="317" spans="1:34">
      <c r="A317" s="46" t="s">
        <v>119</v>
      </c>
      <c r="B317" s="46"/>
      <c r="C317" s="40">
        <v>3.9108905687999992E-5</v>
      </c>
      <c r="D317" s="41" t="s">
        <v>13</v>
      </c>
      <c r="E317" s="41" t="s">
        <v>109</v>
      </c>
      <c r="F317" s="46" t="s">
        <v>183</v>
      </c>
      <c r="G317" s="46"/>
      <c r="H317" s="41" t="s">
        <v>15</v>
      </c>
      <c r="I317" s="41" t="s">
        <v>215</v>
      </c>
      <c r="J317" s="46"/>
      <c r="K317" s="46"/>
      <c r="L317" s="41"/>
      <c r="M317" s="41"/>
      <c r="N317" s="41"/>
      <c r="O317" s="41"/>
      <c r="P317" s="41"/>
      <c r="Q317" s="41"/>
      <c r="R317" s="41"/>
      <c r="S317" s="41"/>
      <c r="T317" s="41"/>
      <c r="U317" s="41"/>
      <c r="V317" s="41"/>
      <c r="W317" s="41"/>
      <c r="X317" s="41"/>
      <c r="Y317" s="41"/>
      <c r="Z317" s="41"/>
      <c r="AA317" s="41"/>
      <c r="AB317" s="41"/>
      <c r="AC317" s="41"/>
      <c r="AD317" s="41"/>
      <c r="AE317" s="41"/>
      <c r="AF317" s="41"/>
      <c r="AG317" s="41"/>
      <c r="AH317" s="41"/>
    </row>
    <row r="318" spans="1:34">
      <c r="A318" s="46" t="s">
        <v>125</v>
      </c>
      <c r="B318" s="46"/>
      <c r="C318" s="40">
        <v>6.5182656435999999E-5</v>
      </c>
      <c r="D318" s="41" t="s">
        <v>13</v>
      </c>
      <c r="E318" s="41" t="s">
        <v>109</v>
      </c>
      <c r="F318" s="46" t="s">
        <v>183</v>
      </c>
      <c r="G318" s="46"/>
      <c r="H318" s="41" t="s">
        <v>15</v>
      </c>
      <c r="I318" s="41" t="s">
        <v>215</v>
      </c>
      <c r="J318" s="46"/>
      <c r="K318" s="46"/>
      <c r="L318" s="41"/>
      <c r="M318" s="41"/>
      <c r="N318" s="41"/>
      <c r="O318" s="41"/>
      <c r="P318" s="41"/>
      <c r="Q318" s="41"/>
      <c r="R318" s="41"/>
      <c r="S318" s="41"/>
      <c r="T318" s="41"/>
      <c r="U318" s="41"/>
      <c r="V318" s="41"/>
      <c r="W318" s="41"/>
      <c r="X318" s="41"/>
      <c r="Y318" s="41"/>
      <c r="Z318" s="41"/>
      <c r="AA318" s="41"/>
      <c r="AB318" s="41"/>
      <c r="AC318" s="41"/>
      <c r="AD318" s="41"/>
      <c r="AE318" s="41"/>
      <c r="AF318" s="41"/>
      <c r="AG318" s="41"/>
      <c r="AH318" s="41"/>
    </row>
    <row r="319" spans="1:34">
      <c r="A319" s="46" t="s">
        <v>216</v>
      </c>
      <c r="B319" s="46"/>
      <c r="C319" s="40">
        <v>5.2146354539999992E-6</v>
      </c>
      <c r="D319" s="41" t="s">
        <v>13</v>
      </c>
      <c r="E319" s="41" t="s">
        <v>109</v>
      </c>
      <c r="F319" s="46" t="s">
        <v>183</v>
      </c>
      <c r="G319" s="46"/>
      <c r="H319" s="41" t="s">
        <v>15</v>
      </c>
      <c r="I319" s="41" t="s">
        <v>215</v>
      </c>
      <c r="J319" s="46"/>
      <c r="K319" s="46"/>
      <c r="L319" s="41"/>
      <c r="M319" s="41"/>
      <c r="N319" s="41"/>
      <c r="O319" s="41"/>
      <c r="P319" s="41"/>
      <c r="Q319" s="41"/>
      <c r="R319" s="41"/>
      <c r="S319" s="41"/>
      <c r="T319" s="41"/>
      <c r="U319" s="41"/>
      <c r="V319" s="41"/>
      <c r="W319" s="41"/>
      <c r="X319" s="41"/>
      <c r="Y319" s="41"/>
      <c r="Z319" s="41"/>
      <c r="AA319" s="41"/>
      <c r="AB319" s="41"/>
      <c r="AC319" s="41"/>
      <c r="AD319" s="41"/>
      <c r="AE319" s="41"/>
      <c r="AF319" s="41"/>
      <c r="AG319" s="41"/>
      <c r="AH319" s="41"/>
    </row>
    <row r="320" spans="1:34">
      <c r="A320" s="46" t="s">
        <v>217</v>
      </c>
      <c r="B320" s="46"/>
      <c r="C320" s="40">
        <v>1.8251510827999997E-11</v>
      </c>
      <c r="D320" s="41" t="s">
        <v>13</v>
      </c>
      <c r="E320" s="41" t="s">
        <v>109</v>
      </c>
      <c r="F320" s="46" t="s">
        <v>183</v>
      </c>
      <c r="G320" s="46"/>
      <c r="H320" s="41" t="s">
        <v>15</v>
      </c>
      <c r="I320" s="41" t="s">
        <v>215</v>
      </c>
      <c r="J320" s="46"/>
      <c r="K320" s="46"/>
      <c r="L320" s="41"/>
      <c r="M320" s="41"/>
      <c r="N320" s="41"/>
      <c r="O320" s="41"/>
      <c r="P320" s="41"/>
      <c r="Q320" s="41"/>
      <c r="R320" s="41"/>
      <c r="S320" s="41"/>
      <c r="T320" s="41"/>
      <c r="U320" s="41"/>
      <c r="V320" s="41"/>
      <c r="W320" s="41"/>
      <c r="X320" s="41"/>
      <c r="Y320" s="41"/>
      <c r="Z320" s="41"/>
      <c r="AA320" s="41"/>
      <c r="AB320" s="41"/>
      <c r="AC320" s="41"/>
      <c r="AD320" s="41"/>
      <c r="AE320" s="41"/>
      <c r="AF320" s="41"/>
      <c r="AG320" s="41"/>
      <c r="AH320" s="41"/>
    </row>
    <row r="321" spans="1:34" s="69" customFormat="1">
      <c r="A321" s="67"/>
      <c r="B321" s="67"/>
      <c r="C321" s="68"/>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row>
    <row r="322" spans="1:34">
      <c r="A322" s="39" t="s">
        <v>1</v>
      </c>
      <c r="B322" s="39" t="s">
        <v>224</v>
      </c>
      <c r="C322" s="40"/>
      <c r="D322" s="41"/>
      <c r="E322" s="41"/>
      <c r="F322" s="41"/>
      <c r="G322" s="41"/>
      <c r="H322" s="41"/>
      <c r="I322" s="41"/>
      <c r="J322" s="41"/>
      <c r="K322" s="41"/>
      <c r="L322" s="41"/>
      <c r="M322" s="41"/>
      <c r="N322" s="41"/>
      <c r="O322" s="41"/>
      <c r="P322" s="41"/>
      <c r="Q322" s="41"/>
      <c r="R322" s="41"/>
      <c r="S322" s="41"/>
      <c r="T322" s="41"/>
      <c r="U322" s="41"/>
      <c r="V322" s="41"/>
      <c r="W322" s="41"/>
      <c r="X322" s="41"/>
      <c r="Y322" s="41"/>
      <c r="Z322" s="41"/>
      <c r="AA322" s="41"/>
      <c r="AB322" s="41"/>
      <c r="AC322" s="41"/>
      <c r="AD322" s="41"/>
      <c r="AE322" s="41"/>
      <c r="AF322" s="41"/>
      <c r="AG322" s="41"/>
      <c r="AH322" s="41"/>
    </row>
    <row r="323" spans="1:34">
      <c r="A323" s="39" t="s">
        <v>11</v>
      </c>
      <c r="B323" s="41" t="s">
        <v>443</v>
      </c>
      <c r="C323" s="40"/>
      <c r="D323" s="41"/>
      <c r="E323" s="41"/>
      <c r="F323" s="41"/>
      <c r="G323" s="41"/>
      <c r="H323" s="41"/>
      <c r="I323" s="41"/>
      <c r="J323" s="41"/>
      <c r="K323" s="41"/>
      <c r="L323" s="41"/>
      <c r="M323" s="41"/>
      <c r="N323" s="41"/>
      <c r="O323" s="41"/>
      <c r="P323" s="41"/>
      <c r="Q323" s="41"/>
      <c r="R323" s="41"/>
      <c r="S323" s="41"/>
      <c r="T323" s="41"/>
      <c r="U323" s="41"/>
      <c r="V323" s="41"/>
      <c r="W323" s="41"/>
      <c r="X323" s="41"/>
      <c r="Y323" s="41"/>
      <c r="Z323" s="41"/>
      <c r="AA323" s="41"/>
      <c r="AB323" s="41"/>
      <c r="AC323" s="41"/>
      <c r="AD323" s="41"/>
      <c r="AE323" s="41"/>
      <c r="AF323" s="41"/>
      <c r="AG323" s="41"/>
      <c r="AH323" s="41"/>
    </row>
    <row r="324" spans="1:34">
      <c r="A324" s="39" t="s">
        <v>2</v>
      </c>
      <c r="B324" s="41" t="s">
        <v>29</v>
      </c>
      <c r="C324" s="40"/>
      <c r="D324" s="41"/>
      <c r="E324" s="41"/>
      <c r="F324" s="41"/>
      <c r="G324" s="41"/>
      <c r="H324" s="41"/>
      <c r="I324" s="41"/>
      <c r="J324" s="41"/>
      <c r="K324" s="41"/>
      <c r="L324" s="41"/>
      <c r="M324" s="41"/>
      <c r="N324" s="41"/>
      <c r="O324" s="41"/>
      <c r="P324" s="41"/>
      <c r="Q324" s="41"/>
      <c r="R324" s="41"/>
      <c r="S324" s="41"/>
      <c r="T324" s="41"/>
      <c r="U324" s="41"/>
      <c r="V324" s="41"/>
      <c r="W324" s="41"/>
      <c r="X324" s="41"/>
      <c r="Y324" s="41"/>
      <c r="Z324" s="41"/>
      <c r="AA324" s="41"/>
      <c r="AB324" s="41"/>
      <c r="AC324" s="41"/>
      <c r="AD324" s="41"/>
      <c r="AE324" s="41"/>
      <c r="AF324" s="41"/>
      <c r="AG324" s="41"/>
      <c r="AH324" s="41"/>
    </row>
    <row r="325" spans="1:34">
      <c r="A325" s="42" t="s">
        <v>4</v>
      </c>
      <c r="B325" s="41" t="s">
        <v>195</v>
      </c>
      <c r="C325" s="40"/>
      <c r="D325" s="41"/>
      <c r="E325" s="41"/>
      <c r="F325" s="41"/>
      <c r="G325" s="41"/>
      <c r="H325" s="41"/>
      <c r="I325" s="41"/>
      <c r="J325" s="41"/>
      <c r="K325" s="41"/>
      <c r="L325" s="41"/>
      <c r="M325" s="41"/>
      <c r="N325" s="41"/>
      <c r="O325" s="41"/>
      <c r="P325" s="41"/>
      <c r="Q325" s="41"/>
      <c r="R325" s="41"/>
      <c r="S325" s="41"/>
      <c r="T325" s="41"/>
      <c r="U325" s="41"/>
      <c r="V325" s="41"/>
      <c r="W325" s="41"/>
      <c r="X325" s="41"/>
      <c r="Y325" s="41"/>
      <c r="Z325" s="41"/>
      <c r="AA325" s="41"/>
      <c r="AB325" s="41"/>
      <c r="AC325" s="41"/>
      <c r="AD325" s="41"/>
      <c r="AE325" s="41"/>
      <c r="AF325" s="41"/>
      <c r="AG325" s="41"/>
      <c r="AH325" s="41"/>
    </row>
    <row r="326" spans="1:34">
      <c r="A326" s="39" t="s">
        <v>3</v>
      </c>
      <c r="B326" s="43">
        <v>1</v>
      </c>
      <c r="C326" s="40"/>
      <c r="D326" s="44"/>
      <c r="E326" s="41"/>
      <c r="F326" s="41"/>
      <c r="G326" s="41"/>
      <c r="H326" s="41"/>
      <c r="I326" s="41"/>
      <c r="J326" s="41"/>
      <c r="K326" s="41"/>
      <c r="L326" s="41"/>
      <c r="M326" s="41"/>
      <c r="N326" s="41"/>
      <c r="O326" s="41"/>
      <c r="P326" s="41"/>
      <c r="Q326" s="41"/>
      <c r="R326" s="41"/>
      <c r="S326" s="41"/>
      <c r="T326" s="41"/>
      <c r="U326" s="41"/>
      <c r="V326" s="41"/>
      <c r="W326" s="41"/>
      <c r="X326" s="41"/>
      <c r="Y326" s="41"/>
      <c r="Z326" s="41"/>
      <c r="AA326" s="41"/>
      <c r="AB326" s="41"/>
      <c r="AC326" s="41"/>
      <c r="AD326" s="41"/>
      <c r="AE326" s="41"/>
      <c r="AF326" s="41"/>
      <c r="AG326" s="41"/>
      <c r="AH326" s="41"/>
    </row>
    <row r="327" spans="1:34">
      <c r="A327" s="39" t="s">
        <v>6</v>
      </c>
      <c r="B327" s="41" t="s">
        <v>128</v>
      </c>
      <c r="C327" s="40"/>
      <c r="E327" s="41"/>
      <c r="F327" s="41"/>
      <c r="G327" s="41"/>
      <c r="H327" s="41"/>
      <c r="I327" s="41"/>
      <c r="J327" s="41"/>
      <c r="K327" s="41"/>
      <c r="L327" s="41"/>
      <c r="M327" s="41"/>
      <c r="N327" s="41"/>
      <c r="O327" s="41"/>
      <c r="P327" s="41"/>
      <c r="Q327" s="41"/>
      <c r="R327" s="41"/>
      <c r="S327" s="41"/>
      <c r="T327" s="41"/>
      <c r="U327" s="41"/>
      <c r="V327" s="41"/>
      <c r="W327" s="41"/>
      <c r="X327" s="41"/>
      <c r="Y327" s="41"/>
      <c r="Z327" s="41"/>
      <c r="AA327" s="41"/>
      <c r="AB327" s="41"/>
      <c r="AC327" s="41"/>
      <c r="AD327" s="41"/>
      <c r="AE327" s="41"/>
      <c r="AF327" s="41"/>
      <c r="AG327" s="41"/>
      <c r="AH327" s="41"/>
    </row>
    <row r="328" spans="1:34">
      <c r="A328" s="39" t="s">
        <v>76</v>
      </c>
      <c r="B328" s="41"/>
      <c r="C328" s="40"/>
      <c r="D328" s="44"/>
      <c r="E328" s="41"/>
      <c r="F328" s="41"/>
      <c r="G328" s="41"/>
      <c r="H328" s="41"/>
      <c r="I328" s="41"/>
      <c r="J328" s="41"/>
      <c r="K328" s="41"/>
      <c r="L328" s="41"/>
      <c r="M328" s="41"/>
      <c r="N328" s="41"/>
      <c r="O328" s="41"/>
      <c r="P328" s="41"/>
      <c r="Q328" s="41"/>
      <c r="R328" s="41"/>
      <c r="S328" s="41"/>
      <c r="T328" s="41"/>
      <c r="U328" s="41"/>
      <c r="V328" s="41"/>
      <c r="W328" s="41"/>
      <c r="X328" s="41"/>
      <c r="Y328" s="41"/>
      <c r="Z328" s="41"/>
      <c r="AA328" s="41"/>
      <c r="AB328" s="41"/>
      <c r="AC328" s="41"/>
      <c r="AD328" s="41"/>
      <c r="AE328" s="41"/>
      <c r="AF328" s="41"/>
      <c r="AG328" s="41"/>
      <c r="AH328" s="41"/>
    </row>
    <row r="329" spans="1:34">
      <c r="A329" s="39" t="s">
        <v>7</v>
      </c>
      <c r="B329" s="41"/>
      <c r="C329" s="40"/>
      <c r="D329" s="41"/>
      <c r="E329" s="41"/>
      <c r="F329" s="41"/>
      <c r="G329" s="41"/>
      <c r="H329" s="41"/>
      <c r="I329" s="41"/>
      <c r="J329" s="41"/>
      <c r="K329" s="41"/>
      <c r="L329" s="41"/>
      <c r="M329" s="41"/>
      <c r="N329" s="41"/>
      <c r="O329" s="41"/>
      <c r="P329" s="41"/>
      <c r="Q329" s="41"/>
      <c r="R329" s="41"/>
      <c r="S329" s="41"/>
      <c r="T329" s="41"/>
      <c r="U329" s="41"/>
      <c r="V329" s="41"/>
      <c r="W329" s="41"/>
      <c r="X329" s="41"/>
      <c r="Y329" s="41"/>
      <c r="Z329" s="41"/>
      <c r="AA329" s="41"/>
      <c r="AB329" s="41"/>
      <c r="AC329" s="41"/>
      <c r="AD329" s="41"/>
      <c r="AE329" s="41"/>
      <c r="AF329" s="41"/>
      <c r="AG329" s="41"/>
      <c r="AH329" s="41"/>
    </row>
    <row r="330" spans="1:34">
      <c r="A330" s="39" t="s">
        <v>8</v>
      </c>
      <c r="B330" s="39" t="s">
        <v>4</v>
      </c>
      <c r="C330" s="45" t="s">
        <v>9</v>
      </c>
      <c r="D330" s="39" t="s">
        <v>6</v>
      </c>
      <c r="E330" s="39" t="s">
        <v>106</v>
      </c>
      <c r="F330" s="39" t="s">
        <v>10</v>
      </c>
      <c r="G330" s="39" t="s">
        <v>2</v>
      </c>
      <c r="H330" s="39" t="s">
        <v>5</v>
      </c>
      <c r="I330" s="39" t="s">
        <v>11</v>
      </c>
      <c r="J330" s="41"/>
      <c r="K330" s="41"/>
      <c r="L330" s="41"/>
      <c r="M330" s="41"/>
      <c r="N330" s="41"/>
      <c r="O330" s="41"/>
      <c r="P330" s="41"/>
      <c r="Q330" s="41"/>
      <c r="R330" s="41"/>
      <c r="S330" s="41"/>
      <c r="T330" s="41"/>
      <c r="U330" s="41"/>
      <c r="V330" s="41"/>
      <c r="W330" s="41"/>
      <c r="X330" s="41"/>
      <c r="Y330" s="41"/>
      <c r="Z330" s="41"/>
      <c r="AA330" s="41"/>
      <c r="AB330" s="41"/>
      <c r="AC330" s="41"/>
      <c r="AD330" s="41"/>
      <c r="AE330" s="41"/>
      <c r="AF330" s="41"/>
      <c r="AG330" s="41"/>
      <c r="AH330" s="41"/>
    </row>
    <row r="331" spans="1:34">
      <c r="A331" s="46" t="s">
        <v>224</v>
      </c>
      <c r="B331" s="46" t="s">
        <v>195</v>
      </c>
      <c r="C331" s="47">
        <v>1</v>
      </c>
      <c r="D331" s="41" t="s">
        <v>128</v>
      </c>
      <c r="E331" s="46"/>
      <c r="F331" s="46"/>
      <c r="G331" s="46" t="s">
        <v>29</v>
      </c>
      <c r="H331" s="46" t="s">
        <v>18</v>
      </c>
      <c r="I331" s="46"/>
      <c r="J331" s="46"/>
      <c r="K331" s="46"/>
      <c r="L331" s="41"/>
      <c r="M331" s="41"/>
      <c r="N331" s="41"/>
      <c r="O331" s="41"/>
      <c r="P331" s="41"/>
      <c r="Q331" s="41"/>
      <c r="R331" s="41"/>
      <c r="S331" s="41"/>
      <c r="T331" s="41"/>
      <c r="U331" s="41"/>
      <c r="V331" s="41"/>
      <c r="W331" s="41"/>
      <c r="X331" s="41"/>
      <c r="Y331" s="41"/>
      <c r="Z331" s="41"/>
      <c r="AA331" s="41"/>
      <c r="AB331" s="41"/>
      <c r="AC331" s="41"/>
      <c r="AD331" s="41"/>
      <c r="AE331" s="41"/>
      <c r="AF331" s="41"/>
      <c r="AG331" s="41"/>
      <c r="AH331" s="41"/>
    </row>
    <row r="332" spans="1:34">
      <c r="A332" s="41" t="s">
        <v>225</v>
      </c>
      <c r="B332" s="41" t="s">
        <v>226</v>
      </c>
      <c r="C332" s="47">
        <v>8.3098875333373829</v>
      </c>
      <c r="D332" s="41" t="s">
        <v>13</v>
      </c>
      <c r="E332" s="46"/>
      <c r="F332" s="41"/>
      <c r="G332" s="46" t="s">
        <v>29</v>
      </c>
      <c r="H332" s="41" t="s">
        <v>12</v>
      </c>
      <c r="I332" s="46" t="s">
        <v>221</v>
      </c>
      <c r="J332" s="41"/>
      <c r="K332" s="46"/>
      <c r="L332" s="41"/>
      <c r="M332" s="41"/>
      <c r="N332" s="41"/>
      <c r="O332" s="41"/>
      <c r="P332" s="41"/>
      <c r="Q332" s="41"/>
      <c r="R332" s="41"/>
      <c r="S332" s="41"/>
      <c r="T332" s="41"/>
      <c r="U332" s="41"/>
      <c r="V332" s="41"/>
      <c r="W332" s="41"/>
      <c r="X332" s="41"/>
      <c r="Y332" s="41"/>
      <c r="Z332" s="41"/>
      <c r="AA332" s="41"/>
      <c r="AB332" s="41"/>
      <c r="AC332" s="41"/>
      <c r="AD332" s="41"/>
      <c r="AE332" s="41"/>
      <c r="AF332" s="41"/>
      <c r="AG332" s="41"/>
      <c r="AH332" s="41"/>
    </row>
    <row r="333" spans="1:34">
      <c r="A333" s="46" t="s">
        <v>28</v>
      </c>
      <c r="B333" s="46" t="s">
        <v>20</v>
      </c>
      <c r="C333" s="47">
        <v>0.14208273740759059</v>
      </c>
      <c r="D333" s="41" t="s">
        <v>19</v>
      </c>
      <c r="E333" s="46" t="s">
        <v>205</v>
      </c>
      <c r="F333" s="46"/>
      <c r="G333" s="46" t="s">
        <v>29</v>
      </c>
      <c r="H333" s="46" t="s">
        <v>12</v>
      </c>
      <c r="I333" s="46"/>
      <c r="J333" s="46"/>
    </row>
    <row r="334" spans="1:34">
      <c r="A334" s="41" t="s">
        <v>206</v>
      </c>
      <c r="B334" s="46" t="s">
        <v>207</v>
      </c>
      <c r="C334" s="40">
        <v>3.2478194058327522E-7</v>
      </c>
      <c r="D334" s="41" t="s">
        <v>6</v>
      </c>
      <c r="E334" s="46" t="s">
        <v>205</v>
      </c>
      <c r="F334" s="46"/>
      <c r="G334" s="46" t="s">
        <v>208</v>
      </c>
      <c r="H334" s="46" t="s">
        <v>12</v>
      </c>
      <c r="I334" s="59"/>
      <c r="J334" s="46"/>
    </row>
    <row r="335" spans="1:34">
      <c r="A335" s="46" t="s">
        <v>209</v>
      </c>
      <c r="B335" s="46" t="s">
        <v>210</v>
      </c>
      <c r="C335" s="40">
        <v>1.2310398832013525E-6</v>
      </c>
      <c r="D335" s="41" t="s">
        <v>6</v>
      </c>
      <c r="E335" s="46" t="s">
        <v>205</v>
      </c>
      <c r="F335" s="46"/>
      <c r="G335" s="46" t="s">
        <v>140</v>
      </c>
      <c r="H335" s="46" t="s">
        <v>12</v>
      </c>
      <c r="I335" s="46" t="s">
        <v>222</v>
      </c>
      <c r="J335" s="46"/>
    </row>
    <row r="336" spans="1:34">
      <c r="A336" s="40" t="s">
        <v>197</v>
      </c>
      <c r="B336" s="41"/>
      <c r="C336" s="47">
        <v>2.2503243742142924</v>
      </c>
      <c r="D336" s="41" t="s">
        <v>13</v>
      </c>
      <c r="E336" s="41" t="s">
        <v>109</v>
      </c>
      <c r="F336" s="41" t="s">
        <v>198</v>
      </c>
      <c r="G336" s="41"/>
      <c r="H336" s="41" t="s">
        <v>15</v>
      </c>
      <c r="I336" s="41" t="s">
        <v>211</v>
      </c>
    </row>
    <row r="337" spans="1:34">
      <c r="A337" s="46" t="s">
        <v>212</v>
      </c>
      <c r="B337" s="49"/>
      <c r="C337" s="47">
        <v>0.26534706999299229</v>
      </c>
      <c r="D337" s="41" t="s">
        <v>13</v>
      </c>
      <c r="E337" s="41" t="s">
        <v>109</v>
      </c>
      <c r="F337" s="46" t="s">
        <v>183</v>
      </c>
      <c r="G337" s="46"/>
      <c r="H337" s="41" t="s">
        <v>15</v>
      </c>
      <c r="I337" s="41" t="s">
        <v>213</v>
      </c>
    </row>
    <row r="338" spans="1:34">
      <c r="A338" s="46" t="s">
        <v>184</v>
      </c>
      <c r="B338" s="46"/>
      <c r="C338" s="47">
        <v>1.4471605509260181E-2</v>
      </c>
      <c r="D338" s="41" t="s">
        <v>13</v>
      </c>
      <c r="E338" s="41" t="s">
        <v>109</v>
      </c>
      <c r="F338" s="46" t="s">
        <v>183</v>
      </c>
      <c r="G338" s="46"/>
      <c r="H338" s="41" t="s">
        <v>15</v>
      </c>
      <c r="I338" s="41" t="s">
        <v>213</v>
      </c>
    </row>
    <row r="339" spans="1:34">
      <c r="A339" s="46" t="s">
        <v>214</v>
      </c>
      <c r="B339" s="46"/>
      <c r="C339" s="40">
        <v>1.2515583871999998E-4</v>
      </c>
      <c r="D339" s="41" t="s">
        <v>13</v>
      </c>
      <c r="E339" s="41" t="s">
        <v>109</v>
      </c>
      <c r="F339" s="46" t="s">
        <v>183</v>
      </c>
      <c r="G339" s="46"/>
      <c r="H339" s="41" t="s">
        <v>15</v>
      </c>
      <c r="I339" s="41" t="s">
        <v>215</v>
      </c>
      <c r="J339" s="46"/>
    </row>
    <row r="340" spans="1:34">
      <c r="A340" s="46" t="s">
        <v>115</v>
      </c>
      <c r="B340" s="46"/>
      <c r="C340" s="40">
        <v>6.5182656435999982E-6</v>
      </c>
      <c r="D340" s="41" t="s">
        <v>13</v>
      </c>
      <c r="E340" s="41" t="s">
        <v>109</v>
      </c>
      <c r="F340" s="46" t="s">
        <v>183</v>
      </c>
      <c r="G340" s="46"/>
      <c r="H340" s="41" t="s">
        <v>15</v>
      </c>
      <c r="I340" s="41" t="s">
        <v>215</v>
      </c>
      <c r="J340" s="46"/>
    </row>
    <row r="341" spans="1:34">
      <c r="A341" s="46" t="s">
        <v>119</v>
      </c>
      <c r="B341" s="46"/>
      <c r="C341" s="40">
        <v>3.9108905687999992E-5</v>
      </c>
      <c r="D341" s="41" t="s">
        <v>13</v>
      </c>
      <c r="E341" s="41" t="s">
        <v>109</v>
      </c>
      <c r="F341" s="46" t="s">
        <v>183</v>
      </c>
      <c r="G341" s="46"/>
      <c r="H341" s="41" t="s">
        <v>15</v>
      </c>
      <c r="I341" s="41" t="s">
        <v>215</v>
      </c>
      <c r="J341" s="46"/>
    </row>
    <row r="342" spans="1:34">
      <c r="A342" s="46" t="s">
        <v>125</v>
      </c>
      <c r="B342" s="46"/>
      <c r="C342" s="40">
        <v>6.5182656435999986E-5</v>
      </c>
      <c r="D342" s="41" t="s">
        <v>13</v>
      </c>
      <c r="E342" s="41" t="s">
        <v>109</v>
      </c>
      <c r="F342" s="46" t="s">
        <v>183</v>
      </c>
      <c r="G342" s="46"/>
      <c r="H342" s="41" t="s">
        <v>15</v>
      </c>
      <c r="I342" s="41" t="s">
        <v>215</v>
      </c>
      <c r="J342" s="46"/>
    </row>
    <row r="343" spans="1:34">
      <c r="A343" s="46" t="s">
        <v>216</v>
      </c>
      <c r="B343" s="46"/>
      <c r="C343" s="40">
        <v>5.2146354539999984E-6</v>
      </c>
      <c r="D343" s="41" t="s">
        <v>13</v>
      </c>
      <c r="E343" s="41" t="s">
        <v>109</v>
      </c>
      <c r="F343" s="46" t="s">
        <v>183</v>
      </c>
      <c r="G343" s="46"/>
      <c r="H343" s="41" t="s">
        <v>15</v>
      </c>
      <c r="I343" s="41" t="s">
        <v>215</v>
      </c>
      <c r="J343" s="46"/>
    </row>
    <row r="344" spans="1:34">
      <c r="A344" s="46" t="s">
        <v>217</v>
      </c>
      <c r="B344" s="46"/>
      <c r="C344" s="40">
        <v>1.8251510827999994E-11</v>
      </c>
      <c r="D344" s="41" t="s">
        <v>13</v>
      </c>
      <c r="E344" s="41" t="s">
        <v>109</v>
      </c>
      <c r="F344" s="46" t="s">
        <v>183</v>
      </c>
      <c r="G344" s="46"/>
      <c r="H344" s="41" t="s">
        <v>15</v>
      </c>
      <c r="I344" s="41" t="s">
        <v>215</v>
      </c>
      <c r="J344" s="46"/>
    </row>
    <row r="345" spans="1:34" s="69" customFormat="1">
      <c r="A345" s="67"/>
      <c r="B345" s="67"/>
      <c r="C345" s="68"/>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row>
    <row r="346" spans="1:34">
      <c r="A346" s="39" t="s">
        <v>1</v>
      </c>
      <c r="B346" s="39" t="s">
        <v>227</v>
      </c>
      <c r="C346" s="40"/>
      <c r="D346" s="41"/>
      <c r="E346" s="41"/>
      <c r="F346" s="41"/>
      <c r="G346" s="41"/>
      <c r="H346" s="41"/>
      <c r="I346" s="41"/>
      <c r="J346" s="41"/>
      <c r="K346" s="41"/>
      <c r="L346" s="41"/>
      <c r="M346" s="41"/>
      <c r="N346" s="41"/>
      <c r="O346" s="41"/>
      <c r="P346" s="41"/>
      <c r="Q346" s="41"/>
      <c r="R346" s="41"/>
      <c r="S346" s="41"/>
      <c r="T346" s="41"/>
      <c r="U346" s="41"/>
      <c r="V346" s="41"/>
      <c r="W346" s="41"/>
      <c r="X346" s="41"/>
      <c r="Y346" s="41"/>
      <c r="Z346" s="41"/>
      <c r="AA346" s="41"/>
      <c r="AB346" s="41"/>
      <c r="AC346" s="41"/>
      <c r="AD346" s="41"/>
      <c r="AE346" s="41"/>
      <c r="AF346" s="41"/>
      <c r="AG346" s="41"/>
      <c r="AH346" s="41"/>
    </row>
    <row r="347" spans="1:34">
      <c r="A347" s="39" t="s">
        <v>11</v>
      </c>
      <c r="B347" s="41" t="s">
        <v>444</v>
      </c>
      <c r="C347" s="40"/>
      <c r="D347" s="41"/>
      <c r="E347" s="41"/>
      <c r="F347" s="41"/>
      <c r="G347" s="41"/>
      <c r="H347" s="41"/>
      <c r="I347" s="41"/>
      <c r="J347" s="41"/>
      <c r="K347" s="41"/>
      <c r="L347" s="41"/>
      <c r="M347" s="41"/>
      <c r="N347" s="41"/>
      <c r="O347" s="41"/>
      <c r="P347" s="41"/>
      <c r="Q347" s="41"/>
      <c r="R347" s="41"/>
      <c r="S347" s="41"/>
      <c r="T347" s="41"/>
      <c r="U347" s="41"/>
      <c r="V347" s="41"/>
      <c r="W347" s="41"/>
      <c r="X347" s="41"/>
      <c r="Y347" s="41"/>
      <c r="Z347" s="41"/>
      <c r="AA347" s="41"/>
      <c r="AB347" s="41"/>
      <c r="AC347" s="41"/>
      <c r="AD347" s="41"/>
      <c r="AE347" s="41"/>
      <c r="AF347" s="41"/>
      <c r="AG347" s="41"/>
      <c r="AH347" s="41"/>
    </row>
    <row r="348" spans="1:34">
      <c r="A348" s="39" t="s">
        <v>2</v>
      </c>
      <c r="B348" s="41" t="s">
        <v>29</v>
      </c>
      <c r="C348" s="40"/>
      <c r="D348" s="41"/>
      <c r="E348" s="41"/>
      <c r="F348" s="41"/>
      <c r="G348" s="41"/>
      <c r="H348" s="41"/>
      <c r="I348" s="41"/>
      <c r="J348" s="41"/>
      <c r="K348" s="41"/>
      <c r="L348" s="41"/>
      <c r="M348" s="41"/>
      <c r="N348" s="41"/>
      <c r="O348" s="41"/>
      <c r="P348" s="41"/>
      <c r="Q348" s="41"/>
      <c r="R348" s="41"/>
      <c r="S348" s="41"/>
      <c r="T348" s="41"/>
      <c r="U348" s="41"/>
      <c r="V348" s="41"/>
      <c r="W348" s="41"/>
      <c r="X348" s="41"/>
      <c r="Y348" s="41"/>
      <c r="Z348" s="41"/>
      <c r="AA348" s="41"/>
      <c r="AB348" s="41"/>
      <c r="AC348" s="41"/>
      <c r="AD348" s="41"/>
      <c r="AE348" s="41"/>
      <c r="AF348" s="41"/>
      <c r="AG348" s="41"/>
      <c r="AH348" s="41"/>
    </row>
    <row r="349" spans="1:34">
      <c r="A349" s="42" t="s">
        <v>4</v>
      </c>
      <c r="B349" s="41" t="s">
        <v>195</v>
      </c>
      <c r="C349" s="40"/>
      <c r="D349" s="41"/>
      <c r="E349" s="41"/>
      <c r="F349" s="41"/>
      <c r="G349" s="41"/>
      <c r="H349" s="41"/>
      <c r="I349" s="41"/>
      <c r="J349" s="41"/>
      <c r="K349" s="41"/>
      <c r="L349" s="41"/>
      <c r="M349" s="41"/>
      <c r="N349" s="41"/>
      <c r="O349" s="41"/>
      <c r="P349" s="41"/>
      <c r="Q349" s="41"/>
      <c r="R349" s="41"/>
      <c r="S349" s="41"/>
      <c r="T349" s="41"/>
      <c r="U349" s="41"/>
      <c r="V349" s="41"/>
      <c r="W349" s="41"/>
      <c r="X349" s="41"/>
      <c r="Y349" s="41"/>
      <c r="Z349" s="41"/>
      <c r="AA349" s="41"/>
      <c r="AB349" s="41"/>
      <c r="AC349" s="41"/>
      <c r="AD349" s="41"/>
      <c r="AE349" s="41"/>
      <c r="AF349" s="41"/>
      <c r="AG349" s="41"/>
      <c r="AH349" s="41"/>
    </row>
    <row r="350" spans="1:34">
      <c r="A350" s="39" t="s">
        <v>3</v>
      </c>
      <c r="B350" s="43">
        <v>1</v>
      </c>
      <c r="C350" s="40"/>
      <c r="D350" s="44"/>
      <c r="E350" s="41"/>
      <c r="F350" s="41"/>
      <c r="G350" s="41"/>
      <c r="H350" s="41"/>
      <c r="I350" s="41"/>
      <c r="J350" s="41"/>
      <c r="K350" s="41"/>
      <c r="L350" s="41"/>
      <c r="M350" s="41"/>
      <c r="N350" s="41"/>
      <c r="O350" s="41"/>
      <c r="P350" s="41"/>
      <c r="Q350" s="41"/>
      <c r="R350" s="41"/>
      <c r="S350" s="41"/>
      <c r="T350" s="41"/>
      <c r="U350" s="41"/>
      <c r="V350" s="41"/>
      <c r="W350" s="41"/>
      <c r="X350" s="41"/>
      <c r="Y350" s="41"/>
      <c r="Z350" s="41"/>
      <c r="AA350" s="41"/>
      <c r="AB350" s="41"/>
      <c r="AC350" s="41"/>
      <c r="AD350" s="41"/>
      <c r="AE350" s="41"/>
      <c r="AF350" s="41"/>
      <c r="AG350" s="41"/>
      <c r="AH350" s="41"/>
    </row>
    <row r="351" spans="1:34">
      <c r="A351" s="39" t="s">
        <v>6</v>
      </c>
      <c r="B351" s="41" t="s">
        <v>128</v>
      </c>
      <c r="C351" s="40"/>
      <c r="D351" s="44"/>
      <c r="E351" s="41"/>
      <c r="F351" s="41"/>
      <c r="G351" s="41"/>
      <c r="H351" s="41"/>
      <c r="I351" s="41"/>
      <c r="J351" s="41"/>
      <c r="K351" s="41"/>
      <c r="L351" s="41"/>
      <c r="M351" s="41"/>
      <c r="N351" s="41"/>
      <c r="O351" s="41"/>
      <c r="P351" s="41"/>
      <c r="Q351" s="41"/>
      <c r="R351" s="41"/>
      <c r="S351" s="41"/>
      <c r="T351" s="41"/>
      <c r="U351" s="41"/>
      <c r="V351" s="41"/>
      <c r="W351" s="41"/>
      <c r="X351" s="41"/>
      <c r="Y351" s="41"/>
      <c r="Z351" s="41"/>
      <c r="AA351" s="41"/>
      <c r="AB351" s="41"/>
      <c r="AC351" s="41"/>
      <c r="AD351" s="41"/>
      <c r="AE351" s="41"/>
      <c r="AF351" s="41"/>
      <c r="AG351" s="41"/>
      <c r="AH351" s="41"/>
    </row>
    <row r="352" spans="1:34">
      <c r="A352" s="39" t="s">
        <v>76</v>
      </c>
      <c r="B352" s="41"/>
      <c r="C352" s="40"/>
      <c r="D352" s="44"/>
      <c r="E352" s="41"/>
      <c r="F352" s="41"/>
      <c r="G352" s="41"/>
      <c r="H352" s="41"/>
      <c r="I352" s="41"/>
      <c r="J352" s="41"/>
      <c r="K352" s="41"/>
      <c r="L352" s="41"/>
      <c r="M352" s="41"/>
      <c r="N352" s="41"/>
      <c r="O352" s="41"/>
      <c r="P352" s="41"/>
      <c r="Q352" s="41"/>
      <c r="R352" s="41"/>
      <c r="S352" s="41"/>
      <c r="T352" s="41"/>
      <c r="U352" s="41"/>
      <c r="V352" s="41"/>
      <c r="W352" s="41"/>
      <c r="X352" s="41"/>
      <c r="Y352" s="41"/>
      <c r="Z352" s="41"/>
      <c r="AA352" s="41"/>
      <c r="AB352" s="41"/>
      <c r="AC352" s="41"/>
      <c r="AD352" s="41"/>
      <c r="AE352" s="41"/>
      <c r="AF352" s="41"/>
      <c r="AG352" s="41"/>
      <c r="AH352" s="41"/>
    </row>
    <row r="353" spans="1:34">
      <c r="A353" s="39" t="s">
        <v>7</v>
      </c>
      <c r="B353" s="41"/>
      <c r="C353" s="40"/>
      <c r="D353" s="41"/>
      <c r="E353" s="41"/>
      <c r="F353" s="41"/>
      <c r="G353" s="41"/>
      <c r="H353" s="41"/>
      <c r="I353" s="41"/>
      <c r="J353" s="41"/>
      <c r="K353" s="41"/>
      <c r="L353" s="41"/>
      <c r="M353" s="41"/>
      <c r="N353" s="41"/>
      <c r="O353" s="41"/>
      <c r="P353" s="41"/>
      <c r="Q353" s="41"/>
      <c r="R353" s="41"/>
      <c r="S353" s="41"/>
      <c r="T353" s="41"/>
      <c r="U353" s="41"/>
      <c r="V353" s="41"/>
      <c r="W353" s="41"/>
      <c r="X353" s="41"/>
      <c r="Y353" s="41"/>
      <c r="Z353" s="41"/>
      <c r="AA353" s="41"/>
      <c r="AB353" s="41"/>
      <c r="AC353" s="41"/>
      <c r="AD353" s="41"/>
      <c r="AE353" s="41"/>
      <c r="AF353" s="41"/>
      <c r="AG353" s="41"/>
      <c r="AH353" s="41"/>
    </row>
    <row r="354" spans="1:34">
      <c r="A354" s="39" t="s">
        <v>8</v>
      </c>
      <c r="B354" s="39" t="s">
        <v>4</v>
      </c>
      <c r="C354" s="45" t="s">
        <v>9</v>
      </c>
      <c r="D354" s="39" t="s">
        <v>6</v>
      </c>
      <c r="E354" s="39" t="s">
        <v>106</v>
      </c>
      <c r="F354" s="39" t="s">
        <v>10</v>
      </c>
      <c r="G354" s="39" t="s">
        <v>2</v>
      </c>
      <c r="H354" s="39" t="s">
        <v>5</v>
      </c>
      <c r="I354" s="39" t="s">
        <v>11</v>
      </c>
      <c r="J354" s="41"/>
      <c r="K354" s="41"/>
      <c r="L354" s="41"/>
      <c r="M354" s="41"/>
      <c r="N354" s="41"/>
      <c r="O354" s="41"/>
      <c r="P354" s="41"/>
      <c r="Q354" s="41"/>
      <c r="R354" s="41"/>
      <c r="S354" s="41"/>
      <c r="T354" s="41"/>
      <c r="U354" s="41"/>
      <c r="V354" s="41"/>
      <c r="W354" s="41"/>
      <c r="X354" s="41"/>
      <c r="Y354" s="41"/>
      <c r="Z354" s="41"/>
      <c r="AA354" s="41"/>
      <c r="AB354" s="41"/>
      <c r="AC354" s="41"/>
      <c r="AD354" s="41"/>
      <c r="AE354" s="41"/>
      <c r="AF354" s="41"/>
      <c r="AG354" s="41"/>
      <c r="AH354" s="41"/>
    </row>
    <row r="355" spans="1:34">
      <c r="A355" s="46" t="s">
        <v>227</v>
      </c>
      <c r="B355" s="46" t="s">
        <v>195</v>
      </c>
      <c r="C355" s="47">
        <v>1</v>
      </c>
      <c r="D355" s="41" t="s">
        <v>128</v>
      </c>
      <c r="E355" s="46" t="s">
        <v>196</v>
      </c>
      <c r="F355" s="46"/>
      <c r="G355" s="46" t="s">
        <v>29</v>
      </c>
      <c r="H355" s="46" t="s">
        <v>18</v>
      </c>
      <c r="I355" s="46"/>
      <c r="J355" s="46"/>
      <c r="K355" s="46"/>
      <c r="L355" s="41"/>
      <c r="M355" s="41"/>
      <c r="N355" s="41"/>
      <c r="O355" s="41"/>
      <c r="P355" s="41"/>
      <c r="Q355" s="41"/>
      <c r="R355" s="41"/>
      <c r="S355" s="41"/>
      <c r="T355" s="41"/>
      <c r="U355" s="41"/>
      <c r="V355" s="41"/>
      <c r="W355" s="41"/>
      <c r="X355" s="41"/>
      <c r="Y355" s="41"/>
      <c r="Z355" s="41"/>
      <c r="AA355" s="41"/>
      <c r="AB355" s="41"/>
      <c r="AC355" s="41"/>
      <c r="AD355" s="41"/>
      <c r="AE355" s="41"/>
      <c r="AF355" s="41"/>
      <c r="AG355" s="41"/>
      <c r="AH355" s="41"/>
    </row>
    <row r="356" spans="1:34">
      <c r="A356" s="41" t="s">
        <v>228</v>
      </c>
      <c r="B356" s="41" t="s">
        <v>229</v>
      </c>
      <c r="C356" s="47">
        <v>11.869335382034194</v>
      </c>
      <c r="D356" s="41" t="s">
        <v>13</v>
      </c>
      <c r="E356" s="46" t="s">
        <v>196</v>
      </c>
      <c r="F356" s="41"/>
      <c r="G356" s="46" t="s">
        <v>29</v>
      </c>
      <c r="H356" s="41" t="s">
        <v>12</v>
      </c>
      <c r="I356" s="46" t="s">
        <v>221</v>
      </c>
      <c r="J356" s="41"/>
      <c r="K356" s="46"/>
      <c r="L356" s="41"/>
      <c r="M356" s="41"/>
      <c r="N356" s="41"/>
      <c r="O356" s="41"/>
      <c r="P356" s="41"/>
      <c r="Q356" s="41"/>
      <c r="R356" s="41"/>
      <c r="S356" s="41"/>
      <c r="T356" s="41"/>
      <c r="U356" s="41"/>
      <c r="V356" s="41"/>
      <c r="W356" s="41"/>
      <c r="X356" s="41"/>
      <c r="Y356" s="41"/>
      <c r="Z356" s="41"/>
      <c r="AA356" s="41"/>
      <c r="AB356" s="41"/>
      <c r="AC356" s="41"/>
      <c r="AD356" s="41"/>
      <c r="AE356" s="41"/>
      <c r="AF356" s="41"/>
      <c r="AG356" s="41"/>
      <c r="AH356" s="41"/>
    </row>
    <row r="357" spans="1:34">
      <c r="A357" s="46" t="s">
        <v>28</v>
      </c>
      <c r="B357" s="46" t="s">
        <v>20</v>
      </c>
      <c r="C357" s="47">
        <v>0.14187963100925111</v>
      </c>
      <c r="D357" s="41" t="s">
        <v>19</v>
      </c>
      <c r="E357" s="46" t="s">
        <v>205</v>
      </c>
      <c r="F357" s="46"/>
      <c r="G357" s="46" t="s">
        <v>29</v>
      </c>
      <c r="H357" s="46" t="s">
        <v>12</v>
      </c>
      <c r="I357" s="46"/>
      <c r="J357" s="46"/>
    </row>
    <row r="358" spans="1:34">
      <c r="A358" s="41" t="s">
        <v>206</v>
      </c>
      <c r="B358" s="46" t="s">
        <v>207</v>
      </c>
      <c r="C358" s="40">
        <v>3.2478194058327522E-7</v>
      </c>
      <c r="D358" s="41" t="s">
        <v>6</v>
      </c>
      <c r="E358" s="46" t="s">
        <v>205</v>
      </c>
      <c r="F358" s="46"/>
      <c r="G358" s="46" t="s">
        <v>208</v>
      </c>
      <c r="H358" s="46" t="s">
        <v>12</v>
      </c>
      <c r="I358" s="59"/>
      <c r="J358" s="46"/>
    </row>
    <row r="359" spans="1:34">
      <c r="A359" s="46" t="s">
        <v>209</v>
      </c>
      <c r="B359" s="46" t="s">
        <v>210</v>
      </c>
      <c r="C359" s="40">
        <v>1.2292801192676664E-6</v>
      </c>
      <c r="D359" s="41" t="s">
        <v>6</v>
      </c>
      <c r="E359" s="46" t="s">
        <v>205</v>
      </c>
      <c r="F359" s="46"/>
      <c r="G359" s="46" t="s">
        <v>140</v>
      </c>
      <c r="H359" s="46" t="s">
        <v>12</v>
      </c>
      <c r="I359" s="46" t="s">
        <v>222</v>
      </c>
      <c r="J359" s="46"/>
    </row>
    <row r="360" spans="1:34">
      <c r="A360" s="40" t="s">
        <v>197</v>
      </c>
      <c r="B360" s="41"/>
      <c r="C360" s="47">
        <v>2.2495030651572057</v>
      </c>
      <c r="D360" s="41" t="s">
        <v>13</v>
      </c>
      <c r="E360" s="41" t="s">
        <v>109</v>
      </c>
      <c r="F360" s="41" t="s">
        <v>198</v>
      </c>
      <c r="G360" s="41"/>
      <c r="H360" s="41" t="s">
        <v>15</v>
      </c>
      <c r="I360" s="41" t="s">
        <v>211</v>
      </c>
    </row>
    <row r="361" spans="1:34">
      <c r="A361" s="46" t="s">
        <v>212</v>
      </c>
      <c r="B361" s="49"/>
      <c r="C361" s="40">
        <v>0.26529258993003446</v>
      </c>
      <c r="D361" s="41" t="s">
        <v>13</v>
      </c>
      <c r="E361" s="41" t="s">
        <v>109</v>
      </c>
      <c r="F361" s="46" t="s">
        <v>183</v>
      </c>
      <c r="G361" s="46"/>
      <c r="H361" s="41" t="s">
        <v>15</v>
      </c>
      <c r="I361" s="41" t="s">
        <v>213</v>
      </c>
    </row>
    <row r="362" spans="1:34">
      <c r="A362" s="46" t="s">
        <v>184</v>
      </c>
      <c r="B362" s="46"/>
      <c r="C362" s="40">
        <v>1.4450918438284459E-2</v>
      </c>
      <c r="D362" s="41" t="s">
        <v>13</v>
      </c>
      <c r="E362" s="41" t="s">
        <v>109</v>
      </c>
      <c r="F362" s="46" t="s">
        <v>183</v>
      </c>
      <c r="G362" s="46"/>
      <c r="H362" s="41" t="s">
        <v>15</v>
      </c>
      <c r="I362" s="41" t="s">
        <v>213</v>
      </c>
    </row>
    <row r="363" spans="1:34">
      <c r="A363" s="46" t="s">
        <v>214</v>
      </c>
      <c r="B363" s="46"/>
      <c r="C363" s="40">
        <v>1.2515583872E-4</v>
      </c>
      <c r="D363" s="41" t="s">
        <v>13</v>
      </c>
      <c r="E363" s="41" t="s">
        <v>109</v>
      </c>
      <c r="F363" s="46" t="s">
        <v>183</v>
      </c>
      <c r="G363" s="46"/>
      <c r="H363" s="41" t="s">
        <v>15</v>
      </c>
      <c r="I363" s="41" t="s">
        <v>215</v>
      </c>
      <c r="J363" s="46"/>
    </row>
    <row r="364" spans="1:34">
      <c r="A364" s="46" t="s">
        <v>115</v>
      </c>
      <c r="B364" s="46"/>
      <c r="C364" s="40">
        <v>6.5182656435999991E-6</v>
      </c>
      <c r="D364" s="41" t="s">
        <v>13</v>
      </c>
      <c r="E364" s="41" t="s">
        <v>109</v>
      </c>
      <c r="F364" s="46" t="s">
        <v>183</v>
      </c>
      <c r="G364" s="46"/>
      <c r="H364" s="41" t="s">
        <v>15</v>
      </c>
      <c r="I364" s="41" t="s">
        <v>215</v>
      </c>
      <c r="J364" s="46"/>
    </row>
    <row r="365" spans="1:34">
      <c r="A365" s="46" t="s">
        <v>119</v>
      </c>
      <c r="B365" s="46"/>
      <c r="C365" s="40">
        <v>3.9108905687999992E-5</v>
      </c>
      <c r="D365" s="41" t="s">
        <v>13</v>
      </c>
      <c r="E365" s="41" t="s">
        <v>109</v>
      </c>
      <c r="F365" s="46" t="s">
        <v>183</v>
      </c>
      <c r="G365" s="46"/>
      <c r="H365" s="41" t="s">
        <v>15</v>
      </c>
      <c r="I365" s="41" t="s">
        <v>215</v>
      </c>
      <c r="J365" s="46"/>
    </row>
    <row r="366" spans="1:34">
      <c r="A366" s="46" t="s">
        <v>125</v>
      </c>
      <c r="B366" s="46"/>
      <c r="C366" s="40">
        <v>6.5182656435999999E-5</v>
      </c>
      <c r="D366" s="41" t="s">
        <v>13</v>
      </c>
      <c r="E366" s="41" t="s">
        <v>109</v>
      </c>
      <c r="F366" s="46" t="s">
        <v>183</v>
      </c>
      <c r="G366" s="46"/>
      <c r="H366" s="41" t="s">
        <v>15</v>
      </c>
      <c r="I366" s="41" t="s">
        <v>215</v>
      </c>
      <c r="J366" s="46"/>
    </row>
    <row r="367" spans="1:34">
      <c r="A367" s="46" t="s">
        <v>216</v>
      </c>
      <c r="B367" s="46"/>
      <c r="C367" s="40">
        <v>5.2146354539999992E-6</v>
      </c>
      <c r="D367" s="41" t="s">
        <v>13</v>
      </c>
      <c r="E367" s="41" t="s">
        <v>109</v>
      </c>
      <c r="F367" s="46" t="s">
        <v>183</v>
      </c>
      <c r="G367" s="46"/>
      <c r="H367" s="41" t="s">
        <v>15</v>
      </c>
      <c r="I367" s="41" t="s">
        <v>215</v>
      </c>
      <c r="J367" s="46"/>
    </row>
    <row r="368" spans="1:34">
      <c r="A368" s="46" t="s">
        <v>217</v>
      </c>
      <c r="B368" s="46"/>
      <c r="C368" s="40">
        <v>1.8251510827999997E-11</v>
      </c>
      <c r="D368" s="41" t="s">
        <v>13</v>
      </c>
      <c r="E368" s="41" t="s">
        <v>109</v>
      </c>
      <c r="F368" s="46" t="s">
        <v>183</v>
      </c>
      <c r="G368" s="46"/>
      <c r="H368" s="41" t="s">
        <v>15</v>
      </c>
      <c r="I368" s="41" t="s">
        <v>215</v>
      </c>
      <c r="J368" s="46"/>
    </row>
    <row r="369" spans="1:34" s="69" customFormat="1">
      <c r="A369" s="67"/>
      <c r="B369" s="67"/>
      <c r="C369" s="68"/>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row>
    <row r="370" spans="1:34">
      <c r="A370" s="39" t="s">
        <v>1</v>
      </c>
      <c r="B370" s="39" t="s">
        <v>225</v>
      </c>
      <c r="C370" s="40"/>
      <c r="D370" s="41"/>
      <c r="E370" s="41"/>
      <c r="F370" s="41"/>
      <c r="G370" s="41"/>
      <c r="H370" s="41"/>
      <c r="I370" s="41"/>
    </row>
    <row r="371" spans="1:34">
      <c r="A371" s="39" t="s">
        <v>11</v>
      </c>
      <c r="B371" s="41" t="s">
        <v>445</v>
      </c>
      <c r="C371" s="40"/>
      <c r="D371" s="41"/>
      <c r="E371" s="41"/>
      <c r="F371" s="41"/>
      <c r="G371" s="41"/>
      <c r="H371" s="41"/>
      <c r="I371" s="41"/>
    </row>
    <row r="372" spans="1:34">
      <c r="A372" s="39" t="s">
        <v>2</v>
      </c>
      <c r="B372" s="41" t="s">
        <v>29</v>
      </c>
      <c r="C372" s="40"/>
      <c r="D372" s="41"/>
      <c r="E372" s="41"/>
      <c r="F372" s="41"/>
      <c r="G372" s="41"/>
      <c r="H372" s="41"/>
      <c r="I372" s="41"/>
    </row>
    <row r="373" spans="1:34">
      <c r="A373" s="42" t="s">
        <v>4</v>
      </c>
      <c r="B373" s="46" t="s">
        <v>226</v>
      </c>
      <c r="C373" s="40"/>
      <c r="D373" s="41"/>
      <c r="E373" s="41"/>
      <c r="F373" s="41"/>
      <c r="G373" s="41"/>
      <c r="H373" s="41"/>
      <c r="I373" s="41"/>
    </row>
    <row r="374" spans="1:34">
      <c r="A374" s="39" t="s">
        <v>3</v>
      </c>
      <c r="B374" s="43">
        <v>1</v>
      </c>
      <c r="C374" s="40"/>
      <c r="D374" s="44"/>
      <c r="E374" s="41"/>
      <c r="F374" s="41"/>
      <c r="G374" s="41"/>
      <c r="H374" s="41"/>
      <c r="I374" s="41"/>
    </row>
    <row r="375" spans="1:34">
      <c r="A375" s="39" t="s">
        <v>6</v>
      </c>
      <c r="B375" s="41" t="s">
        <v>13</v>
      </c>
      <c r="C375" s="40"/>
      <c r="D375" s="44"/>
      <c r="E375" s="41"/>
      <c r="F375" s="41"/>
      <c r="G375" s="41"/>
      <c r="H375" s="41"/>
      <c r="I375" s="41"/>
    </row>
    <row r="376" spans="1:34">
      <c r="A376" s="39" t="s">
        <v>76</v>
      </c>
      <c r="B376" s="41"/>
      <c r="C376" s="40"/>
      <c r="E376" s="41"/>
      <c r="F376" s="41"/>
      <c r="G376" s="41"/>
      <c r="H376" s="41"/>
      <c r="I376" s="41"/>
    </row>
    <row r="377" spans="1:34">
      <c r="A377" s="39" t="s">
        <v>7</v>
      </c>
      <c r="B377" s="41"/>
      <c r="C377" s="40"/>
      <c r="D377" s="41"/>
      <c r="E377" s="41"/>
      <c r="F377" s="41"/>
      <c r="G377" s="41"/>
      <c r="H377" s="41"/>
      <c r="I377" s="41"/>
    </row>
    <row r="378" spans="1:34">
      <c r="A378" s="39" t="s">
        <v>8</v>
      </c>
      <c r="B378" s="39" t="s">
        <v>4</v>
      </c>
      <c r="C378" s="45" t="s">
        <v>9</v>
      </c>
      <c r="D378" s="39" t="s">
        <v>6</v>
      </c>
      <c r="E378" s="39" t="s">
        <v>106</v>
      </c>
      <c r="F378" s="39" t="s">
        <v>10</v>
      </c>
      <c r="G378" s="39" t="s">
        <v>2</v>
      </c>
      <c r="H378" s="39" t="s">
        <v>5</v>
      </c>
      <c r="I378" s="39" t="s">
        <v>11</v>
      </c>
    </row>
    <row r="379" spans="1:34">
      <c r="A379" s="46" t="s">
        <v>225</v>
      </c>
      <c r="B379" s="46" t="s">
        <v>226</v>
      </c>
      <c r="C379" s="47">
        <v>1</v>
      </c>
      <c r="D379" s="41" t="s">
        <v>13</v>
      </c>
      <c r="E379" s="46"/>
      <c r="F379" s="46"/>
      <c r="G379" s="46" t="s">
        <v>29</v>
      </c>
      <c r="H379" s="46" t="s">
        <v>18</v>
      </c>
      <c r="I379" s="46"/>
    </row>
    <row r="380" spans="1:34">
      <c r="A380" s="46" t="s">
        <v>230</v>
      </c>
      <c r="B380" s="46" t="s">
        <v>231</v>
      </c>
      <c r="C380" s="47">
        <v>0.01</v>
      </c>
      <c r="D380" s="41" t="s">
        <v>232</v>
      </c>
      <c r="E380" s="46" t="s">
        <v>205</v>
      </c>
      <c r="F380" s="46"/>
      <c r="G380" s="46" t="s">
        <v>49</v>
      </c>
      <c r="H380" s="46" t="s">
        <v>12</v>
      </c>
      <c r="I380" s="46" t="s">
        <v>297</v>
      </c>
    </row>
    <row r="381" spans="1:34">
      <c r="A381" t="s">
        <v>381</v>
      </c>
      <c r="B381" t="s">
        <v>298</v>
      </c>
      <c r="C381" s="47">
        <v>1</v>
      </c>
      <c r="D381" s="41" t="s">
        <v>13</v>
      </c>
      <c r="E381" s="46"/>
      <c r="F381" s="46"/>
      <c r="G381" s="46" t="s">
        <v>49</v>
      </c>
      <c r="H381" s="46" t="s">
        <v>12</v>
      </c>
      <c r="I381" s="46"/>
    </row>
    <row r="382" spans="1:34" s="69" customFormat="1">
      <c r="A382" s="67"/>
      <c r="B382" s="67"/>
      <c r="C382" s="68"/>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row>
    <row r="383" spans="1:34">
      <c r="A383" s="39" t="s">
        <v>1</v>
      </c>
      <c r="B383" s="39" t="s">
        <v>228</v>
      </c>
      <c r="C383" s="40"/>
      <c r="D383" s="41"/>
      <c r="E383" s="41"/>
      <c r="F383" s="41"/>
      <c r="G383" s="41"/>
      <c r="H383" s="41"/>
      <c r="I383" s="41"/>
    </row>
    <row r="384" spans="1:34">
      <c r="A384" s="39" t="s">
        <v>11</v>
      </c>
      <c r="B384" s="41" t="s">
        <v>446</v>
      </c>
      <c r="C384" s="40"/>
      <c r="D384" s="41"/>
      <c r="E384" s="41"/>
      <c r="F384" s="41"/>
      <c r="G384" s="41"/>
      <c r="H384" s="41"/>
      <c r="I384" s="41"/>
    </row>
    <row r="385" spans="1:34">
      <c r="A385" s="39" t="s">
        <v>2</v>
      </c>
      <c r="B385" s="41" t="s">
        <v>29</v>
      </c>
      <c r="C385" s="40"/>
      <c r="D385" s="41"/>
      <c r="E385" s="41"/>
      <c r="F385" s="41"/>
      <c r="G385" s="41"/>
      <c r="H385" s="41"/>
      <c r="I385" s="41"/>
    </row>
    <row r="386" spans="1:34">
      <c r="A386" s="42" t="s">
        <v>4</v>
      </c>
      <c r="B386" s="41" t="s">
        <v>229</v>
      </c>
      <c r="C386" s="40"/>
      <c r="D386" s="41"/>
      <c r="E386" s="41"/>
      <c r="F386" s="41"/>
      <c r="G386" s="41"/>
      <c r="H386" s="41"/>
      <c r="I386" s="41"/>
    </row>
    <row r="387" spans="1:34">
      <c r="A387" s="39" t="s">
        <v>3</v>
      </c>
      <c r="B387" s="43">
        <v>1</v>
      </c>
      <c r="C387" s="40"/>
      <c r="D387" s="44"/>
      <c r="E387" s="41"/>
      <c r="F387" s="41"/>
      <c r="G387" s="41"/>
      <c r="H387" s="41"/>
      <c r="I387" s="41"/>
    </row>
    <row r="388" spans="1:34">
      <c r="A388" s="39" t="s">
        <v>6</v>
      </c>
      <c r="B388" s="41" t="s">
        <v>13</v>
      </c>
      <c r="C388" s="40"/>
      <c r="D388" s="44"/>
      <c r="E388" s="41"/>
      <c r="F388" s="41"/>
      <c r="G388" s="41"/>
      <c r="H388" s="41"/>
      <c r="I388" s="41"/>
    </row>
    <row r="389" spans="1:34">
      <c r="A389" s="39" t="s">
        <v>76</v>
      </c>
      <c r="B389" s="41"/>
      <c r="C389" s="40"/>
      <c r="D389" s="44"/>
      <c r="E389" s="41"/>
      <c r="F389" s="41"/>
      <c r="G389" s="41"/>
      <c r="H389" s="41"/>
      <c r="I389" s="41"/>
    </row>
    <row r="390" spans="1:34">
      <c r="A390" s="39" t="s">
        <v>7</v>
      </c>
      <c r="B390" s="41"/>
      <c r="C390" s="40"/>
      <c r="D390" s="41"/>
      <c r="E390" s="41"/>
      <c r="F390" s="41"/>
      <c r="G390" s="41"/>
      <c r="H390" s="41"/>
      <c r="I390" s="41"/>
    </row>
    <row r="391" spans="1:34">
      <c r="A391" s="39" t="s">
        <v>8</v>
      </c>
      <c r="B391" s="39" t="s">
        <v>4</v>
      </c>
      <c r="C391" s="45" t="s">
        <v>9</v>
      </c>
      <c r="D391" s="39" t="s">
        <v>6</v>
      </c>
      <c r="E391" s="39" t="s">
        <v>106</v>
      </c>
      <c r="F391" s="39" t="s">
        <v>10</v>
      </c>
      <c r="G391" s="39" t="s">
        <v>2</v>
      </c>
      <c r="H391" s="39" t="s">
        <v>5</v>
      </c>
      <c r="I391" s="39" t="s">
        <v>11</v>
      </c>
    </row>
    <row r="392" spans="1:34">
      <c r="A392" s="46" t="s">
        <v>228</v>
      </c>
      <c r="B392" s="46" t="s">
        <v>233</v>
      </c>
      <c r="C392" s="47">
        <v>1</v>
      </c>
      <c r="D392" s="41" t="s">
        <v>13</v>
      </c>
      <c r="E392" s="46" t="s">
        <v>196</v>
      </c>
      <c r="F392" s="46"/>
      <c r="G392" s="46" t="s">
        <v>29</v>
      </c>
      <c r="H392" s="46" t="s">
        <v>18</v>
      </c>
      <c r="I392" s="46"/>
    </row>
    <row r="393" spans="1:34">
      <c r="A393" s="46" t="s">
        <v>230</v>
      </c>
      <c r="B393" s="46" t="s">
        <v>231</v>
      </c>
      <c r="C393" s="47">
        <v>0.01</v>
      </c>
      <c r="D393" s="41" t="s">
        <v>232</v>
      </c>
      <c r="E393" s="46" t="s">
        <v>205</v>
      </c>
      <c r="F393" s="46"/>
      <c r="G393" s="46" t="s">
        <v>49</v>
      </c>
      <c r="H393" s="46" t="s">
        <v>12</v>
      </c>
      <c r="I393" s="46" t="s">
        <v>297</v>
      </c>
    </row>
    <row r="394" spans="1:34">
      <c r="A394" s="46" t="s">
        <v>45</v>
      </c>
      <c r="B394" s="46" t="s">
        <v>43</v>
      </c>
      <c r="C394" s="47">
        <v>3.7599999999999999E-3</v>
      </c>
      <c r="D394" s="41" t="s">
        <v>19</v>
      </c>
      <c r="E394" s="46" t="s">
        <v>205</v>
      </c>
      <c r="F394" s="46"/>
      <c r="G394" s="46" t="s">
        <v>29</v>
      </c>
      <c r="H394" s="46" t="s">
        <v>12</v>
      </c>
      <c r="I394" s="46" t="s">
        <v>279</v>
      </c>
    </row>
    <row r="395" spans="1:34">
      <c r="A395" s="46" t="s">
        <v>278</v>
      </c>
      <c r="B395" s="46" t="s">
        <v>277</v>
      </c>
      <c r="C395" s="47">
        <v>8.4999999999999995E-4</v>
      </c>
      <c r="D395" s="41" t="s">
        <v>13</v>
      </c>
      <c r="E395" s="46" t="s">
        <v>205</v>
      </c>
      <c r="F395" s="46"/>
      <c r="G395" s="46" t="s">
        <v>49</v>
      </c>
      <c r="H395" s="46" t="s">
        <v>12</v>
      </c>
      <c r="I395" s="46" t="s">
        <v>279</v>
      </c>
    </row>
    <row r="396" spans="1:34" s="69" customFormat="1">
      <c r="A396" s="67"/>
      <c r="B396" s="67"/>
      <c r="C396" s="68"/>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row>
    <row r="397" spans="1:34">
      <c r="A397" s="39" t="s">
        <v>1</v>
      </c>
      <c r="B397" s="39" t="s">
        <v>202</v>
      </c>
      <c r="C397" s="40"/>
      <c r="D397" s="41"/>
      <c r="E397" s="41"/>
      <c r="F397" s="41"/>
      <c r="G397" s="41"/>
      <c r="H397" s="41"/>
      <c r="I397" s="41"/>
    </row>
    <row r="398" spans="1:34">
      <c r="A398" s="39" t="s">
        <v>11</v>
      </c>
      <c r="B398" s="41" t="s">
        <v>447</v>
      </c>
      <c r="C398" s="40"/>
      <c r="D398" s="41"/>
      <c r="E398" s="41"/>
      <c r="F398" s="41"/>
      <c r="G398" s="41"/>
      <c r="H398" s="41"/>
      <c r="I398" s="41"/>
    </row>
    <row r="399" spans="1:34">
      <c r="A399" s="39" t="s">
        <v>2</v>
      </c>
      <c r="B399" s="41" t="s">
        <v>29</v>
      </c>
      <c r="C399" s="40"/>
      <c r="D399" s="41"/>
      <c r="E399" s="41"/>
      <c r="F399" s="41"/>
      <c r="G399" s="41"/>
      <c r="H399" s="41"/>
      <c r="I399" s="41"/>
    </row>
    <row r="400" spans="1:34">
      <c r="A400" s="42" t="s">
        <v>4</v>
      </c>
      <c r="B400" s="41" t="s">
        <v>203</v>
      </c>
      <c r="C400" s="40"/>
      <c r="D400" s="41"/>
      <c r="E400" s="41"/>
      <c r="F400" s="41"/>
      <c r="G400" s="41"/>
      <c r="H400" s="41"/>
      <c r="I400" s="41"/>
    </row>
    <row r="401" spans="1:34">
      <c r="A401" s="39" t="s">
        <v>3</v>
      </c>
      <c r="B401" s="43">
        <v>1</v>
      </c>
      <c r="C401" s="40"/>
      <c r="D401" s="44"/>
      <c r="E401" s="41"/>
      <c r="F401" s="41"/>
      <c r="G401" s="41"/>
      <c r="H401" s="41"/>
      <c r="I401" s="41"/>
    </row>
    <row r="402" spans="1:34">
      <c r="A402" s="39" t="s">
        <v>6</v>
      </c>
      <c r="B402" s="41" t="s">
        <v>13</v>
      </c>
      <c r="C402" s="40"/>
      <c r="D402" s="44"/>
      <c r="E402" s="41"/>
      <c r="F402" s="41"/>
      <c r="G402" s="41"/>
      <c r="H402" s="41"/>
      <c r="I402" s="41"/>
    </row>
    <row r="403" spans="1:34">
      <c r="A403" s="39" t="s">
        <v>76</v>
      </c>
      <c r="B403" s="41" t="s">
        <v>281</v>
      </c>
      <c r="C403" s="40"/>
      <c r="D403" s="44"/>
      <c r="E403" s="41"/>
      <c r="F403" s="41"/>
      <c r="G403" s="41"/>
      <c r="H403" s="41"/>
      <c r="I403" s="41"/>
    </row>
    <row r="404" spans="1:34">
      <c r="A404" s="39" t="s">
        <v>7</v>
      </c>
      <c r="B404" s="41"/>
      <c r="C404" s="40"/>
      <c r="D404" s="41"/>
      <c r="E404" s="41"/>
      <c r="F404" s="41"/>
      <c r="G404" s="41"/>
      <c r="H404" s="41"/>
      <c r="I404" s="41"/>
    </row>
    <row r="405" spans="1:34">
      <c r="A405" s="39" t="s">
        <v>8</v>
      </c>
      <c r="B405" s="39" t="s">
        <v>4</v>
      </c>
      <c r="C405" s="45" t="s">
        <v>9</v>
      </c>
      <c r="D405" s="39" t="s">
        <v>6</v>
      </c>
      <c r="E405" s="39" t="s">
        <v>106</v>
      </c>
      <c r="F405" s="39" t="s">
        <v>10</v>
      </c>
      <c r="G405" s="39" t="s">
        <v>2</v>
      </c>
      <c r="H405" s="39" t="s">
        <v>5</v>
      </c>
      <c r="I405" s="39" t="s">
        <v>11</v>
      </c>
    </row>
    <row r="406" spans="1:34">
      <c r="A406" s="46" t="s">
        <v>202</v>
      </c>
      <c r="B406" s="46" t="s">
        <v>203</v>
      </c>
      <c r="C406" s="47">
        <v>1</v>
      </c>
      <c r="D406" s="41" t="s">
        <v>13</v>
      </c>
      <c r="E406" s="46" t="s">
        <v>196</v>
      </c>
      <c r="F406" s="46"/>
      <c r="G406" s="46" t="s">
        <v>29</v>
      </c>
      <c r="H406" s="46" t="s">
        <v>18</v>
      </c>
      <c r="I406" s="46"/>
    </row>
    <row r="407" spans="1:34">
      <c r="A407" s="46" t="s">
        <v>230</v>
      </c>
      <c r="B407" s="46" t="s">
        <v>231</v>
      </c>
      <c r="C407" s="47">
        <v>0.01</v>
      </c>
      <c r="D407" s="41" t="s">
        <v>232</v>
      </c>
      <c r="E407" s="46" t="s">
        <v>205</v>
      </c>
      <c r="F407" s="46"/>
      <c r="G407" s="46" t="s">
        <v>49</v>
      </c>
      <c r="H407" s="46" t="s">
        <v>12</v>
      </c>
      <c r="I407" s="46" t="s">
        <v>297</v>
      </c>
    </row>
    <row r="408" spans="1:34" s="69" customFormat="1">
      <c r="A408" s="67"/>
      <c r="B408" s="67"/>
      <c r="C408" s="68"/>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row>
    <row r="409" spans="1:34">
      <c r="A409" s="39" t="s">
        <v>1</v>
      </c>
      <c r="B409" s="39" t="s">
        <v>219</v>
      </c>
      <c r="C409" s="40"/>
      <c r="D409" s="41"/>
      <c r="E409" s="41"/>
      <c r="F409" s="41"/>
      <c r="G409" s="41"/>
      <c r="H409" s="41"/>
      <c r="I409" s="41"/>
      <c r="J409" s="41"/>
      <c r="K409" s="41"/>
      <c r="L409" s="41"/>
      <c r="M409" s="41"/>
      <c r="N409" s="41"/>
      <c r="O409" s="41"/>
      <c r="P409" s="41"/>
      <c r="Q409" s="41"/>
      <c r="R409" s="41"/>
      <c r="S409" s="41"/>
      <c r="T409" s="41"/>
      <c r="U409" s="41"/>
      <c r="V409" s="41"/>
      <c r="W409" s="41"/>
      <c r="X409" s="41"/>
      <c r="Y409" s="41"/>
      <c r="Z409" s="41"/>
      <c r="AA409" s="41"/>
      <c r="AB409" s="41"/>
      <c r="AC409" s="41"/>
      <c r="AD409" s="41"/>
      <c r="AE409" s="41"/>
      <c r="AF409" s="41"/>
      <c r="AG409" s="41"/>
      <c r="AH409" s="41"/>
    </row>
    <row r="410" spans="1:34">
      <c r="A410" s="39" t="s">
        <v>11</v>
      </c>
      <c r="B410" s="41" t="s">
        <v>448</v>
      </c>
      <c r="C410" s="40"/>
      <c r="D410" s="41"/>
      <c r="E410" s="41"/>
      <c r="F410" s="41"/>
      <c r="G410" s="41"/>
      <c r="H410" s="41"/>
      <c r="I410" s="41"/>
      <c r="J410" s="41"/>
      <c r="K410" s="41"/>
      <c r="L410" s="41"/>
      <c r="M410" s="41"/>
      <c r="N410" s="41"/>
      <c r="O410" s="41"/>
      <c r="P410" s="41"/>
      <c r="Q410" s="41"/>
      <c r="R410" s="41"/>
      <c r="S410" s="41"/>
      <c r="T410" s="41"/>
      <c r="U410" s="41"/>
      <c r="V410" s="41"/>
      <c r="W410" s="41"/>
      <c r="X410" s="41"/>
      <c r="Y410" s="41"/>
      <c r="Z410" s="41"/>
      <c r="AA410" s="41"/>
      <c r="AB410" s="41"/>
      <c r="AC410" s="41"/>
      <c r="AD410" s="41"/>
      <c r="AE410" s="41"/>
      <c r="AF410" s="41"/>
      <c r="AG410" s="41"/>
      <c r="AH410" s="41"/>
    </row>
    <row r="411" spans="1:34">
      <c r="A411" s="39" t="s">
        <v>2</v>
      </c>
      <c r="B411" s="41" t="s">
        <v>29</v>
      </c>
      <c r="C411" s="40"/>
      <c r="D411" s="41"/>
      <c r="E411" s="41"/>
      <c r="F411" s="41"/>
      <c r="G411" s="41"/>
      <c r="H411" s="41"/>
      <c r="I411" s="41"/>
      <c r="J411" s="41"/>
      <c r="K411" s="41"/>
      <c r="L411" s="41"/>
      <c r="M411" s="41"/>
      <c r="N411" s="41"/>
      <c r="O411" s="41"/>
      <c r="P411" s="41"/>
      <c r="Q411" s="41"/>
      <c r="R411" s="41"/>
      <c r="S411" s="41"/>
      <c r="T411" s="41"/>
      <c r="U411" s="41"/>
      <c r="V411" s="41"/>
      <c r="W411" s="41"/>
      <c r="X411" s="41"/>
      <c r="Y411" s="41"/>
      <c r="Z411" s="41"/>
      <c r="AA411" s="41"/>
      <c r="AB411" s="41"/>
      <c r="AC411" s="41"/>
      <c r="AD411" s="41"/>
      <c r="AE411" s="41"/>
      <c r="AF411" s="41"/>
      <c r="AG411" s="41"/>
      <c r="AH411" s="41"/>
    </row>
    <row r="412" spans="1:34">
      <c r="A412" s="42" t="s">
        <v>4</v>
      </c>
      <c r="B412" s="41" t="s">
        <v>220</v>
      </c>
      <c r="C412" s="40"/>
      <c r="D412" s="41"/>
      <c r="E412" s="41"/>
      <c r="F412" s="41"/>
      <c r="G412" s="41"/>
      <c r="H412" s="41"/>
      <c r="I412" s="41"/>
      <c r="J412" s="41"/>
      <c r="K412" s="41"/>
      <c r="L412" s="41"/>
      <c r="M412" s="41"/>
      <c r="N412" s="41"/>
      <c r="O412" s="41"/>
      <c r="P412" s="41"/>
      <c r="Q412" s="41"/>
      <c r="R412" s="41"/>
      <c r="S412" s="41"/>
      <c r="T412" s="41"/>
      <c r="U412" s="41"/>
      <c r="V412" s="41"/>
      <c r="W412" s="41"/>
      <c r="X412" s="41"/>
      <c r="Y412" s="41"/>
      <c r="Z412" s="41"/>
      <c r="AA412" s="41"/>
      <c r="AB412" s="41"/>
      <c r="AC412" s="41"/>
      <c r="AD412" s="41"/>
      <c r="AE412" s="41"/>
      <c r="AF412" s="41"/>
      <c r="AG412" s="41"/>
      <c r="AH412" s="41"/>
    </row>
    <row r="413" spans="1:34">
      <c r="A413" s="39" t="s">
        <v>3</v>
      </c>
      <c r="B413" s="43">
        <v>1</v>
      </c>
      <c r="C413" s="40"/>
      <c r="D413" s="44"/>
      <c r="E413" s="41"/>
      <c r="F413" s="41"/>
      <c r="G413" s="41"/>
      <c r="H413" s="41"/>
      <c r="I413" s="41"/>
      <c r="J413" s="41"/>
      <c r="K413" s="41"/>
      <c r="L413" s="41"/>
      <c r="M413" s="41"/>
      <c r="N413" s="41"/>
      <c r="O413" s="41"/>
      <c r="P413" s="41"/>
      <c r="Q413" s="41"/>
      <c r="R413" s="41"/>
      <c r="S413" s="41"/>
      <c r="T413" s="41"/>
      <c r="U413" s="41"/>
      <c r="V413" s="41"/>
      <c r="W413" s="41"/>
      <c r="X413" s="41"/>
      <c r="Y413" s="41"/>
      <c r="Z413" s="41"/>
      <c r="AA413" s="41"/>
      <c r="AB413" s="41"/>
      <c r="AC413" s="41"/>
      <c r="AD413" s="41"/>
      <c r="AE413" s="41"/>
      <c r="AF413" s="41"/>
      <c r="AG413" s="41"/>
      <c r="AH413" s="41"/>
    </row>
    <row r="414" spans="1:34">
      <c r="A414" s="39" t="s">
        <v>6</v>
      </c>
      <c r="B414" s="41" t="s">
        <v>13</v>
      </c>
      <c r="C414" s="40"/>
      <c r="D414" s="44"/>
      <c r="E414" s="41"/>
      <c r="F414" s="41"/>
      <c r="G414" s="41"/>
      <c r="H414" s="41"/>
      <c r="I414" s="41"/>
      <c r="J414" s="41"/>
      <c r="K414" s="41"/>
      <c r="L414" s="41"/>
      <c r="M414" s="41"/>
      <c r="N414" s="41"/>
      <c r="O414" s="41"/>
      <c r="P414" s="41"/>
      <c r="Q414" s="41"/>
      <c r="R414" s="41"/>
      <c r="S414" s="41"/>
      <c r="T414" s="41"/>
      <c r="U414" s="41"/>
      <c r="V414" s="41"/>
      <c r="W414" s="41"/>
      <c r="X414" s="41"/>
      <c r="Y414" s="41"/>
      <c r="Z414" s="41"/>
      <c r="AA414" s="41"/>
      <c r="AB414" s="41"/>
      <c r="AC414" s="41"/>
      <c r="AD414" s="41"/>
      <c r="AE414" s="41"/>
      <c r="AF414" s="41"/>
      <c r="AG414" s="41"/>
      <c r="AH414" s="41"/>
    </row>
    <row r="415" spans="1:34">
      <c r="A415" s="39" t="s">
        <v>76</v>
      </c>
      <c r="B415" s="41" t="s">
        <v>273</v>
      </c>
      <c r="C415" s="40"/>
      <c r="D415" s="44"/>
      <c r="E415" s="41"/>
      <c r="F415" s="41"/>
      <c r="G415" s="41"/>
      <c r="H415" s="41"/>
      <c r="I415" s="41"/>
      <c r="J415" s="41"/>
      <c r="K415" s="41"/>
      <c r="L415" s="41"/>
      <c r="M415" s="41"/>
      <c r="N415" s="41"/>
      <c r="O415" s="41"/>
      <c r="P415" s="41"/>
      <c r="Q415" s="41"/>
      <c r="R415" s="41"/>
      <c r="S415" s="41"/>
      <c r="T415" s="41"/>
      <c r="U415" s="41"/>
      <c r="V415" s="41"/>
      <c r="W415" s="41"/>
      <c r="X415" s="41"/>
      <c r="Y415" s="41"/>
      <c r="Z415" s="41"/>
      <c r="AA415" s="41"/>
      <c r="AB415" s="41"/>
      <c r="AC415" s="41"/>
      <c r="AD415" s="41"/>
      <c r="AE415" s="41"/>
      <c r="AF415" s="41"/>
      <c r="AG415" s="41"/>
      <c r="AH415" s="41"/>
    </row>
    <row r="416" spans="1:34">
      <c r="A416" s="39" t="s">
        <v>7</v>
      </c>
      <c r="B416" s="41"/>
      <c r="C416" s="40"/>
      <c r="D416" s="41"/>
      <c r="E416" s="41"/>
      <c r="F416" s="41"/>
      <c r="G416" s="41"/>
      <c r="H416" s="41"/>
      <c r="I416" s="41"/>
      <c r="J416" s="41"/>
      <c r="K416" s="41"/>
      <c r="L416" s="41"/>
      <c r="M416" s="41"/>
      <c r="N416" s="41"/>
      <c r="O416" s="41"/>
      <c r="P416" s="41"/>
      <c r="Q416" s="41"/>
      <c r="R416" s="41"/>
      <c r="S416" s="41"/>
      <c r="T416" s="41"/>
      <c r="U416" s="41"/>
      <c r="V416" s="41"/>
      <c r="W416" s="41"/>
      <c r="X416" s="41"/>
      <c r="Y416" s="41"/>
      <c r="Z416" s="41"/>
      <c r="AA416" s="41"/>
      <c r="AB416" s="41"/>
      <c r="AC416" s="41"/>
      <c r="AD416" s="41"/>
      <c r="AE416" s="41"/>
      <c r="AF416" s="41"/>
      <c r="AG416" s="41"/>
      <c r="AH416" s="41"/>
    </row>
    <row r="417" spans="1:34">
      <c r="A417" s="39" t="s">
        <v>8</v>
      </c>
      <c r="B417" s="39" t="s">
        <v>4</v>
      </c>
      <c r="C417" s="45" t="s">
        <v>9</v>
      </c>
      <c r="D417" s="39" t="s">
        <v>6</v>
      </c>
      <c r="E417" s="39" t="s">
        <v>106</v>
      </c>
      <c r="F417" s="39" t="s">
        <v>10</v>
      </c>
      <c r="G417" s="39" t="s">
        <v>2</v>
      </c>
      <c r="H417" s="39" t="s">
        <v>5</v>
      </c>
      <c r="I417" s="39" t="s">
        <v>11</v>
      </c>
      <c r="J417" s="41"/>
      <c r="K417" s="41"/>
      <c r="L417" s="41"/>
      <c r="M417" s="41"/>
      <c r="N417" s="41"/>
      <c r="O417" s="41"/>
      <c r="P417" s="41"/>
      <c r="Q417" s="41"/>
      <c r="R417" s="41"/>
      <c r="S417" s="41"/>
      <c r="T417" s="41"/>
      <c r="U417" s="41"/>
      <c r="V417" s="41"/>
      <c r="W417" s="41"/>
      <c r="X417" s="41"/>
      <c r="Y417" s="41"/>
      <c r="Z417" s="41"/>
      <c r="AA417" s="41"/>
      <c r="AB417" s="41"/>
      <c r="AC417" s="41"/>
      <c r="AD417" s="41"/>
      <c r="AE417" s="41"/>
      <c r="AF417" s="41"/>
      <c r="AG417" s="41"/>
      <c r="AH417" s="41"/>
    </row>
    <row r="418" spans="1:34">
      <c r="A418" s="46" t="s">
        <v>219</v>
      </c>
      <c r="B418" s="46" t="s">
        <v>220</v>
      </c>
      <c r="C418" s="47">
        <v>1</v>
      </c>
      <c r="D418" s="41" t="s">
        <v>13</v>
      </c>
      <c r="E418" s="46" t="s">
        <v>196</v>
      </c>
      <c r="F418" s="46"/>
      <c r="G418" s="46" t="s">
        <v>29</v>
      </c>
      <c r="H418" s="46" t="s">
        <v>18</v>
      </c>
      <c r="I418" s="46"/>
      <c r="J418" s="46"/>
      <c r="K418" s="46"/>
      <c r="L418" s="41"/>
      <c r="M418" s="41"/>
      <c r="N418" s="41"/>
      <c r="O418" s="41"/>
      <c r="P418" s="41"/>
      <c r="Q418" s="41"/>
      <c r="R418" s="41"/>
      <c r="S418" s="41"/>
      <c r="T418" s="41"/>
      <c r="U418" s="41"/>
      <c r="V418" s="41"/>
      <c r="W418" s="41"/>
      <c r="X418" s="41"/>
      <c r="Y418" s="41"/>
      <c r="Z418" s="41"/>
      <c r="AA418" s="41"/>
      <c r="AB418" s="41"/>
      <c r="AC418" s="41"/>
      <c r="AD418" s="41"/>
      <c r="AE418" s="41"/>
      <c r="AF418" s="41"/>
      <c r="AG418" s="41"/>
      <c r="AH418" s="41"/>
    </row>
    <row r="419" spans="1:34">
      <c r="A419" s="46" t="s">
        <v>230</v>
      </c>
      <c r="B419" s="46" t="s">
        <v>231</v>
      </c>
      <c r="C419" s="47">
        <v>0.01</v>
      </c>
      <c r="D419" s="41" t="s">
        <v>232</v>
      </c>
      <c r="E419" s="46" t="s">
        <v>205</v>
      </c>
      <c r="F419" s="46"/>
      <c r="G419" s="46" t="s">
        <v>49</v>
      </c>
      <c r="H419" s="46" t="s">
        <v>12</v>
      </c>
      <c r="I419" s="46" t="s">
        <v>297</v>
      </c>
      <c r="J419" s="46"/>
      <c r="K419" s="46"/>
      <c r="L419" s="41"/>
      <c r="M419" s="41"/>
      <c r="N419" s="41"/>
      <c r="O419" s="41"/>
      <c r="P419" s="41"/>
      <c r="Q419" s="41"/>
      <c r="R419" s="41"/>
      <c r="S419" s="41"/>
      <c r="T419" s="41"/>
      <c r="U419" s="41"/>
      <c r="V419" s="41"/>
      <c r="W419" s="41"/>
      <c r="X419" s="41"/>
      <c r="Y419" s="41"/>
      <c r="Z419" s="41"/>
      <c r="AA419" s="41"/>
      <c r="AB419" s="41"/>
      <c r="AC419" s="41"/>
      <c r="AD419" s="41"/>
      <c r="AE419" s="41"/>
      <c r="AF419" s="41"/>
      <c r="AG419" s="41"/>
      <c r="AH419" s="41"/>
    </row>
    <row r="420" spans="1:34">
      <c r="A420" s="46" t="s">
        <v>45</v>
      </c>
      <c r="B420" s="46" t="s">
        <v>43</v>
      </c>
      <c r="C420" s="54">
        <v>3.7599999999999999E-3</v>
      </c>
      <c r="D420" s="41" t="s">
        <v>19</v>
      </c>
      <c r="E420" s="46" t="s">
        <v>205</v>
      </c>
      <c r="F420" s="46"/>
      <c r="G420" s="46" t="s">
        <v>29</v>
      </c>
      <c r="H420" s="46" t="s">
        <v>12</v>
      </c>
      <c r="I420" s="46" t="s">
        <v>279</v>
      </c>
      <c r="J420" s="46"/>
      <c r="K420" s="46"/>
      <c r="L420" s="41"/>
      <c r="M420" s="41"/>
      <c r="N420" s="41"/>
      <c r="O420" s="41"/>
      <c r="P420" s="41"/>
      <c r="Q420" s="41"/>
      <c r="R420" s="41"/>
      <c r="S420" s="41"/>
      <c r="T420" s="41"/>
      <c r="U420" s="41"/>
      <c r="V420" s="41"/>
      <c r="W420" s="41"/>
      <c r="X420" s="41"/>
      <c r="Y420" s="41"/>
      <c r="Z420" s="41"/>
      <c r="AA420" s="41"/>
      <c r="AB420" s="41"/>
      <c r="AC420" s="41"/>
      <c r="AD420" s="41"/>
      <c r="AE420" s="41"/>
      <c r="AF420" s="41"/>
      <c r="AG420" s="41"/>
      <c r="AH420" s="41"/>
    </row>
    <row r="421" spans="1:34">
      <c r="A421" t="s">
        <v>278</v>
      </c>
      <c r="B421" t="s">
        <v>277</v>
      </c>
      <c r="C421" s="54">
        <v>8.4999999999999995E-4</v>
      </c>
      <c r="D421" s="41" t="s">
        <v>13</v>
      </c>
      <c r="E421" s="46" t="s">
        <v>205</v>
      </c>
      <c r="F421" s="46"/>
      <c r="G421" s="46" t="s">
        <v>49</v>
      </c>
      <c r="H421" s="46" t="s">
        <v>12</v>
      </c>
      <c r="I421" s="46" t="s">
        <v>279</v>
      </c>
    </row>
    <row r="422" spans="1:34" s="69" customFormat="1">
      <c r="A422" s="67"/>
      <c r="B422" s="67"/>
      <c r="C422" s="68"/>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row>
    <row r="423" spans="1:34">
      <c r="A423" s="39" t="s">
        <v>1</v>
      </c>
      <c r="B423" s="39" t="s">
        <v>274</v>
      </c>
      <c r="C423" s="40"/>
      <c r="D423" s="41"/>
      <c r="E423" s="41"/>
      <c r="F423" s="41"/>
      <c r="G423" s="41"/>
      <c r="H423" s="41"/>
      <c r="I423" s="41"/>
    </row>
    <row r="424" spans="1:34">
      <c r="A424" s="39" t="s">
        <v>11</v>
      </c>
      <c r="B424" s="41" t="s">
        <v>449</v>
      </c>
      <c r="C424" s="40"/>
      <c r="D424" s="41"/>
      <c r="E424" s="41"/>
      <c r="F424" s="41"/>
      <c r="G424" s="41"/>
      <c r="H424" s="41"/>
      <c r="I424" s="41"/>
    </row>
    <row r="425" spans="1:34">
      <c r="A425" s="39" t="s">
        <v>2</v>
      </c>
      <c r="B425" s="41" t="s">
        <v>29</v>
      </c>
      <c r="C425" s="40"/>
      <c r="D425" s="41"/>
      <c r="E425" s="41"/>
      <c r="F425" s="41"/>
      <c r="G425" s="41"/>
      <c r="H425" s="41"/>
      <c r="I425" s="41"/>
    </row>
    <row r="426" spans="1:34">
      <c r="A426" s="42" t="s">
        <v>4</v>
      </c>
      <c r="B426" s="46" t="s">
        <v>275</v>
      </c>
      <c r="C426" s="40"/>
      <c r="D426" s="44"/>
      <c r="E426" s="41"/>
      <c r="F426" s="41"/>
      <c r="G426" s="41"/>
      <c r="H426" s="41"/>
      <c r="I426" s="41"/>
    </row>
    <row r="427" spans="1:34">
      <c r="A427" s="39" t="s">
        <v>3</v>
      </c>
      <c r="B427" s="43">
        <v>1</v>
      </c>
      <c r="C427" s="40"/>
      <c r="D427" s="44"/>
      <c r="E427" s="41"/>
      <c r="F427" s="41"/>
      <c r="G427" s="41"/>
      <c r="H427" s="41"/>
      <c r="I427" s="41"/>
    </row>
    <row r="428" spans="1:34">
      <c r="A428" s="39" t="s">
        <v>6</v>
      </c>
      <c r="B428" s="41" t="s">
        <v>13</v>
      </c>
      <c r="C428" s="40"/>
      <c r="D428" s="44"/>
      <c r="E428" s="41"/>
      <c r="F428" s="41"/>
      <c r="G428" s="41"/>
      <c r="H428" s="41"/>
      <c r="I428" s="41"/>
    </row>
    <row r="429" spans="1:34">
      <c r="A429" s="39" t="s">
        <v>76</v>
      </c>
      <c r="B429" s="41" t="s">
        <v>273</v>
      </c>
      <c r="C429" s="40"/>
      <c r="D429" s="44"/>
      <c r="E429" s="41"/>
      <c r="F429" s="41"/>
      <c r="G429" s="41"/>
      <c r="H429" s="41"/>
      <c r="I429" s="41"/>
    </row>
    <row r="430" spans="1:34">
      <c r="A430" s="39" t="s">
        <v>7</v>
      </c>
      <c r="B430" s="41"/>
      <c r="C430" s="40"/>
      <c r="D430" s="41"/>
      <c r="E430" s="41"/>
      <c r="F430" s="41"/>
      <c r="G430" s="41"/>
      <c r="H430" s="41"/>
      <c r="I430" s="41"/>
    </row>
    <row r="431" spans="1:34">
      <c r="A431" s="39" t="s">
        <v>8</v>
      </c>
      <c r="B431" s="39" t="s">
        <v>4</v>
      </c>
      <c r="C431" s="45" t="s">
        <v>9</v>
      </c>
      <c r="D431" s="39" t="s">
        <v>6</v>
      </c>
      <c r="E431" s="39" t="s">
        <v>106</v>
      </c>
      <c r="F431" s="39" t="s">
        <v>10</v>
      </c>
      <c r="G431" s="39" t="s">
        <v>2</v>
      </c>
      <c r="H431" s="39" t="s">
        <v>5</v>
      </c>
      <c r="I431" s="39" t="s">
        <v>11</v>
      </c>
    </row>
    <row r="432" spans="1:34">
      <c r="A432" s="46" t="s">
        <v>274</v>
      </c>
      <c r="B432" s="46" t="s">
        <v>275</v>
      </c>
      <c r="C432" s="47">
        <v>1</v>
      </c>
      <c r="D432" s="41" t="s">
        <v>13</v>
      </c>
      <c r="E432" s="46" t="s">
        <v>196</v>
      </c>
      <c r="F432" s="46"/>
      <c r="G432" s="46" t="s">
        <v>29</v>
      </c>
      <c r="H432" s="46" t="s">
        <v>18</v>
      </c>
      <c r="I432" s="46"/>
    </row>
    <row r="433" spans="1:34">
      <c r="A433" s="46" t="s">
        <v>276</v>
      </c>
      <c r="B433" s="46" t="s">
        <v>276</v>
      </c>
      <c r="C433" s="54">
        <v>0.1</v>
      </c>
      <c r="D433" s="41" t="s">
        <v>232</v>
      </c>
      <c r="E433" s="46" t="s">
        <v>205</v>
      </c>
      <c r="F433" s="46"/>
      <c r="G433" s="46" t="s">
        <v>27</v>
      </c>
      <c r="H433" s="46" t="s">
        <v>12</v>
      </c>
      <c r="I433" s="46" t="s">
        <v>280</v>
      </c>
    </row>
    <row r="434" spans="1:34">
      <c r="A434" s="46" t="s">
        <v>45</v>
      </c>
      <c r="B434" s="46" t="s">
        <v>43</v>
      </c>
      <c r="C434" s="54">
        <v>3.7599999999999999E-3</v>
      </c>
      <c r="D434" s="41" t="s">
        <v>19</v>
      </c>
      <c r="E434" s="46" t="s">
        <v>205</v>
      </c>
      <c r="F434" s="46"/>
      <c r="G434" s="46" t="s">
        <v>29</v>
      </c>
      <c r="H434" s="46" t="s">
        <v>12</v>
      </c>
      <c r="I434" s="46" t="s">
        <v>279</v>
      </c>
    </row>
    <row r="435" spans="1:34">
      <c r="A435" t="s">
        <v>278</v>
      </c>
      <c r="B435" t="s">
        <v>277</v>
      </c>
      <c r="C435" s="54">
        <v>8.4999999999999995E-4</v>
      </c>
      <c r="D435" s="41" t="s">
        <v>13</v>
      </c>
      <c r="E435" s="46" t="s">
        <v>205</v>
      </c>
      <c r="F435" s="46"/>
      <c r="G435" s="46" t="s">
        <v>49</v>
      </c>
      <c r="H435" s="46" t="s">
        <v>12</v>
      </c>
      <c r="I435" s="46" t="s">
        <v>279</v>
      </c>
    </row>
    <row r="436" spans="1:34" s="69" customFormat="1">
      <c r="A436" s="67"/>
      <c r="B436" s="67"/>
      <c r="C436" s="68"/>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row>
    <row r="437" spans="1:34">
      <c r="A437" s="39" t="s">
        <v>1</v>
      </c>
      <c r="B437" s="39" t="s">
        <v>451</v>
      </c>
      <c r="C437" s="40"/>
      <c r="D437" s="41"/>
      <c r="E437" s="41"/>
      <c r="F437" s="41"/>
      <c r="G437" s="41"/>
      <c r="H437" s="41"/>
      <c r="I437" s="41"/>
      <c r="J437" s="41"/>
      <c r="K437" s="41"/>
      <c r="L437" s="41"/>
      <c r="M437" s="41"/>
      <c r="N437" s="41"/>
      <c r="O437" s="41"/>
      <c r="P437" s="41"/>
      <c r="Q437" s="41"/>
      <c r="R437" s="41"/>
      <c r="S437" s="41"/>
      <c r="T437" s="41"/>
      <c r="U437" s="41"/>
      <c r="V437" s="41"/>
      <c r="W437" s="41"/>
      <c r="X437" s="41"/>
      <c r="Y437" s="41"/>
      <c r="Z437" s="41"/>
      <c r="AA437" s="41"/>
      <c r="AB437" s="41"/>
      <c r="AC437" s="41"/>
      <c r="AD437" s="41"/>
      <c r="AE437" s="41"/>
      <c r="AF437" s="41"/>
      <c r="AG437" s="41"/>
      <c r="AH437" s="41"/>
    </row>
    <row r="438" spans="1:34">
      <c r="A438" s="39" t="s">
        <v>11</v>
      </c>
      <c r="B438" s="41" t="s">
        <v>467</v>
      </c>
      <c r="C438" s="40"/>
      <c r="D438" s="41"/>
      <c r="E438" s="41"/>
      <c r="F438" s="41"/>
      <c r="G438" s="41"/>
      <c r="H438" s="41"/>
      <c r="I438" s="41"/>
      <c r="J438" s="41"/>
      <c r="K438" s="41"/>
      <c r="L438" s="41"/>
      <c r="M438" s="41"/>
      <c r="N438" s="41"/>
      <c r="O438" s="41"/>
      <c r="P438" s="41"/>
      <c r="Q438" s="41"/>
      <c r="R438" s="41"/>
      <c r="S438" s="41"/>
      <c r="T438" s="41"/>
      <c r="U438" s="41"/>
      <c r="V438" s="41"/>
      <c r="W438" s="41"/>
      <c r="X438" s="41"/>
      <c r="Y438" s="41"/>
      <c r="Z438" s="41"/>
      <c r="AA438" s="41"/>
      <c r="AB438" s="41"/>
      <c r="AC438" s="41"/>
      <c r="AD438" s="41"/>
      <c r="AE438" s="41"/>
      <c r="AF438" s="41"/>
      <c r="AG438" s="41"/>
      <c r="AH438" s="41"/>
    </row>
    <row r="439" spans="1:34">
      <c r="A439" s="39" t="s">
        <v>2</v>
      </c>
      <c r="B439" s="41" t="s">
        <v>29</v>
      </c>
      <c r="C439" s="40"/>
      <c r="D439" s="41"/>
      <c r="E439" s="41"/>
      <c r="F439" s="41"/>
      <c r="G439" s="41"/>
      <c r="H439" s="41"/>
      <c r="I439" s="41"/>
      <c r="J439" s="41"/>
      <c r="K439" s="41"/>
      <c r="L439" s="41"/>
      <c r="M439" s="41"/>
      <c r="N439" s="41"/>
      <c r="O439" s="41"/>
      <c r="P439" s="41"/>
      <c r="Q439" s="41"/>
      <c r="R439" s="41"/>
      <c r="S439" s="41"/>
      <c r="T439" s="41"/>
      <c r="U439" s="41"/>
      <c r="V439" s="41"/>
      <c r="W439" s="41"/>
      <c r="X439" s="41"/>
      <c r="Y439" s="41"/>
      <c r="Z439" s="41"/>
      <c r="AA439" s="41"/>
      <c r="AB439" s="41"/>
      <c r="AC439" s="41"/>
      <c r="AD439" s="41"/>
      <c r="AE439" s="41"/>
      <c r="AF439" s="41"/>
      <c r="AG439" s="41"/>
      <c r="AH439" s="41"/>
    </row>
    <row r="440" spans="1:34">
      <c r="A440" s="42" t="s">
        <v>4</v>
      </c>
      <c r="B440" s="41" t="s">
        <v>450</v>
      </c>
      <c r="C440" s="40"/>
      <c r="D440" s="41"/>
      <c r="E440" s="41"/>
      <c r="F440" s="41"/>
      <c r="G440" s="41"/>
      <c r="H440" s="41"/>
      <c r="I440" s="41"/>
      <c r="J440" s="41"/>
      <c r="K440" s="41"/>
      <c r="L440" s="41"/>
      <c r="M440" s="41"/>
      <c r="N440" s="41"/>
      <c r="O440" s="41"/>
      <c r="P440" s="41"/>
      <c r="Q440" s="41"/>
      <c r="R440" s="41"/>
      <c r="S440" s="41"/>
      <c r="T440" s="41"/>
      <c r="U440" s="41"/>
      <c r="V440" s="41"/>
      <c r="W440" s="41"/>
      <c r="X440" s="41"/>
      <c r="Y440" s="41"/>
      <c r="Z440" s="41"/>
      <c r="AA440" s="41"/>
      <c r="AB440" s="41"/>
      <c r="AC440" s="41"/>
      <c r="AD440" s="41"/>
      <c r="AE440" s="41"/>
      <c r="AF440" s="41"/>
      <c r="AG440" s="41"/>
      <c r="AH440" s="41"/>
    </row>
    <row r="441" spans="1:34">
      <c r="A441" s="39" t="s">
        <v>3</v>
      </c>
      <c r="B441" s="43">
        <v>1</v>
      </c>
      <c r="C441" s="40"/>
      <c r="D441" s="44"/>
      <c r="E441" s="41"/>
      <c r="F441" s="41"/>
      <c r="G441" s="41"/>
      <c r="H441" s="41"/>
      <c r="I441" s="41"/>
      <c r="J441" s="41"/>
      <c r="K441" s="41"/>
      <c r="L441" s="41"/>
      <c r="M441" s="41"/>
      <c r="N441" s="41"/>
      <c r="O441" s="41"/>
      <c r="P441" s="41"/>
      <c r="Q441" s="41"/>
      <c r="R441" s="41"/>
      <c r="S441" s="41"/>
      <c r="T441" s="41"/>
      <c r="U441" s="41"/>
      <c r="V441" s="41"/>
      <c r="W441" s="41"/>
      <c r="X441" s="41"/>
      <c r="Y441" s="41"/>
      <c r="Z441" s="41"/>
      <c r="AA441" s="41"/>
      <c r="AB441" s="41"/>
      <c r="AC441" s="41"/>
      <c r="AD441" s="41"/>
      <c r="AE441" s="41"/>
      <c r="AF441" s="41"/>
      <c r="AG441" s="41"/>
      <c r="AH441" s="41"/>
    </row>
    <row r="442" spans="1:34">
      <c r="A442" s="39" t="s">
        <v>6</v>
      </c>
      <c r="B442" s="41" t="s">
        <v>13</v>
      </c>
      <c r="C442" s="40"/>
      <c r="D442" s="44"/>
      <c r="E442" s="41"/>
      <c r="F442" s="41"/>
      <c r="G442" s="41"/>
      <c r="H442" s="41"/>
      <c r="I442" s="41"/>
      <c r="J442" s="41"/>
      <c r="K442" s="41"/>
      <c r="L442" s="41"/>
      <c r="M442" s="41"/>
      <c r="N442" s="41"/>
      <c r="O442" s="41"/>
      <c r="P442" s="41"/>
      <c r="Q442" s="41"/>
      <c r="R442" s="41"/>
      <c r="S442" s="41"/>
      <c r="T442" s="41"/>
      <c r="U442" s="41"/>
      <c r="V442" s="41"/>
      <c r="W442" s="41"/>
      <c r="X442" s="41"/>
      <c r="Y442" s="41"/>
      <c r="Z442" s="41"/>
      <c r="AA442" s="41"/>
      <c r="AB442" s="41"/>
      <c r="AC442" s="41"/>
      <c r="AD442" s="41"/>
      <c r="AE442" s="41"/>
      <c r="AF442" s="41"/>
      <c r="AG442" s="41"/>
      <c r="AH442" s="41"/>
    </row>
    <row r="443" spans="1:34">
      <c r="A443" s="39" t="s">
        <v>76</v>
      </c>
      <c r="B443" s="41" t="s">
        <v>468</v>
      </c>
      <c r="C443" s="40"/>
      <c r="D443" s="44"/>
      <c r="E443" s="41"/>
      <c r="F443" s="41"/>
      <c r="G443" s="41"/>
      <c r="H443" s="41"/>
      <c r="I443" s="41"/>
      <c r="J443" s="41"/>
      <c r="K443" s="41"/>
      <c r="L443" s="41"/>
      <c r="M443" s="41"/>
      <c r="N443" s="41"/>
      <c r="O443" s="41"/>
      <c r="P443" s="41"/>
      <c r="Q443" s="41"/>
      <c r="R443" s="41"/>
      <c r="S443" s="41"/>
      <c r="T443" s="41"/>
      <c r="U443" s="41"/>
      <c r="V443" s="41"/>
      <c r="W443" s="41"/>
      <c r="X443" s="41"/>
      <c r="Y443" s="41"/>
      <c r="Z443" s="41"/>
      <c r="AA443" s="41"/>
      <c r="AB443" s="41"/>
      <c r="AC443" s="41"/>
      <c r="AD443" s="41"/>
      <c r="AE443" s="41"/>
      <c r="AF443" s="41"/>
      <c r="AG443" s="41"/>
      <c r="AH443" s="41"/>
    </row>
    <row r="444" spans="1:34">
      <c r="A444" s="39" t="s">
        <v>7</v>
      </c>
      <c r="B444" s="41"/>
      <c r="C444" s="40"/>
      <c r="D444" s="41"/>
      <c r="E444" s="41"/>
      <c r="F444" s="41"/>
      <c r="G444" s="41"/>
      <c r="H444" s="41"/>
      <c r="I444" s="41"/>
      <c r="J444" s="41"/>
      <c r="K444" s="41"/>
      <c r="L444" s="41"/>
      <c r="M444" s="41"/>
      <c r="N444" s="41"/>
      <c r="O444" s="41"/>
      <c r="P444" s="41"/>
      <c r="Q444" s="41"/>
      <c r="R444" s="41"/>
      <c r="S444" s="41"/>
      <c r="T444" s="41"/>
      <c r="U444" s="41"/>
      <c r="V444" s="41"/>
      <c r="W444" s="41"/>
      <c r="X444" s="41"/>
      <c r="Y444" s="41"/>
      <c r="Z444" s="41"/>
      <c r="AA444" s="41"/>
      <c r="AB444" s="41"/>
      <c r="AC444" s="41"/>
      <c r="AD444" s="41"/>
      <c r="AE444" s="41"/>
      <c r="AF444" s="41"/>
      <c r="AG444" s="41"/>
      <c r="AH444" s="41"/>
    </row>
    <row r="445" spans="1:34">
      <c r="A445" s="39" t="s">
        <v>8</v>
      </c>
      <c r="B445" s="39" t="s">
        <v>4</v>
      </c>
      <c r="C445" s="45" t="s">
        <v>9</v>
      </c>
      <c r="D445" s="39" t="s">
        <v>6</v>
      </c>
      <c r="E445" s="39" t="s">
        <v>106</v>
      </c>
      <c r="F445" s="39" t="s">
        <v>10</v>
      </c>
      <c r="G445" s="39" t="s">
        <v>2</v>
      </c>
      <c r="H445" s="39" t="s">
        <v>5</v>
      </c>
      <c r="I445" s="39" t="s">
        <v>11</v>
      </c>
      <c r="J445" s="41"/>
      <c r="K445" s="41"/>
      <c r="L445" s="41"/>
      <c r="M445" s="41"/>
      <c r="N445" s="41"/>
      <c r="O445" s="41"/>
      <c r="P445" s="41"/>
      <c r="Q445" s="41"/>
      <c r="R445" s="41"/>
      <c r="S445" s="41"/>
      <c r="T445" s="41"/>
      <c r="U445" s="41"/>
      <c r="V445" s="41"/>
      <c r="W445" s="41"/>
      <c r="X445" s="41"/>
      <c r="Y445" s="41"/>
      <c r="Z445" s="41"/>
      <c r="AA445" s="41"/>
      <c r="AB445" s="41"/>
      <c r="AC445" s="41"/>
      <c r="AD445" s="41"/>
      <c r="AE445" s="41"/>
      <c r="AF445" s="41"/>
      <c r="AG445" s="41"/>
      <c r="AH445" s="41"/>
    </row>
    <row r="446" spans="1:34">
      <c r="A446" s="46" t="s">
        <v>451</v>
      </c>
      <c r="B446" s="46" t="s">
        <v>450</v>
      </c>
      <c r="C446" s="47">
        <v>1</v>
      </c>
      <c r="D446" s="41" t="s">
        <v>13</v>
      </c>
      <c r="E446" s="46" t="s">
        <v>196</v>
      </c>
      <c r="F446" s="46"/>
      <c r="G446" s="46" t="s">
        <v>29</v>
      </c>
      <c r="H446" s="46" t="s">
        <v>18</v>
      </c>
      <c r="I446" s="46"/>
      <c r="J446" s="46"/>
      <c r="K446" s="46"/>
      <c r="L446" s="41"/>
      <c r="M446" s="41"/>
      <c r="N446" s="41"/>
      <c r="O446" s="41"/>
      <c r="P446" s="41"/>
      <c r="Q446" s="41"/>
      <c r="R446" s="41"/>
      <c r="S446" s="41"/>
      <c r="T446" s="41"/>
      <c r="U446" s="41"/>
      <c r="V446" s="41"/>
      <c r="W446" s="41"/>
      <c r="X446" s="41"/>
      <c r="Y446" s="41"/>
      <c r="Z446" s="41"/>
      <c r="AA446" s="41"/>
      <c r="AB446" s="41"/>
      <c r="AC446" s="41"/>
      <c r="AD446" s="41"/>
      <c r="AE446" s="41"/>
      <c r="AF446" s="41"/>
      <c r="AG446" s="41"/>
      <c r="AH446" s="41"/>
    </row>
    <row r="447" spans="1:34">
      <c r="A447" s="46" t="s">
        <v>230</v>
      </c>
      <c r="B447" s="46" t="s">
        <v>231</v>
      </c>
      <c r="C447" s="47">
        <v>0.01</v>
      </c>
      <c r="D447" s="41" t="s">
        <v>232</v>
      </c>
      <c r="E447" s="46" t="s">
        <v>205</v>
      </c>
      <c r="F447" s="46"/>
      <c r="G447" s="46" t="s">
        <v>49</v>
      </c>
      <c r="H447" s="46" t="s">
        <v>12</v>
      </c>
      <c r="I447" s="46" t="s">
        <v>297</v>
      </c>
      <c r="J447" s="46"/>
      <c r="K447" s="46"/>
      <c r="L447" s="41"/>
      <c r="M447" s="41"/>
      <c r="N447" s="41"/>
      <c r="O447" s="41"/>
      <c r="P447" s="41"/>
      <c r="Q447" s="41"/>
      <c r="R447" s="41"/>
      <c r="S447" s="41"/>
      <c r="T447" s="41"/>
      <c r="U447" s="41"/>
      <c r="V447" s="41"/>
      <c r="W447" s="41"/>
      <c r="X447" s="41"/>
      <c r="Y447" s="41"/>
      <c r="Z447" s="41"/>
      <c r="AA447" s="41"/>
      <c r="AB447" s="41"/>
      <c r="AC447" s="41"/>
      <c r="AD447" s="41"/>
      <c r="AE447" s="41"/>
      <c r="AF447" s="41"/>
      <c r="AG447" s="41"/>
      <c r="AH447" s="41"/>
    </row>
    <row r="448" spans="1:34">
      <c r="A448" s="46" t="s">
        <v>453</v>
      </c>
      <c r="B448" s="46" t="s">
        <v>452</v>
      </c>
      <c r="C448" s="47">
        <v>0.14285714285714285</v>
      </c>
      <c r="D448" s="41" t="s">
        <v>13</v>
      </c>
      <c r="E448" s="46" t="s">
        <v>205</v>
      </c>
      <c r="F448" s="46"/>
      <c r="G448" s="46" t="s">
        <v>208</v>
      </c>
      <c r="H448" s="46" t="s">
        <v>12</v>
      </c>
      <c r="I448" s="46"/>
      <c r="J448" s="46"/>
      <c r="K448" s="46"/>
      <c r="L448" s="41"/>
      <c r="M448" s="41"/>
      <c r="N448" s="41"/>
      <c r="O448" s="41"/>
      <c r="P448" s="41"/>
      <c r="Q448" s="41"/>
      <c r="R448" s="41"/>
      <c r="S448" s="41"/>
      <c r="T448" s="41"/>
      <c r="U448" s="41"/>
      <c r="V448" s="41"/>
      <c r="W448" s="41"/>
      <c r="X448" s="41"/>
      <c r="Y448" s="41"/>
      <c r="Z448" s="41"/>
      <c r="AA448" s="41"/>
      <c r="AB448" s="41"/>
      <c r="AC448" s="41"/>
      <c r="AD448" s="41"/>
      <c r="AE448" s="41"/>
      <c r="AF448" s="41"/>
      <c r="AG448" s="41"/>
      <c r="AH448" s="41"/>
    </row>
    <row r="449" spans="1:34">
      <c r="A449" s="46" t="s">
        <v>454</v>
      </c>
      <c r="B449" s="46" t="s">
        <v>455</v>
      </c>
      <c r="C449" s="47">
        <v>0.14285714285714285</v>
      </c>
      <c r="D449" s="41" t="s">
        <v>13</v>
      </c>
      <c r="E449" s="46" t="s">
        <v>205</v>
      </c>
      <c r="F449" s="46"/>
      <c r="G449" s="46" t="s">
        <v>29</v>
      </c>
      <c r="H449" s="46" t="s">
        <v>12</v>
      </c>
      <c r="I449" s="46"/>
      <c r="J449" s="46"/>
      <c r="K449" s="46"/>
      <c r="L449" s="41"/>
      <c r="M449" s="41"/>
      <c r="N449" s="41"/>
      <c r="O449" s="41"/>
      <c r="P449" s="41"/>
      <c r="Q449" s="41"/>
      <c r="R449" s="41"/>
      <c r="S449" s="41"/>
      <c r="T449" s="41"/>
      <c r="U449" s="41"/>
      <c r="V449" s="41"/>
      <c r="W449" s="41"/>
      <c r="X449" s="41"/>
      <c r="Y449" s="41"/>
      <c r="Z449" s="41"/>
      <c r="AA449" s="41"/>
      <c r="AB449" s="41"/>
      <c r="AC449" s="41"/>
      <c r="AD449" s="41"/>
      <c r="AE449" s="41"/>
      <c r="AF449" s="41"/>
      <c r="AG449" s="41"/>
      <c r="AH449" s="41"/>
    </row>
    <row r="450" spans="1:34">
      <c r="A450" s="46" t="s">
        <v>456</v>
      </c>
      <c r="B450" s="46" t="s">
        <v>457</v>
      </c>
      <c r="C450" s="47">
        <v>0.14285714285714285</v>
      </c>
      <c r="D450" s="41" t="s">
        <v>13</v>
      </c>
      <c r="E450" s="46" t="s">
        <v>205</v>
      </c>
      <c r="F450" s="46"/>
      <c r="G450" s="46" t="s">
        <v>49</v>
      </c>
      <c r="H450" s="46" t="s">
        <v>12</v>
      </c>
      <c r="I450" s="46"/>
      <c r="J450" s="46"/>
      <c r="K450" s="46"/>
      <c r="L450" s="41"/>
      <c r="M450" s="41"/>
      <c r="N450" s="41"/>
      <c r="O450" s="41"/>
      <c r="P450" s="41"/>
      <c r="Q450" s="41"/>
      <c r="R450" s="41"/>
      <c r="S450" s="41"/>
      <c r="T450" s="41"/>
      <c r="U450" s="41"/>
      <c r="V450" s="41"/>
      <c r="W450" s="41"/>
      <c r="X450" s="41"/>
      <c r="Y450" s="41"/>
      <c r="Z450" s="41"/>
      <c r="AA450" s="41"/>
      <c r="AB450" s="41"/>
      <c r="AC450" s="41"/>
      <c r="AD450" s="41"/>
      <c r="AE450" s="41"/>
      <c r="AF450" s="41"/>
      <c r="AG450" s="41"/>
      <c r="AH450" s="41"/>
    </row>
    <row r="451" spans="1:34">
      <c r="A451" s="46" t="s">
        <v>460</v>
      </c>
      <c r="B451" s="46" t="s">
        <v>461</v>
      </c>
      <c r="C451" s="47">
        <v>0.14285714285714285</v>
      </c>
      <c r="D451" s="41" t="s">
        <v>13</v>
      </c>
      <c r="E451" s="46" t="s">
        <v>205</v>
      </c>
      <c r="F451" s="46"/>
      <c r="G451" s="46" t="s">
        <v>49</v>
      </c>
      <c r="H451" s="46" t="s">
        <v>12</v>
      </c>
      <c r="I451" s="46"/>
      <c r="J451" s="46"/>
      <c r="K451" s="46"/>
      <c r="L451" s="41"/>
      <c r="M451" s="41"/>
      <c r="N451" s="41"/>
      <c r="O451" s="41"/>
      <c r="P451" s="41"/>
      <c r="Q451" s="41"/>
      <c r="R451" s="41"/>
      <c r="S451" s="41"/>
      <c r="T451" s="41"/>
      <c r="U451" s="41"/>
      <c r="V451" s="41"/>
      <c r="W451" s="41"/>
      <c r="X451" s="41"/>
      <c r="Y451" s="41"/>
      <c r="Z451" s="41"/>
      <c r="AA451" s="41"/>
      <c r="AB451" s="41"/>
      <c r="AC451" s="41"/>
      <c r="AD451" s="41"/>
      <c r="AE451" s="41"/>
      <c r="AF451" s="41"/>
      <c r="AG451" s="41"/>
      <c r="AH451" s="41"/>
    </row>
    <row r="452" spans="1:34">
      <c r="A452" s="46" t="s">
        <v>462</v>
      </c>
      <c r="B452" s="46" t="s">
        <v>463</v>
      </c>
      <c r="C452" s="47">
        <v>0.14285714285714285</v>
      </c>
      <c r="D452" s="41" t="s">
        <v>13</v>
      </c>
      <c r="E452" s="46" t="s">
        <v>205</v>
      </c>
      <c r="F452" s="46"/>
      <c r="G452" s="46" t="s">
        <v>27</v>
      </c>
      <c r="H452" s="46" t="s">
        <v>12</v>
      </c>
      <c r="I452" s="46"/>
      <c r="J452" s="46"/>
      <c r="K452" s="46"/>
      <c r="L452" s="41"/>
      <c r="M452" s="41"/>
      <c r="N452" s="41"/>
      <c r="O452" s="41"/>
      <c r="P452" s="41"/>
      <c r="Q452" s="41"/>
      <c r="R452" s="41"/>
      <c r="S452" s="41"/>
      <c r="T452" s="41"/>
      <c r="U452" s="41"/>
      <c r="V452" s="41"/>
      <c r="W452" s="41"/>
      <c r="X452" s="41"/>
      <c r="Y452" s="41"/>
      <c r="Z452" s="41"/>
      <c r="AA452" s="41"/>
      <c r="AB452" s="41"/>
      <c r="AC452" s="41"/>
      <c r="AD452" s="41"/>
      <c r="AE452" s="41"/>
      <c r="AF452" s="41"/>
      <c r="AG452" s="41"/>
      <c r="AH452" s="41"/>
    </row>
    <row r="453" spans="1:34">
      <c r="A453" s="46" t="s">
        <v>464</v>
      </c>
      <c r="B453" s="46" t="s">
        <v>465</v>
      </c>
      <c r="C453" s="47">
        <v>0.14285714285714285</v>
      </c>
      <c r="D453" s="41" t="s">
        <v>13</v>
      </c>
      <c r="E453" s="46" t="s">
        <v>205</v>
      </c>
      <c r="F453" s="46"/>
      <c r="G453" s="46" t="s">
        <v>140</v>
      </c>
      <c r="H453" s="46" t="s">
        <v>12</v>
      </c>
      <c r="I453" s="46" t="s">
        <v>466</v>
      </c>
      <c r="J453" s="46"/>
      <c r="K453" s="46"/>
      <c r="L453" s="41"/>
      <c r="M453" s="41"/>
      <c r="N453" s="41"/>
      <c r="O453" s="41"/>
      <c r="P453" s="41"/>
      <c r="Q453" s="41"/>
      <c r="R453" s="41"/>
      <c r="S453" s="41"/>
      <c r="T453" s="41"/>
      <c r="U453" s="41"/>
      <c r="V453" s="41"/>
      <c r="W453" s="41"/>
      <c r="X453" s="41"/>
      <c r="Y453" s="41"/>
      <c r="Z453" s="41"/>
      <c r="AA453" s="41"/>
      <c r="AB453" s="41"/>
      <c r="AC453" s="41"/>
      <c r="AD453" s="41"/>
      <c r="AE453" s="41"/>
      <c r="AF453" s="41"/>
      <c r="AG453" s="41"/>
      <c r="AH453" s="41"/>
    </row>
    <row r="454" spans="1:34">
      <c r="A454" s="46" t="s">
        <v>381</v>
      </c>
      <c r="B454" s="46" t="s">
        <v>298</v>
      </c>
      <c r="C454" s="47">
        <v>0.14285714285714285</v>
      </c>
      <c r="D454" s="41" t="s">
        <v>13</v>
      </c>
      <c r="E454" s="46" t="s">
        <v>205</v>
      </c>
      <c r="F454" s="46"/>
      <c r="G454" s="46" t="s">
        <v>49</v>
      </c>
      <c r="H454" s="46" t="s">
        <v>12</v>
      </c>
      <c r="I454" s="46"/>
      <c r="J454" s="46"/>
      <c r="K454" s="46"/>
      <c r="L454" s="41"/>
      <c r="M454" s="41"/>
      <c r="N454" s="41"/>
      <c r="O454" s="41"/>
      <c r="P454" s="41"/>
      <c r="Q454" s="41"/>
      <c r="R454" s="41"/>
      <c r="S454" s="41"/>
      <c r="T454" s="41"/>
      <c r="U454" s="41"/>
      <c r="V454" s="41"/>
      <c r="W454" s="41"/>
      <c r="X454" s="41"/>
      <c r="Y454" s="41"/>
      <c r="Z454" s="41"/>
      <c r="AA454" s="41"/>
      <c r="AB454" s="41"/>
      <c r="AC454" s="41"/>
      <c r="AD454" s="41"/>
      <c r="AE454" s="41"/>
      <c r="AF454" s="41"/>
      <c r="AG454" s="41"/>
      <c r="AH454" s="41"/>
    </row>
    <row r="455" spans="1:34" s="69" customFormat="1">
      <c r="A455" s="67"/>
      <c r="B455" s="67"/>
      <c r="C455" s="68"/>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row>
    <row r="456" spans="1:34">
      <c r="A456" s="39" t="s">
        <v>1</v>
      </c>
      <c r="B456" s="39" t="s">
        <v>456</v>
      </c>
      <c r="C456" s="40"/>
      <c r="D456" s="41"/>
      <c r="E456" s="41"/>
      <c r="F456" s="41"/>
      <c r="G456" s="41"/>
      <c r="H456" s="41"/>
      <c r="I456" s="41"/>
      <c r="J456" s="41"/>
      <c r="K456" s="41"/>
      <c r="L456" s="41"/>
      <c r="M456" s="41"/>
      <c r="N456" s="41"/>
      <c r="O456" s="41"/>
      <c r="P456" s="41"/>
      <c r="Q456" s="41"/>
      <c r="R456" s="41"/>
      <c r="S456" s="41"/>
      <c r="T456" s="41"/>
      <c r="U456" s="41"/>
      <c r="V456" s="41"/>
      <c r="W456" s="41"/>
      <c r="X456" s="41"/>
      <c r="Y456" s="41"/>
      <c r="Z456" s="41"/>
      <c r="AA456" s="41"/>
      <c r="AB456" s="41"/>
      <c r="AC456" s="41"/>
      <c r="AD456" s="41"/>
      <c r="AE456" s="41"/>
      <c r="AF456" s="41"/>
      <c r="AG456" s="41"/>
      <c r="AH456" s="41"/>
    </row>
    <row r="457" spans="1:34">
      <c r="A457" s="39" t="s">
        <v>11</v>
      </c>
      <c r="B457" s="41" t="s">
        <v>459</v>
      </c>
      <c r="C457" s="40"/>
      <c r="D457" s="41"/>
      <c r="E457" s="41"/>
      <c r="F457" s="41"/>
      <c r="G457" s="41"/>
      <c r="H457" s="41"/>
      <c r="I457" s="41"/>
      <c r="J457" s="41"/>
      <c r="K457" s="41"/>
      <c r="L457" s="41"/>
      <c r="M457" s="41"/>
      <c r="N457" s="41"/>
      <c r="O457" s="41"/>
      <c r="P457" s="41"/>
      <c r="Q457" s="41"/>
      <c r="R457" s="41"/>
      <c r="S457" s="41"/>
      <c r="T457" s="41"/>
      <c r="U457" s="41"/>
      <c r="V457" s="41"/>
      <c r="W457" s="41"/>
      <c r="X457" s="41"/>
      <c r="Y457" s="41"/>
      <c r="Z457" s="41"/>
      <c r="AA457" s="41"/>
      <c r="AB457" s="41"/>
      <c r="AC457" s="41"/>
      <c r="AD457" s="41"/>
      <c r="AE457" s="41"/>
      <c r="AF457" s="41"/>
      <c r="AG457" s="41"/>
      <c r="AH457" s="41"/>
    </row>
    <row r="458" spans="1:34">
      <c r="A458" s="39" t="s">
        <v>2</v>
      </c>
      <c r="B458" s="41" t="s">
        <v>49</v>
      </c>
      <c r="C458" s="40"/>
      <c r="D458" s="41"/>
      <c r="E458" s="41"/>
      <c r="F458" s="41"/>
      <c r="G458" s="41"/>
      <c r="H458" s="41"/>
      <c r="I458" s="41"/>
      <c r="J458" s="41"/>
      <c r="K458" s="41"/>
      <c r="L458" s="41"/>
      <c r="M458" s="41"/>
      <c r="N458" s="41"/>
      <c r="O458" s="41"/>
      <c r="P458" s="41"/>
      <c r="Q458" s="41"/>
      <c r="R458" s="41"/>
      <c r="S458" s="41"/>
      <c r="T458" s="41"/>
      <c r="U458" s="41"/>
      <c r="V458" s="41"/>
      <c r="W458" s="41"/>
      <c r="X458" s="41"/>
      <c r="Y458" s="41"/>
      <c r="Z458" s="41"/>
      <c r="AA458" s="41"/>
      <c r="AB458" s="41"/>
      <c r="AC458" s="41"/>
      <c r="AD458" s="41"/>
      <c r="AE458" s="41"/>
      <c r="AF458" s="41"/>
      <c r="AG458" s="41"/>
      <c r="AH458" s="41"/>
    </row>
    <row r="459" spans="1:34">
      <c r="A459" s="42" t="s">
        <v>4</v>
      </c>
      <c r="B459" s="41" t="s">
        <v>450</v>
      </c>
      <c r="C459" s="40"/>
      <c r="D459" s="41"/>
      <c r="E459" s="41"/>
      <c r="F459" s="41"/>
      <c r="G459" s="41"/>
      <c r="H459" s="41"/>
      <c r="I459" s="41"/>
      <c r="J459" s="41"/>
      <c r="K459" s="41"/>
      <c r="L459" s="41"/>
      <c r="M459" s="41"/>
      <c r="N459" s="41"/>
      <c r="O459" s="41"/>
      <c r="P459" s="41"/>
      <c r="Q459" s="41"/>
      <c r="R459" s="41"/>
      <c r="S459" s="41"/>
      <c r="T459" s="41"/>
      <c r="U459" s="41"/>
      <c r="V459" s="41"/>
      <c r="W459" s="41"/>
      <c r="X459" s="41"/>
      <c r="Y459" s="41"/>
      <c r="Z459" s="41"/>
      <c r="AA459" s="41"/>
      <c r="AB459" s="41"/>
      <c r="AC459" s="41"/>
      <c r="AD459" s="41"/>
      <c r="AE459" s="41"/>
      <c r="AF459" s="41"/>
      <c r="AG459" s="41"/>
      <c r="AH459" s="41"/>
    </row>
    <row r="460" spans="1:34">
      <c r="A460" s="39" t="s">
        <v>3</v>
      </c>
      <c r="B460" s="43">
        <v>1</v>
      </c>
      <c r="C460" s="40"/>
      <c r="D460" s="44"/>
      <c r="E460" s="41"/>
      <c r="F460" s="41"/>
      <c r="G460" s="41"/>
      <c r="H460" s="41"/>
      <c r="I460" s="41"/>
      <c r="J460" s="41"/>
      <c r="K460" s="41"/>
      <c r="L460" s="41"/>
      <c r="M460" s="41"/>
      <c r="N460" s="41"/>
      <c r="O460" s="41"/>
      <c r="P460" s="41"/>
      <c r="Q460" s="41"/>
      <c r="R460" s="41"/>
      <c r="S460" s="41"/>
      <c r="T460" s="41"/>
      <c r="U460" s="41"/>
      <c r="V460" s="41"/>
      <c r="W460" s="41"/>
      <c r="X460" s="41"/>
      <c r="Y460" s="41"/>
      <c r="Z460" s="41"/>
      <c r="AA460" s="41"/>
      <c r="AB460" s="41"/>
      <c r="AC460" s="41"/>
      <c r="AD460" s="41"/>
      <c r="AE460" s="41"/>
      <c r="AF460" s="41"/>
      <c r="AG460" s="41"/>
      <c r="AH460" s="41"/>
    </row>
    <row r="461" spans="1:34">
      <c r="A461" s="39" t="s">
        <v>6</v>
      </c>
      <c r="B461" s="41" t="s">
        <v>13</v>
      </c>
      <c r="C461" s="40"/>
      <c r="D461" s="44"/>
      <c r="E461" s="41"/>
      <c r="F461" s="41"/>
      <c r="G461" s="41"/>
      <c r="H461" s="41"/>
      <c r="I461" s="41"/>
      <c r="J461" s="41"/>
      <c r="K461" s="41"/>
      <c r="L461" s="41"/>
      <c r="M461" s="41"/>
      <c r="N461" s="41"/>
      <c r="O461" s="41"/>
      <c r="P461" s="41"/>
      <c r="Q461" s="41"/>
      <c r="R461" s="41"/>
      <c r="S461" s="41"/>
      <c r="T461" s="41"/>
      <c r="U461" s="41"/>
      <c r="V461" s="41"/>
      <c r="W461" s="41"/>
      <c r="X461" s="41"/>
      <c r="Y461" s="41"/>
      <c r="Z461" s="41"/>
      <c r="AA461" s="41"/>
      <c r="AB461" s="41"/>
      <c r="AC461" s="41"/>
      <c r="AD461" s="41"/>
      <c r="AE461" s="41"/>
      <c r="AF461" s="41"/>
      <c r="AG461" s="41"/>
      <c r="AH461" s="41"/>
    </row>
    <row r="462" spans="1:34">
      <c r="A462" s="39" t="s">
        <v>76</v>
      </c>
      <c r="B462" t="s">
        <v>458</v>
      </c>
      <c r="C462" s="40"/>
      <c r="D462" s="44"/>
      <c r="E462" s="41"/>
      <c r="F462" s="41"/>
      <c r="G462" s="41"/>
      <c r="H462" s="41"/>
      <c r="I462" s="41"/>
      <c r="J462" s="41"/>
      <c r="K462" s="41"/>
      <c r="L462" s="41"/>
      <c r="M462" s="41"/>
      <c r="N462" s="41"/>
      <c r="O462" s="41"/>
      <c r="P462" s="41"/>
      <c r="Q462" s="41"/>
      <c r="R462" s="41"/>
      <c r="S462" s="41"/>
      <c r="T462" s="41"/>
      <c r="U462" s="41"/>
      <c r="V462" s="41"/>
      <c r="W462" s="41"/>
      <c r="X462" s="41"/>
      <c r="Y462" s="41"/>
      <c r="Z462" s="41"/>
      <c r="AA462" s="41"/>
      <c r="AB462" s="41"/>
      <c r="AC462" s="41"/>
      <c r="AD462" s="41"/>
      <c r="AE462" s="41"/>
      <c r="AF462" s="41"/>
      <c r="AG462" s="41"/>
      <c r="AH462" s="41"/>
    </row>
    <row r="463" spans="1:34">
      <c r="A463" s="39" t="s">
        <v>7</v>
      </c>
      <c r="B463" s="41"/>
      <c r="C463" s="40"/>
      <c r="D463" s="41"/>
      <c r="E463" s="41"/>
      <c r="F463" s="41"/>
      <c r="G463" s="41"/>
      <c r="H463" s="41"/>
      <c r="I463" s="41"/>
      <c r="J463" s="41"/>
      <c r="K463" s="41"/>
      <c r="L463" s="41"/>
      <c r="M463" s="41"/>
      <c r="N463" s="41"/>
      <c r="O463" s="41"/>
      <c r="P463" s="41"/>
      <c r="Q463" s="41"/>
      <c r="R463" s="41"/>
      <c r="S463" s="41"/>
      <c r="T463" s="41"/>
      <c r="U463" s="41"/>
      <c r="V463" s="41"/>
      <c r="W463" s="41"/>
      <c r="X463" s="41"/>
      <c r="Y463" s="41"/>
      <c r="Z463" s="41"/>
      <c r="AA463" s="41"/>
      <c r="AB463" s="41"/>
      <c r="AC463" s="41"/>
      <c r="AD463" s="41"/>
      <c r="AE463" s="41"/>
      <c r="AF463" s="41"/>
      <c r="AG463" s="41"/>
      <c r="AH463" s="41"/>
    </row>
    <row r="464" spans="1:34">
      <c r="A464" s="39" t="s">
        <v>8</v>
      </c>
      <c r="B464" s="39" t="s">
        <v>4</v>
      </c>
      <c r="C464" s="45" t="s">
        <v>9</v>
      </c>
      <c r="D464" s="39" t="s">
        <v>6</v>
      </c>
      <c r="E464" s="39" t="s">
        <v>106</v>
      </c>
      <c r="F464" s="39" t="s">
        <v>10</v>
      </c>
      <c r="G464" s="39" t="s">
        <v>2</v>
      </c>
      <c r="H464" s="39" t="s">
        <v>5</v>
      </c>
      <c r="I464" s="39" t="s">
        <v>11</v>
      </c>
      <c r="J464" s="41"/>
      <c r="K464" s="41"/>
      <c r="L464" s="41"/>
      <c r="M464" s="41"/>
      <c r="N464" s="41"/>
      <c r="O464" s="41"/>
      <c r="P464" s="41"/>
      <c r="Q464" s="41"/>
      <c r="R464" s="41"/>
      <c r="S464" s="41"/>
      <c r="T464" s="41"/>
      <c r="U464" s="41"/>
      <c r="V464" s="41"/>
      <c r="W464" s="41"/>
      <c r="X464" s="41"/>
      <c r="Y464" s="41"/>
      <c r="Z464" s="41"/>
      <c r="AA464" s="41"/>
      <c r="AB464" s="41"/>
      <c r="AC464" s="41"/>
      <c r="AD464" s="41"/>
      <c r="AE464" s="41"/>
      <c r="AF464" s="41"/>
      <c r="AG464" s="41"/>
      <c r="AH464" s="41"/>
    </row>
    <row r="465" spans="1:34">
      <c r="A465" s="46" t="s">
        <v>456</v>
      </c>
      <c r="B465" s="46" t="s">
        <v>457</v>
      </c>
      <c r="C465" s="47">
        <v>1</v>
      </c>
      <c r="D465" s="41" t="s">
        <v>13</v>
      </c>
      <c r="E465" s="46"/>
      <c r="F465" s="46"/>
      <c r="G465" s="46" t="s">
        <v>49</v>
      </c>
      <c r="H465" s="46" t="s">
        <v>18</v>
      </c>
      <c r="I465" s="46"/>
      <c r="J465" s="46"/>
      <c r="K465" s="46"/>
      <c r="L465" s="41"/>
      <c r="M465" s="41"/>
      <c r="N465" s="41"/>
      <c r="O465" s="41"/>
      <c r="P465" s="41"/>
      <c r="Q465" s="41"/>
      <c r="R465" s="41"/>
      <c r="S465" s="41"/>
      <c r="T465" s="41"/>
      <c r="U465" s="41"/>
      <c r="V465" s="41"/>
      <c r="W465" s="41"/>
      <c r="X465" s="41"/>
      <c r="Y465" s="41"/>
      <c r="Z465" s="41"/>
      <c r="AA465" s="41"/>
      <c r="AB465" s="41"/>
      <c r="AC465" s="41"/>
      <c r="AD465" s="41"/>
      <c r="AE465" s="41"/>
      <c r="AF465" s="41"/>
      <c r="AG465" s="41"/>
      <c r="AH465" s="41"/>
    </row>
    <row r="466" spans="1:34">
      <c r="A466" s="46" t="s">
        <v>243</v>
      </c>
      <c r="B466" s="46" t="s">
        <v>234</v>
      </c>
      <c r="C466" s="40">
        <v>4.0000000000000001E-3</v>
      </c>
      <c r="D466" s="41" t="s">
        <v>13</v>
      </c>
      <c r="E466" s="46" t="s">
        <v>205</v>
      </c>
      <c r="F466" s="46"/>
      <c r="G466" s="46" t="s">
        <v>29</v>
      </c>
      <c r="H466" s="46" t="s">
        <v>12</v>
      </c>
      <c r="I466" s="46" t="s">
        <v>235</v>
      </c>
      <c r="J466" s="46"/>
      <c r="K466" s="46"/>
      <c r="L466" s="41"/>
      <c r="M466" s="41"/>
      <c r="N466" s="41"/>
      <c r="O466" s="41"/>
      <c r="P466" s="41"/>
      <c r="Q466" s="41"/>
      <c r="R466" s="41"/>
      <c r="S466" s="41"/>
      <c r="T466" s="41"/>
      <c r="U466" s="41"/>
      <c r="V466" s="41"/>
      <c r="W466" s="41"/>
      <c r="X466" s="41"/>
      <c r="Y466" s="41"/>
      <c r="Z466" s="41"/>
      <c r="AA466" s="41"/>
      <c r="AB466" s="41"/>
      <c r="AC466" s="41"/>
      <c r="AD466" s="41"/>
      <c r="AE466" s="41"/>
      <c r="AF466" s="41"/>
      <c r="AG466" s="41"/>
      <c r="AH466" s="41"/>
    </row>
    <row r="467" spans="1:34">
      <c r="A467" s="46" t="s">
        <v>236</v>
      </c>
      <c r="B467" s="46" t="s">
        <v>237</v>
      </c>
      <c r="C467" s="40">
        <v>5.0000000000000002E-5</v>
      </c>
      <c r="D467" s="41" t="s">
        <v>238</v>
      </c>
      <c r="E467" s="46" t="s">
        <v>205</v>
      </c>
      <c r="F467" s="46"/>
      <c r="G467" s="46" t="s">
        <v>140</v>
      </c>
      <c r="H467" s="46" t="s">
        <v>12</v>
      </c>
      <c r="I467" s="46" t="s">
        <v>239</v>
      </c>
      <c r="J467" s="46"/>
      <c r="K467" s="46"/>
      <c r="L467" s="41"/>
      <c r="M467" s="41"/>
      <c r="N467" s="41"/>
      <c r="O467" s="41"/>
      <c r="P467" s="41"/>
      <c r="Q467" s="41"/>
      <c r="R467" s="41"/>
      <c r="S467" s="41"/>
      <c r="T467" s="41"/>
      <c r="U467" s="41"/>
      <c r="V467" s="41"/>
      <c r="W467" s="41"/>
      <c r="X467" s="41"/>
      <c r="Y467" s="41"/>
      <c r="Z467" s="41"/>
      <c r="AA467" s="41"/>
      <c r="AB467" s="41"/>
      <c r="AC467" s="41"/>
      <c r="AD467" s="41"/>
      <c r="AE467" s="41"/>
      <c r="AF467" s="41"/>
      <c r="AG467" s="41"/>
      <c r="AH467" s="41"/>
    </row>
    <row r="468" spans="1:34">
      <c r="A468" t="s">
        <v>240</v>
      </c>
      <c r="B468"/>
      <c r="C468" s="40">
        <v>4.4000000000000003E-3</v>
      </c>
      <c r="D468" s="41" t="s">
        <v>13</v>
      </c>
      <c r="E468" s="41" t="s">
        <v>109</v>
      </c>
      <c r="F468" s="41" t="s">
        <v>241</v>
      </c>
      <c r="H468" s="41" t="s">
        <v>15</v>
      </c>
      <c r="I468" s="41" t="s">
        <v>242</v>
      </c>
    </row>
    <row r="469" spans="1:34" s="69" customFormat="1">
      <c r="A469" s="67"/>
      <c r="B469" s="67"/>
      <c r="C469" s="68"/>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row>
    <row r="470" spans="1:34">
      <c r="A470" s="42" t="s">
        <v>1</v>
      </c>
      <c r="B470" s="37" t="s">
        <v>381</v>
      </c>
    </row>
    <row r="471" spans="1:34">
      <c r="A471" s="42" t="s">
        <v>2</v>
      </c>
      <c r="B471" s="18" t="s">
        <v>49</v>
      </c>
    </row>
    <row r="472" spans="1:34">
      <c r="A472" s="42" t="s">
        <v>3</v>
      </c>
      <c r="B472" s="18">
        <v>1</v>
      </c>
    </row>
    <row r="473" spans="1:34" ht="15.75">
      <c r="A473" s="42" t="s">
        <v>4</v>
      </c>
      <c r="B473" s="55" t="s">
        <v>298</v>
      </c>
    </row>
    <row r="474" spans="1:34">
      <c r="A474" s="42" t="s">
        <v>76</v>
      </c>
      <c r="B474" s="18" t="s">
        <v>382</v>
      </c>
    </row>
    <row r="475" spans="1:34">
      <c r="A475" s="42" t="s">
        <v>5</v>
      </c>
      <c r="B475" s="18" t="s">
        <v>78</v>
      </c>
    </row>
    <row r="476" spans="1:34">
      <c r="A476" s="42" t="s">
        <v>6</v>
      </c>
      <c r="B476" s="18" t="s">
        <v>13</v>
      </c>
    </row>
    <row r="477" spans="1:34">
      <c r="A477" s="42" t="s">
        <v>299</v>
      </c>
      <c r="B477" s="31">
        <f>14.9/(1-B478)</f>
        <v>17.325581395348838</v>
      </c>
    </row>
    <row r="478" spans="1:34">
      <c r="A478" s="42" t="s">
        <v>300</v>
      </c>
      <c r="B478" s="56">
        <v>0.14000000000000001</v>
      </c>
    </row>
    <row r="479" spans="1:34" ht="15.75">
      <c r="A479" s="29" t="s">
        <v>7</v>
      </c>
    </row>
    <row r="480" spans="1:34" s="39" customFormat="1">
      <c r="A480" s="39" t="s">
        <v>8</v>
      </c>
      <c r="B480" s="39" t="s">
        <v>9</v>
      </c>
      <c r="C480" s="39" t="s">
        <v>2</v>
      </c>
      <c r="D480" s="39" t="s">
        <v>6</v>
      </c>
      <c r="E480" s="39" t="s">
        <v>10</v>
      </c>
      <c r="F480" s="39" t="s">
        <v>5</v>
      </c>
      <c r="G480" s="39" t="s">
        <v>11</v>
      </c>
      <c r="H480" s="39" t="s">
        <v>4</v>
      </c>
    </row>
    <row r="481" spans="1:8" ht="15.75">
      <c r="A481" t="s">
        <v>381</v>
      </c>
      <c r="B481" s="18">
        <v>1</v>
      </c>
      <c r="C481" t="s">
        <v>49</v>
      </c>
      <c r="D481" t="s">
        <v>13</v>
      </c>
      <c r="E481" t="s">
        <v>301</v>
      </c>
      <c r="F481" t="s">
        <v>18</v>
      </c>
      <c r="G481" t="s">
        <v>74</v>
      </c>
      <c r="H481" s="55" t="s">
        <v>298</v>
      </c>
    </row>
    <row r="482" spans="1:8">
      <c r="A482" t="s">
        <v>115</v>
      </c>
      <c r="B482" s="18">
        <v>7.5716999999999994E-4</v>
      </c>
      <c r="D482" t="s">
        <v>13</v>
      </c>
      <c r="E482" t="s">
        <v>25</v>
      </c>
      <c r="F482" t="s">
        <v>15</v>
      </c>
      <c r="G482" t="s">
        <v>302</v>
      </c>
    </row>
    <row r="483" spans="1:8">
      <c r="A483" t="s">
        <v>115</v>
      </c>
      <c r="B483" s="18">
        <v>1.7899999999999998E-6</v>
      </c>
      <c r="D483" t="s">
        <v>13</v>
      </c>
      <c r="E483" t="s">
        <v>25</v>
      </c>
      <c r="F483" t="s">
        <v>15</v>
      </c>
      <c r="G483" t="s">
        <v>303</v>
      </c>
    </row>
    <row r="484" spans="1:8">
      <c r="A484" t="s">
        <v>304</v>
      </c>
      <c r="B484" s="18">
        <v>8.9499999999999996E-3</v>
      </c>
      <c r="C484" t="s">
        <v>140</v>
      </c>
      <c r="D484" t="s">
        <v>13</v>
      </c>
      <c r="E484" t="s">
        <v>305</v>
      </c>
      <c r="F484" t="s">
        <v>12</v>
      </c>
      <c r="G484" t="s">
        <v>306</v>
      </c>
      <c r="H484" t="s">
        <v>307</v>
      </c>
    </row>
    <row r="485" spans="1:8">
      <c r="A485" t="s">
        <v>308</v>
      </c>
      <c r="B485" s="18">
        <v>3.382384E-3</v>
      </c>
      <c r="C485" t="s">
        <v>140</v>
      </c>
      <c r="D485" t="s">
        <v>13</v>
      </c>
      <c r="E485" t="s">
        <v>305</v>
      </c>
      <c r="F485" t="s">
        <v>12</v>
      </c>
      <c r="G485" t="s">
        <v>309</v>
      </c>
      <c r="H485" t="s">
        <v>310</v>
      </c>
    </row>
    <row r="486" spans="1:8">
      <c r="A486" t="s">
        <v>243</v>
      </c>
      <c r="B486" s="18">
        <v>1.9689999999999999E-2</v>
      </c>
      <c r="C486" t="s">
        <v>27</v>
      </c>
      <c r="D486" t="s">
        <v>13</v>
      </c>
      <c r="E486" t="s">
        <v>305</v>
      </c>
      <c r="F486" t="s">
        <v>12</v>
      </c>
      <c r="G486" t="s">
        <v>311</v>
      </c>
      <c r="H486" t="s">
        <v>234</v>
      </c>
    </row>
    <row r="487" spans="1:8">
      <c r="A487" t="s">
        <v>295</v>
      </c>
      <c r="B487" s="18">
        <f>0.00179/1000</f>
        <v>1.79E-6</v>
      </c>
      <c r="C487" t="s">
        <v>140</v>
      </c>
      <c r="D487" t="s">
        <v>13</v>
      </c>
      <c r="E487" t="s">
        <v>305</v>
      </c>
      <c r="F487" t="s">
        <v>12</v>
      </c>
      <c r="G487" t="s">
        <v>312</v>
      </c>
      <c r="H487" t="s">
        <v>296</v>
      </c>
    </row>
    <row r="488" spans="1:8">
      <c r="A488" t="s">
        <v>313</v>
      </c>
      <c r="B488" s="18">
        <f>986/1000000</f>
        <v>9.859999999999999E-4</v>
      </c>
      <c r="C488" t="s">
        <v>140</v>
      </c>
      <c r="D488" t="s">
        <v>13</v>
      </c>
      <c r="F488" t="s">
        <v>12</v>
      </c>
      <c r="G488" t="s">
        <v>314</v>
      </c>
      <c r="H488" t="s">
        <v>315</v>
      </c>
    </row>
    <row r="489" spans="1:8">
      <c r="A489" t="s">
        <v>293</v>
      </c>
      <c r="B489" s="18">
        <v>5.3699999999999989E-3</v>
      </c>
      <c r="C489" t="s">
        <v>27</v>
      </c>
      <c r="D489" t="s">
        <v>13</v>
      </c>
      <c r="E489" t="s">
        <v>305</v>
      </c>
      <c r="F489" t="s">
        <v>12</v>
      </c>
      <c r="G489" t="s">
        <v>316</v>
      </c>
      <c r="H489" t="s">
        <v>294</v>
      </c>
    </row>
    <row r="490" spans="1:8">
      <c r="A490" t="s">
        <v>317</v>
      </c>
      <c r="B490" s="18">
        <v>5.3699999999999989E-3</v>
      </c>
      <c r="C490" t="s">
        <v>27</v>
      </c>
      <c r="D490" t="s">
        <v>13</v>
      </c>
      <c r="E490" t="s">
        <v>305</v>
      </c>
      <c r="F490" t="s">
        <v>12</v>
      </c>
      <c r="G490" t="s">
        <v>318</v>
      </c>
      <c r="H490" t="s">
        <v>319</v>
      </c>
    </row>
    <row r="491" spans="1:8">
      <c r="A491" t="s">
        <v>320</v>
      </c>
      <c r="B491" s="18">
        <v>2.3269999999999996E-2</v>
      </c>
      <c r="C491" t="s">
        <v>140</v>
      </c>
      <c r="D491" t="s">
        <v>13</v>
      </c>
      <c r="E491" t="s">
        <v>305</v>
      </c>
      <c r="F491" t="s">
        <v>12</v>
      </c>
      <c r="G491" t="s">
        <v>311</v>
      </c>
      <c r="H491" t="s">
        <v>321</v>
      </c>
    </row>
    <row r="492" spans="1:8">
      <c r="A492" t="s">
        <v>322</v>
      </c>
      <c r="B492" s="18">
        <f>0.01295781*43</f>
        <v>0.55718582999999999</v>
      </c>
      <c r="C492" t="s">
        <v>140</v>
      </c>
      <c r="D492" t="s">
        <v>46</v>
      </c>
      <c r="E492" t="s">
        <v>305</v>
      </c>
      <c r="F492" t="s">
        <v>12</v>
      </c>
      <c r="G492" t="s">
        <v>323</v>
      </c>
      <c r="H492" t="s">
        <v>324</v>
      </c>
    </row>
    <row r="493" spans="1:8">
      <c r="A493" t="s">
        <v>325</v>
      </c>
      <c r="B493" s="18">
        <v>7.464300000000001E-3</v>
      </c>
      <c r="C493" t="s">
        <v>22</v>
      </c>
      <c r="D493" t="s">
        <v>19</v>
      </c>
      <c r="E493" t="s">
        <v>326</v>
      </c>
      <c r="F493" t="s">
        <v>12</v>
      </c>
      <c r="G493" t="s">
        <v>309</v>
      </c>
      <c r="H493" t="s">
        <v>43</v>
      </c>
    </row>
    <row r="494" spans="1:8">
      <c r="A494" t="s">
        <v>325</v>
      </c>
      <c r="B494" s="18">
        <v>1.9407179999999997E-3</v>
      </c>
      <c r="C494" t="s">
        <v>22</v>
      </c>
      <c r="D494" t="s">
        <v>19</v>
      </c>
      <c r="E494" t="s">
        <v>326</v>
      </c>
      <c r="F494" t="s">
        <v>12</v>
      </c>
      <c r="G494" t="s">
        <v>327</v>
      </c>
      <c r="H494" t="s">
        <v>43</v>
      </c>
    </row>
    <row r="495" spans="1:8">
      <c r="A495" t="s">
        <v>328</v>
      </c>
      <c r="B495" s="18">
        <v>3.923859E-3</v>
      </c>
      <c r="C495" t="s">
        <v>49</v>
      </c>
      <c r="D495" t="s">
        <v>13</v>
      </c>
      <c r="E495" t="s">
        <v>305</v>
      </c>
      <c r="F495" t="s">
        <v>12</v>
      </c>
      <c r="G495" t="s">
        <v>309</v>
      </c>
      <c r="H495" t="s">
        <v>329</v>
      </c>
    </row>
    <row r="496" spans="1:8">
      <c r="A496" t="s">
        <v>285</v>
      </c>
      <c r="B496" s="18">
        <f>17.9*(1-B478)</f>
        <v>15.393999999999998</v>
      </c>
      <c r="D496" t="s">
        <v>46</v>
      </c>
      <c r="E496" t="s">
        <v>286</v>
      </c>
      <c r="F496" t="s">
        <v>15</v>
      </c>
      <c r="G496" t="s">
        <v>330</v>
      </c>
    </row>
    <row r="497" spans="1:7">
      <c r="A497" t="s">
        <v>197</v>
      </c>
      <c r="B497" s="18">
        <v>0</v>
      </c>
      <c r="D497" t="s">
        <v>13</v>
      </c>
      <c r="E497" t="s">
        <v>198</v>
      </c>
      <c r="F497" t="s">
        <v>15</v>
      </c>
      <c r="G497" t="s">
        <v>380</v>
      </c>
    </row>
    <row r="498" spans="1:7">
      <c r="A498" t="s">
        <v>289</v>
      </c>
      <c r="B498" s="18">
        <f>1/(7129/10000)</f>
        <v>1.4027212792818067</v>
      </c>
      <c r="D498" t="s">
        <v>17</v>
      </c>
      <c r="E498" t="s">
        <v>16</v>
      </c>
      <c r="F498" t="s">
        <v>15</v>
      </c>
      <c r="G498" t="s">
        <v>331</v>
      </c>
    </row>
    <row r="499" spans="1:7">
      <c r="A499" t="s">
        <v>332</v>
      </c>
      <c r="B499" s="18">
        <f>1/(7129/10000)</f>
        <v>1.4027212792818067</v>
      </c>
      <c r="D499" t="s">
        <v>187</v>
      </c>
      <c r="E499" t="s">
        <v>16</v>
      </c>
      <c r="F499" t="s">
        <v>15</v>
      </c>
      <c r="G499" t="s">
        <v>333</v>
      </c>
    </row>
    <row r="500" spans="1:7">
      <c r="A500" t="s">
        <v>292</v>
      </c>
      <c r="B500" s="18">
        <f>1/(7129/10000)</f>
        <v>1.4027212792818067</v>
      </c>
      <c r="D500" t="s">
        <v>187</v>
      </c>
      <c r="E500" t="s">
        <v>16</v>
      </c>
      <c r="F500" t="s">
        <v>15</v>
      </c>
      <c r="G500" t="s">
        <v>333</v>
      </c>
    </row>
    <row r="501" spans="1:7">
      <c r="A501" t="s">
        <v>130</v>
      </c>
      <c r="B501" s="18">
        <v>0.17007192792102799</v>
      </c>
      <c r="D501" t="s">
        <v>128</v>
      </c>
      <c r="E501" t="s">
        <v>25</v>
      </c>
      <c r="F501" t="s">
        <v>15</v>
      </c>
      <c r="G501" t="s">
        <v>334</v>
      </c>
    </row>
    <row r="502" spans="1:7">
      <c r="A502" t="s">
        <v>119</v>
      </c>
      <c r="B502" s="18">
        <v>8.3517419999999996E-5</v>
      </c>
      <c r="D502" t="s">
        <v>13</v>
      </c>
      <c r="E502" t="s">
        <v>183</v>
      </c>
      <c r="F502" t="s">
        <v>15</v>
      </c>
      <c r="G502" t="s">
        <v>334</v>
      </c>
    </row>
    <row r="503" spans="1:7">
      <c r="A503" t="s">
        <v>268</v>
      </c>
      <c r="B503" s="18">
        <v>1.0182310000000001E-3</v>
      </c>
      <c r="D503" t="s">
        <v>13</v>
      </c>
      <c r="E503" t="s">
        <v>183</v>
      </c>
      <c r="F503" t="s">
        <v>15</v>
      </c>
      <c r="G503" t="s">
        <v>334</v>
      </c>
    </row>
    <row r="504" spans="1:7">
      <c r="A504" t="s">
        <v>335</v>
      </c>
      <c r="B504" s="18">
        <f>B506/2</f>
        <v>0.47991081325301199</v>
      </c>
      <c r="D504" t="s">
        <v>187</v>
      </c>
      <c r="E504" t="s">
        <v>16</v>
      </c>
      <c r="F504" t="s">
        <v>15</v>
      </c>
      <c r="G504" t="s">
        <v>336</v>
      </c>
    </row>
    <row r="505" spans="1:7">
      <c r="A505" t="s">
        <v>337</v>
      </c>
      <c r="B505" s="18">
        <f>B506/2</f>
        <v>0.47991081325301199</v>
      </c>
      <c r="D505" t="s">
        <v>187</v>
      </c>
      <c r="E505" t="s">
        <v>16</v>
      </c>
      <c r="F505" t="s">
        <v>15</v>
      </c>
      <c r="G505" t="s">
        <v>336</v>
      </c>
    </row>
    <row r="506" spans="1:7">
      <c r="A506" t="s">
        <v>338</v>
      </c>
      <c r="B506" s="18">
        <v>0.95982162650602398</v>
      </c>
      <c r="D506" t="s">
        <v>17</v>
      </c>
      <c r="E506" t="s">
        <v>16</v>
      </c>
      <c r="F506" t="s">
        <v>15</v>
      </c>
      <c r="G506" t="s">
        <v>339</v>
      </c>
    </row>
    <row r="507" spans="1:7">
      <c r="A507" t="s">
        <v>340</v>
      </c>
      <c r="B507" s="18">
        <v>1.0107999999999999E-6</v>
      </c>
      <c r="D507" t="s">
        <v>13</v>
      </c>
      <c r="E507" t="s">
        <v>283</v>
      </c>
      <c r="F507" t="s">
        <v>15</v>
      </c>
      <c r="G507" t="s">
        <v>334</v>
      </c>
    </row>
    <row r="508" spans="1:7">
      <c r="A508" t="s">
        <v>341</v>
      </c>
      <c r="B508" s="18">
        <v>6.1366999999999996E-7</v>
      </c>
      <c r="D508" t="s">
        <v>13</v>
      </c>
      <c r="E508" t="s">
        <v>283</v>
      </c>
      <c r="F508" t="s">
        <v>15</v>
      </c>
      <c r="G508" t="s">
        <v>334</v>
      </c>
    </row>
    <row r="509" spans="1:7">
      <c r="A509" t="s">
        <v>342</v>
      </c>
      <c r="B509" s="18">
        <v>4.8131000000000003E-9</v>
      </c>
      <c r="D509" t="s">
        <v>13</v>
      </c>
      <c r="E509" t="s">
        <v>283</v>
      </c>
      <c r="F509" t="s">
        <v>15</v>
      </c>
      <c r="G509" t="s">
        <v>334</v>
      </c>
    </row>
    <row r="510" spans="1:7">
      <c r="A510" t="s">
        <v>343</v>
      </c>
      <c r="B510" s="18">
        <v>6.4977000000000003E-7</v>
      </c>
      <c r="D510" t="s">
        <v>13</v>
      </c>
      <c r="E510" t="s">
        <v>283</v>
      </c>
      <c r="F510" t="s">
        <v>15</v>
      </c>
      <c r="G510" t="s">
        <v>334</v>
      </c>
    </row>
    <row r="511" spans="1:7">
      <c r="A511" t="s">
        <v>344</v>
      </c>
      <c r="B511" s="18">
        <v>-1.5040999999999999E-6</v>
      </c>
      <c r="D511" t="s">
        <v>13</v>
      </c>
      <c r="E511" t="s">
        <v>283</v>
      </c>
      <c r="F511" t="s">
        <v>15</v>
      </c>
      <c r="G511" t="s">
        <v>334</v>
      </c>
    </row>
    <row r="512" spans="1:7">
      <c r="A512" t="s">
        <v>345</v>
      </c>
      <c r="B512" s="18">
        <v>1.2032999999999999E-7</v>
      </c>
      <c r="D512" t="s">
        <v>13</v>
      </c>
      <c r="E512" t="s">
        <v>283</v>
      </c>
      <c r="F512" t="s">
        <v>15</v>
      </c>
      <c r="G512" t="s">
        <v>334</v>
      </c>
    </row>
    <row r="513" spans="1:7">
      <c r="A513" t="s">
        <v>346</v>
      </c>
      <c r="B513" s="18">
        <v>2.4787000000000001E-6</v>
      </c>
      <c r="D513" t="s">
        <v>13</v>
      </c>
      <c r="E513" t="s">
        <v>283</v>
      </c>
      <c r="F513" t="s">
        <v>15</v>
      </c>
      <c r="G513" t="s">
        <v>334</v>
      </c>
    </row>
    <row r="514" spans="1:7">
      <c r="A514" t="s">
        <v>347</v>
      </c>
      <c r="B514" s="18">
        <v>1.0829E-7</v>
      </c>
      <c r="D514" t="s">
        <v>13</v>
      </c>
      <c r="E514" t="s">
        <v>283</v>
      </c>
      <c r="F514" t="s">
        <v>15</v>
      </c>
      <c r="G514" t="s">
        <v>334</v>
      </c>
    </row>
    <row r="515" spans="1:7">
      <c r="A515" t="s">
        <v>348</v>
      </c>
      <c r="B515" s="18">
        <v>1.0107999999999999E-6</v>
      </c>
      <c r="D515" t="s">
        <v>13</v>
      </c>
      <c r="E515" t="s">
        <v>283</v>
      </c>
      <c r="F515" t="s">
        <v>15</v>
      </c>
      <c r="G515" t="s">
        <v>334</v>
      </c>
    </row>
    <row r="516" spans="1:7">
      <c r="A516" t="s">
        <v>349</v>
      </c>
      <c r="B516" s="18">
        <v>2.4065000000000001E-8</v>
      </c>
      <c r="D516" t="s">
        <v>13</v>
      </c>
      <c r="E516" t="s">
        <v>283</v>
      </c>
      <c r="F516" t="s">
        <v>15</v>
      </c>
      <c r="G516" t="s">
        <v>334</v>
      </c>
    </row>
    <row r="517" spans="1:7">
      <c r="A517" t="s">
        <v>350</v>
      </c>
      <c r="B517" s="18">
        <v>-3.2893999999999998E-7</v>
      </c>
      <c r="D517" t="s">
        <v>13</v>
      </c>
      <c r="E517" t="s">
        <v>283</v>
      </c>
      <c r="F517" t="s">
        <v>15</v>
      </c>
      <c r="G517" t="s">
        <v>334</v>
      </c>
    </row>
    <row r="518" spans="1:7">
      <c r="A518" t="s">
        <v>351</v>
      </c>
      <c r="B518" s="18">
        <v>7.9416000000000001E-7</v>
      </c>
      <c r="D518" t="s">
        <v>13</v>
      </c>
      <c r="E518" t="s">
        <v>283</v>
      </c>
      <c r="F518" t="s">
        <v>15</v>
      </c>
      <c r="G518" t="s">
        <v>334</v>
      </c>
    </row>
    <row r="519" spans="1:7">
      <c r="A519" t="s">
        <v>352</v>
      </c>
      <c r="B519" s="18">
        <v>4.1393000000000003E-6</v>
      </c>
      <c r="D519" t="s">
        <v>13</v>
      </c>
      <c r="E519" t="s">
        <v>283</v>
      </c>
      <c r="F519" t="s">
        <v>15</v>
      </c>
      <c r="G519" t="s">
        <v>334</v>
      </c>
    </row>
    <row r="520" spans="1:7">
      <c r="A520" t="s">
        <v>353</v>
      </c>
      <c r="B520" s="18">
        <v>5.0537999999999999E-8</v>
      </c>
      <c r="D520" t="s">
        <v>13</v>
      </c>
      <c r="E520" t="s">
        <v>283</v>
      </c>
      <c r="F520" t="s">
        <v>15</v>
      </c>
      <c r="G520" t="s">
        <v>334</v>
      </c>
    </row>
    <row r="521" spans="1:7">
      <c r="A521" t="s">
        <v>354</v>
      </c>
      <c r="B521" s="18">
        <v>-5.9000999999999996E-6</v>
      </c>
      <c r="D521" t="s">
        <v>13</v>
      </c>
      <c r="E521" t="s">
        <v>283</v>
      </c>
      <c r="F521" t="s">
        <v>15</v>
      </c>
      <c r="G521" t="s">
        <v>334</v>
      </c>
    </row>
    <row r="522" spans="1:7">
      <c r="A522" t="s">
        <v>355</v>
      </c>
      <c r="B522" s="18">
        <v>1.5643E-6</v>
      </c>
      <c r="D522" t="s">
        <v>13</v>
      </c>
      <c r="E522" t="s">
        <v>283</v>
      </c>
      <c r="F522" t="s">
        <v>15</v>
      </c>
      <c r="G522" t="s">
        <v>334</v>
      </c>
    </row>
    <row r="523" spans="1:7">
      <c r="A523" t="s">
        <v>356</v>
      </c>
      <c r="B523" s="18">
        <v>2.6952999999999998E-6</v>
      </c>
      <c r="D523" t="s">
        <v>13</v>
      </c>
      <c r="E523" t="s">
        <v>283</v>
      </c>
      <c r="F523" t="s">
        <v>15</v>
      </c>
      <c r="G523" t="s">
        <v>334</v>
      </c>
    </row>
    <row r="524" spans="1:7">
      <c r="A524" t="s">
        <v>357</v>
      </c>
      <c r="B524" s="18">
        <v>4.4454999999999997E-8</v>
      </c>
      <c r="D524" t="s">
        <v>13</v>
      </c>
      <c r="E524" t="s">
        <v>283</v>
      </c>
      <c r="F524" t="s">
        <v>15</v>
      </c>
      <c r="G524" t="s">
        <v>334</v>
      </c>
    </row>
    <row r="525" spans="1:7">
      <c r="A525" t="s">
        <v>358</v>
      </c>
      <c r="B525" s="18">
        <v>3.6097999999999997E-8</v>
      </c>
      <c r="D525" t="s">
        <v>13</v>
      </c>
      <c r="E525" t="s">
        <v>283</v>
      </c>
      <c r="F525" t="s">
        <v>15</v>
      </c>
      <c r="G525" t="s">
        <v>334</v>
      </c>
    </row>
    <row r="526" spans="1:7">
      <c r="A526" t="s">
        <v>359</v>
      </c>
      <c r="B526" s="18">
        <v>2.1659000000000001E-7</v>
      </c>
      <c r="D526" t="s">
        <v>13</v>
      </c>
      <c r="E526" t="s">
        <v>283</v>
      </c>
      <c r="F526" t="s">
        <v>15</v>
      </c>
      <c r="G526" t="s">
        <v>334</v>
      </c>
    </row>
    <row r="527" spans="1:7">
      <c r="A527" t="s">
        <v>360</v>
      </c>
      <c r="B527" s="18">
        <v>-1.8835E-8</v>
      </c>
      <c r="D527" t="s">
        <v>13</v>
      </c>
      <c r="E527" t="s">
        <v>283</v>
      </c>
      <c r="F527" t="s">
        <v>15</v>
      </c>
      <c r="G527" t="s">
        <v>334</v>
      </c>
    </row>
    <row r="528" spans="1:7">
      <c r="A528" t="s">
        <v>288</v>
      </c>
      <c r="B528" s="18">
        <v>4.2885E-5</v>
      </c>
      <c r="D528" t="s">
        <v>13</v>
      </c>
      <c r="E528" t="s">
        <v>283</v>
      </c>
      <c r="F528" t="s">
        <v>15</v>
      </c>
      <c r="G528" t="s">
        <v>334</v>
      </c>
    </row>
    <row r="529" spans="1:7">
      <c r="A529" t="s">
        <v>282</v>
      </c>
      <c r="B529" s="18">
        <v>9.2460000000000006E-5</v>
      </c>
      <c r="D529" t="s">
        <v>13</v>
      </c>
      <c r="E529" t="s">
        <v>283</v>
      </c>
      <c r="F529" t="s">
        <v>15</v>
      </c>
      <c r="G529" t="s">
        <v>334</v>
      </c>
    </row>
    <row r="530" spans="1:7">
      <c r="A530" t="s">
        <v>361</v>
      </c>
      <c r="B530" s="18">
        <v>5.0297000000000003E-6</v>
      </c>
      <c r="D530" t="s">
        <v>13</v>
      </c>
      <c r="E530" t="s">
        <v>283</v>
      </c>
      <c r="F530" t="s">
        <v>15</v>
      </c>
      <c r="G530" t="s">
        <v>334</v>
      </c>
    </row>
    <row r="531" spans="1:7">
      <c r="A531" t="s">
        <v>362</v>
      </c>
      <c r="B531" s="18">
        <v>2.4306000000000001E-6</v>
      </c>
      <c r="D531" t="s">
        <v>13</v>
      </c>
      <c r="E531" t="s">
        <v>283</v>
      </c>
      <c r="F531" t="s">
        <v>15</v>
      </c>
      <c r="G531" t="s">
        <v>334</v>
      </c>
    </row>
    <row r="532" spans="1:7">
      <c r="A532" t="s">
        <v>363</v>
      </c>
      <c r="B532" s="18">
        <v>1.7326999999999999E-6</v>
      </c>
      <c r="D532" t="s">
        <v>13</v>
      </c>
      <c r="E532" t="s">
        <v>283</v>
      </c>
      <c r="F532" t="s">
        <v>15</v>
      </c>
      <c r="G532" t="s">
        <v>334</v>
      </c>
    </row>
    <row r="533" spans="1:7">
      <c r="A533" t="s">
        <v>364</v>
      </c>
      <c r="B533" s="18">
        <v>2.8878999999999998E-7</v>
      </c>
      <c r="D533" t="s">
        <v>13</v>
      </c>
      <c r="E533" t="s">
        <v>283</v>
      </c>
      <c r="F533" t="s">
        <v>15</v>
      </c>
      <c r="G533" t="s">
        <v>334</v>
      </c>
    </row>
    <row r="534" spans="1:7">
      <c r="A534" t="s">
        <v>287</v>
      </c>
      <c r="B534" s="18">
        <v>1.9661999999999999E-5</v>
      </c>
      <c r="D534" t="s">
        <v>13</v>
      </c>
      <c r="E534" t="s">
        <v>283</v>
      </c>
      <c r="F534" t="s">
        <v>15</v>
      </c>
      <c r="G534" t="s">
        <v>334</v>
      </c>
    </row>
    <row r="535" spans="1:7">
      <c r="A535" t="s">
        <v>365</v>
      </c>
      <c r="B535" s="18">
        <v>1.1911999999999999E-6</v>
      </c>
      <c r="D535" t="s">
        <v>13</v>
      </c>
      <c r="E535" t="s">
        <v>283</v>
      </c>
      <c r="F535" t="s">
        <v>15</v>
      </c>
      <c r="G535" t="s">
        <v>334</v>
      </c>
    </row>
    <row r="536" spans="1:7">
      <c r="A536" t="s">
        <v>366</v>
      </c>
      <c r="B536" s="18">
        <v>1.9252000000000001E-7</v>
      </c>
      <c r="D536" t="s">
        <v>13</v>
      </c>
      <c r="E536" t="s">
        <v>283</v>
      </c>
      <c r="F536" t="s">
        <v>15</v>
      </c>
      <c r="G536" t="s">
        <v>334</v>
      </c>
    </row>
    <row r="537" spans="1:7">
      <c r="A537" t="s">
        <v>367</v>
      </c>
      <c r="B537" s="18">
        <v>3.0442999999999998E-6</v>
      </c>
      <c r="D537" t="s">
        <v>13</v>
      </c>
      <c r="E537" t="s">
        <v>283</v>
      </c>
      <c r="F537" t="s">
        <v>15</v>
      </c>
      <c r="G537" t="s">
        <v>334</v>
      </c>
    </row>
    <row r="538" spans="1:7">
      <c r="A538" t="s">
        <v>368</v>
      </c>
      <c r="B538" s="18">
        <v>4.8130999999999997E-6</v>
      </c>
      <c r="D538" t="s">
        <v>13</v>
      </c>
      <c r="E538" t="s">
        <v>283</v>
      </c>
      <c r="F538" t="s">
        <v>15</v>
      </c>
      <c r="G538" t="s">
        <v>334</v>
      </c>
    </row>
    <row r="539" spans="1:7">
      <c r="A539" t="s">
        <v>369</v>
      </c>
      <c r="B539" s="18">
        <v>5.9441999999999998E-5</v>
      </c>
      <c r="D539" t="s">
        <v>13</v>
      </c>
      <c r="E539" t="s">
        <v>283</v>
      </c>
      <c r="F539" t="s">
        <v>15</v>
      </c>
      <c r="G539" t="s">
        <v>334</v>
      </c>
    </row>
    <row r="540" spans="1:7">
      <c r="A540" t="s">
        <v>370</v>
      </c>
      <c r="B540" s="18">
        <v>3.3691999999999998E-7</v>
      </c>
      <c r="D540" t="s">
        <v>13</v>
      </c>
      <c r="E540" t="s">
        <v>283</v>
      </c>
      <c r="F540" t="s">
        <v>15</v>
      </c>
      <c r="G540" t="s">
        <v>334</v>
      </c>
    </row>
    <row r="541" spans="1:7">
      <c r="A541" t="s">
        <v>371</v>
      </c>
      <c r="B541" s="18">
        <v>1.6846000000000001E-8</v>
      </c>
      <c r="D541" t="s">
        <v>13</v>
      </c>
      <c r="E541" t="s">
        <v>283</v>
      </c>
      <c r="F541" t="s">
        <v>15</v>
      </c>
      <c r="G541" t="s">
        <v>334</v>
      </c>
    </row>
    <row r="542" spans="1:7">
      <c r="A542" t="s">
        <v>372</v>
      </c>
      <c r="B542" s="18">
        <v>5.7757E-7</v>
      </c>
      <c r="D542" t="s">
        <v>13</v>
      </c>
      <c r="E542" t="s">
        <v>283</v>
      </c>
      <c r="F542" t="s">
        <v>15</v>
      </c>
      <c r="G542" t="s">
        <v>334</v>
      </c>
    </row>
    <row r="543" spans="1:7">
      <c r="A543" t="s">
        <v>373</v>
      </c>
      <c r="B543" s="18">
        <v>2.1658999999999999E-8</v>
      </c>
      <c r="D543" t="s">
        <v>13</v>
      </c>
      <c r="E543" t="s">
        <v>283</v>
      </c>
      <c r="F543" t="s">
        <v>15</v>
      </c>
      <c r="G543" t="s">
        <v>334</v>
      </c>
    </row>
    <row r="544" spans="1:7">
      <c r="A544" t="s">
        <v>374</v>
      </c>
      <c r="B544" s="18">
        <v>3.6097999999999997E-8</v>
      </c>
      <c r="D544" t="s">
        <v>13</v>
      </c>
      <c r="E544" t="s">
        <v>283</v>
      </c>
      <c r="F544" t="s">
        <v>15</v>
      </c>
      <c r="G544" t="s">
        <v>334</v>
      </c>
    </row>
    <row r="545" spans="1:7">
      <c r="A545" t="s">
        <v>375</v>
      </c>
      <c r="B545" s="18">
        <v>2.6472E-7</v>
      </c>
      <c r="D545" t="s">
        <v>13</v>
      </c>
      <c r="E545" t="s">
        <v>283</v>
      </c>
      <c r="F545" t="s">
        <v>15</v>
      </c>
      <c r="G545" t="s">
        <v>334</v>
      </c>
    </row>
    <row r="546" spans="1:7">
      <c r="A546" t="s">
        <v>376</v>
      </c>
      <c r="B546" s="18">
        <v>1.2032999999999999E-7</v>
      </c>
      <c r="D546" t="s">
        <v>13</v>
      </c>
      <c r="E546" t="s">
        <v>283</v>
      </c>
      <c r="F546" t="s">
        <v>15</v>
      </c>
      <c r="G546" t="s">
        <v>334</v>
      </c>
    </row>
    <row r="547" spans="1:7">
      <c r="A547" t="s">
        <v>377</v>
      </c>
      <c r="B547" s="18">
        <v>2.6436999999999998E-7</v>
      </c>
      <c r="D547" t="s">
        <v>13</v>
      </c>
      <c r="E547" t="s">
        <v>283</v>
      </c>
      <c r="F547" t="s">
        <v>15</v>
      </c>
      <c r="G547" t="s">
        <v>334</v>
      </c>
    </row>
    <row r="548" spans="1:7">
      <c r="A548" t="s">
        <v>130</v>
      </c>
      <c r="B548" s="18">
        <v>5.9736877488796199E-2</v>
      </c>
      <c r="D548" t="s">
        <v>128</v>
      </c>
      <c r="E548" t="s">
        <v>241</v>
      </c>
      <c r="F548" t="s">
        <v>15</v>
      </c>
      <c r="G548" t="s">
        <v>334</v>
      </c>
    </row>
    <row r="549" spans="1:7">
      <c r="A549" t="s">
        <v>240</v>
      </c>
      <c r="B549" s="18">
        <v>1.1639108E-2</v>
      </c>
      <c r="D549" t="s">
        <v>13</v>
      </c>
      <c r="E549" t="s">
        <v>241</v>
      </c>
      <c r="F549" t="s">
        <v>15</v>
      </c>
      <c r="G549" t="s">
        <v>334</v>
      </c>
    </row>
    <row r="550" spans="1:7">
      <c r="A550" t="s">
        <v>130</v>
      </c>
      <c r="B550" s="18">
        <v>1.4934219372198999E-2</v>
      </c>
      <c r="D550" t="s">
        <v>128</v>
      </c>
      <c r="E550" t="s">
        <v>284</v>
      </c>
      <c r="F550" t="s">
        <v>15</v>
      </c>
      <c r="G550" t="s">
        <v>334</v>
      </c>
    </row>
    <row r="551" spans="1:7">
      <c r="A551" t="s">
        <v>291</v>
      </c>
      <c r="B551" s="18">
        <v>9.7541999999999995E-5</v>
      </c>
      <c r="D551" t="s">
        <v>13</v>
      </c>
      <c r="E551" t="s">
        <v>284</v>
      </c>
      <c r="F551" t="s">
        <v>15</v>
      </c>
      <c r="G551" t="s">
        <v>334</v>
      </c>
    </row>
    <row r="552" spans="1:7">
      <c r="A552" t="s">
        <v>290</v>
      </c>
      <c r="B552" s="18">
        <v>7.5147999999999996E-6</v>
      </c>
      <c r="D552" t="s">
        <v>13</v>
      </c>
      <c r="E552" t="s">
        <v>284</v>
      </c>
      <c r="F552" t="s">
        <v>15</v>
      </c>
      <c r="G552" t="s">
        <v>334</v>
      </c>
    </row>
    <row r="553" spans="1:7">
      <c r="A553" t="s">
        <v>378</v>
      </c>
      <c r="B553" s="18">
        <v>0</v>
      </c>
      <c r="D553" t="s">
        <v>128</v>
      </c>
      <c r="E553" t="s">
        <v>129</v>
      </c>
      <c r="F553" t="s">
        <v>15</v>
      </c>
      <c r="G553" s="57" t="s">
        <v>379</v>
      </c>
    </row>
    <row r="554" spans="1:7" s="69" customFormat="1">
      <c r="B554" s="70"/>
    </row>
    <row r="555" spans="1:7">
      <c r="A555" s="39" t="s">
        <v>1</v>
      </c>
      <c r="B555" s="39" t="s">
        <v>269</v>
      </c>
    </row>
    <row r="556" spans="1:7">
      <c r="A556" s="42" t="s">
        <v>11</v>
      </c>
      <c r="B556" s="51"/>
    </row>
    <row r="557" spans="1:7">
      <c r="A557" s="42" t="s">
        <v>2</v>
      </c>
      <c r="B557" t="s">
        <v>29</v>
      </c>
    </row>
    <row r="558" spans="1:7">
      <c r="A558" s="42" t="s">
        <v>3</v>
      </c>
      <c r="B558" s="43">
        <v>1</v>
      </c>
    </row>
    <row r="559" spans="1:7">
      <c r="A559" s="42" t="s">
        <v>4</v>
      </c>
      <c r="B559" t="s">
        <v>244</v>
      </c>
    </row>
    <row r="560" spans="1:7">
      <c r="A560" s="42" t="s">
        <v>6</v>
      </c>
      <c r="B560" t="s">
        <v>128</v>
      </c>
    </row>
    <row r="561" spans="1:9">
      <c r="A561" s="42" t="s">
        <v>76</v>
      </c>
      <c r="B561"/>
    </row>
    <row r="562" spans="1:9" ht="15.75">
      <c r="A562" s="29" t="s">
        <v>7</v>
      </c>
      <c r="B562"/>
    </row>
    <row r="563" spans="1:9" s="42" customFormat="1">
      <c r="A563" s="42" t="s">
        <v>8</v>
      </c>
      <c r="B563" s="42" t="s">
        <v>4</v>
      </c>
      <c r="C563" s="42" t="s">
        <v>9</v>
      </c>
      <c r="D563" s="42" t="s">
        <v>6</v>
      </c>
      <c r="E563" s="42" t="s">
        <v>106</v>
      </c>
      <c r="F563" s="42" t="s">
        <v>10</v>
      </c>
      <c r="G563" s="42" t="s">
        <v>2</v>
      </c>
      <c r="H563" s="42" t="s">
        <v>5</v>
      </c>
      <c r="I563" s="42" t="s">
        <v>11</v>
      </c>
    </row>
    <row r="564" spans="1:9">
      <c r="A564" t="s">
        <v>269</v>
      </c>
      <c r="B564" t="s">
        <v>244</v>
      </c>
      <c r="C564">
        <v>1</v>
      </c>
      <c r="D564" t="s">
        <v>128</v>
      </c>
      <c r="E564" s="46"/>
      <c r="G564" t="s">
        <v>29</v>
      </c>
      <c r="H564" t="s">
        <v>18</v>
      </c>
    </row>
    <row r="565" spans="1:9">
      <c r="A565" t="s">
        <v>249</v>
      </c>
      <c r="B565" t="s">
        <v>250</v>
      </c>
      <c r="C565">
        <v>1.5153830138359706E-4</v>
      </c>
      <c r="D565" t="s">
        <v>13</v>
      </c>
      <c r="E565" t="s">
        <v>205</v>
      </c>
      <c r="G565" t="s">
        <v>140</v>
      </c>
      <c r="H565" t="s">
        <v>12</v>
      </c>
    </row>
    <row r="566" spans="1:9">
      <c r="A566" t="s">
        <v>251</v>
      </c>
      <c r="B566" t="s">
        <v>135</v>
      </c>
      <c r="C566">
        <v>5.4000000000000001E-11</v>
      </c>
      <c r="D566" t="s">
        <v>6</v>
      </c>
      <c r="E566" t="s">
        <v>205</v>
      </c>
      <c r="G566" t="s">
        <v>140</v>
      </c>
      <c r="H566" t="s">
        <v>12</v>
      </c>
    </row>
    <row r="567" spans="1:9">
      <c r="A567" t="s">
        <v>28</v>
      </c>
      <c r="B567" t="s">
        <v>20</v>
      </c>
      <c r="C567">
        <v>0.9818888836474815</v>
      </c>
      <c r="D567" t="s">
        <v>19</v>
      </c>
      <c r="E567" t="s">
        <v>205</v>
      </c>
      <c r="G567" t="s">
        <v>29</v>
      </c>
      <c r="H567" t="s">
        <v>12</v>
      </c>
    </row>
    <row r="568" spans="1:9">
      <c r="A568" t="s">
        <v>179</v>
      </c>
      <c r="B568" t="s">
        <v>180</v>
      </c>
      <c r="C568">
        <v>1.1400000000000001E-4</v>
      </c>
      <c r="D568" t="s">
        <v>13</v>
      </c>
      <c r="E568" t="s">
        <v>205</v>
      </c>
      <c r="G568" t="s">
        <v>49</v>
      </c>
      <c r="H568" t="s">
        <v>12</v>
      </c>
    </row>
    <row r="569" spans="1:9">
      <c r="A569" t="s">
        <v>252</v>
      </c>
      <c r="B569" t="s">
        <v>253</v>
      </c>
      <c r="C569">
        <v>1.01E-4</v>
      </c>
      <c r="D569" t="s">
        <v>13</v>
      </c>
      <c r="E569" t="s">
        <v>205</v>
      </c>
      <c r="G569" t="s">
        <v>140</v>
      </c>
      <c r="H569" t="s">
        <v>12</v>
      </c>
    </row>
    <row r="570" spans="1:9">
      <c r="A570" t="s">
        <v>493</v>
      </c>
      <c r="B570" s="18" t="s">
        <v>195</v>
      </c>
      <c r="C570">
        <v>1.8942287672949629</v>
      </c>
      <c r="D570" s="41" t="s">
        <v>128</v>
      </c>
      <c r="G570" s="46" t="s">
        <v>208</v>
      </c>
      <c r="H570" t="s">
        <v>12</v>
      </c>
    </row>
    <row r="571" spans="1:9" s="41" customFormat="1">
      <c r="A571" s="46" t="s">
        <v>431</v>
      </c>
      <c r="B571" s="46" t="s">
        <v>431</v>
      </c>
      <c r="C571" s="65">
        <v>1</v>
      </c>
      <c r="D571" s="41" t="s">
        <v>6</v>
      </c>
      <c r="E571"/>
      <c r="F571" s="39"/>
      <c r="G571" s="46" t="s">
        <v>29</v>
      </c>
      <c r="H571" t="s">
        <v>12</v>
      </c>
      <c r="I571" s="39"/>
    </row>
    <row r="572" spans="1:9">
      <c r="A572" t="s">
        <v>212</v>
      </c>
      <c r="B572"/>
      <c r="C572">
        <v>1.7715245298393998</v>
      </c>
      <c r="D572" t="s">
        <v>13</v>
      </c>
      <c r="E572" t="s">
        <v>109</v>
      </c>
      <c r="F572" t="s">
        <v>183</v>
      </c>
      <c r="H572" t="s">
        <v>15</v>
      </c>
    </row>
    <row r="573" spans="1:9">
      <c r="A573" t="s">
        <v>245</v>
      </c>
      <c r="B573"/>
      <c r="C573">
        <v>1.28</v>
      </c>
      <c r="D573" t="s">
        <v>46</v>
      </c>
      <c r="E573" t="s">
        <v>109</v>
      </c>
      <c r="F573" t="s">
        <v>183</v>
      </c>
      <c r="H573" t="s">
        <v>15</v>
      </c>
    </row>
    <row r="574" spans="1:9">
      <c r="A574" t="s">
        <v>246</v>
      </c>
      <c r="B574"/>
      <c r="C574">
        <v>0</v>
      </c>
      <c r="D574" t="s">
        <v>13</v>
      </c>
      <c r="E574" t="s">
        <v>109</v>
      </c>
      <c r="F574" t="s">
        <v>183</v>
      </c>
      <c r="H574" t="s">
        <v>15</v>
      </c>
    </row>
    <row r="575" spans="1:9">
      <c r="A575" t="s">
        <v>184</v>
      </c>
      <c r="B575"/>
      <c r="C575">
        <v>7.0244489999999995E-3</v>
      </c>
      <c r="D575" t="s">
        <v>13</v>
      </c>
      <c r="E575" t="s">
        <v>109</v>
      </c>
      <c r="F575" t="s">
        <v>183</v>
      </c>
      <c r="H575" t="s">
        <v>15</v>
      </c>
    </row>
    <row r="576" spans="1:9">
      <c r="A576" t="s">
        <v>247</v>
      </c>
      <c r="B576"/>
      <c r="C576">
        <v>5.1560000000000002E-2</v>
      </c>
      <c r="D576" t="s">
        <v>13</v>
      </c>
      <c r="E576" t="s">
        <v>109</v>
      </c>
      <c r="F576" t="s">
        <v>25</v>
      </c>
      <c r="H576" t="s">
        <v>15</v>
      </c>
    </row>
    <row r="577" spans="1:9">
      <c r="A577" t="s">
        <v>125</v>
      </c>
      <c r="B577"/>
      <c r="C577">
        <v>6.5989999999999998E-6</v>
      </c>
      <c r="D577" t="s">
        <v>13</v>
      </c>
      <c r="E577" t="s">
        <v>109</v>
      </c>
      <c r="F577" t="s">
        <v>248</v>
      </c>
      <c r="H577" t="s">
        <v>15</v>
      </c>
    </row>
    <row r="578" spans="1:9" s="69" customFormat="1">
      <c r="B578" s="70"/>
    </row>
    <row r="579" spans="1:9">
      <c r="A579" s="39" t="s">
        <v>1</v>
      </c>
      <c r="B579" s="39" t="s">
        <v>257</v>
      </c>
    </row>
    <row r="580" spans="1:9">
      <c r="A580" s="42" t="s">
        <v>11</v>
      </c>
      <c r="B580" s="51"/>
    </row>
    <row r="581" spans="1:9">
      <c r="A581" s="42" t="s">
        <v>2</v>
      </c>
      <c r="B581" t="s">
        <v>29</v>
      </c>
    </row>
    <row r="582" spans="1:9">
      <c r="A582" s="42" t="s">
        <v>3</v>
      </c>
      <c r="B582" s="43">
        <v>1</v>
      </c>
    </row>
    <row r="583" spans="1:9">
      <c r="A583" s="42" t="s">
        <v>4</v>
      </c>
      <c r="B583" t="s">
        <v>244</v>
      </c>
    </row>
    <row r="584" spans="1:9">
      <c r="A584" s="42" t="s">
        <v>6</v>
      </c>
      <c r="B584" t="s">
        <v>128</v>
      </c>
    </row>
    <row r="585" spans="1:9">
      <c r="A585" s="42" t="s">
        <v>76</v>
      </c>
      <c r="B585"/>
    </row>
    <row r="586" spans="1:9" ht="15.75">
      <c r="A586" s="29" t="s">
        <v>7</v>
      </c>
      <c r="B586"/>
    </row>
    <row r="587" spans="1:9" s="42" customFormat="1">
      <c r="A587" s="42" t="s">
        <v>8</v>
      </c>
      <c r="B587" s="42" t="s">
        <v>4</v>
      </c>
      <c r="C587" s="42" t="s">
        <v>9</v>
      </c>
      <c r="D587" s="42" t="s">
        <v>6</v>
      </c>
      <c r="E587" s="42" t="s">
        <v>106</v>
      </c>
      <c r="F587" s="42" t="s">
        <v>10</v>
      </c>
      <c r="G587" s="42" t="s">
        <v>2</v>
      </c>
      <c r="H587" s="42" t="s">
        <v>5</v>
      </c>
      <c r="I587" s="42" t="s">
        <v>11</v>
      </c>
    </row>
    <row r="588" spans="1:9">
      <c r="A588" t="s">
        <v>257</v>
      </c>
      <c r="B588" t="s">
        <v>244</v>
      </c>
      <c r="C588">
        <v>1</v>
      </c>
      <c r="D588" t="s">
        <v>128</v>
      </c>
      <c r="E588" s="46"/>
      <c r="G588" t="s">
        <v>29</v>
      </c>
      <c r="H588" t="s">
        <v>18</v>
      </c>
    </row>
    <row r="589" spans="1:9">
      <c r="A589" t="s">
        <v>249</v>
      </c>
      <c r="B589" t="s">
        <v>250</v>
      </c>
      <c r="C589">
        <v>1.5328461905494623E-4</v>
      </c>
      <c r="D589" t="s">
        <v>13</v>
      </c>
      <c r="E589" t="s">
        <v>205</v>
      </c>
      <c r="G589" t="s">
        <v>140</v>
      </c>
      <c r="H589" t="s">
        <v>12</v>
      </c>
    </row>
    <row r="590" spans="1:9">
      <c r="A590" t="s">
        <v>251</v>
      </c>
      <c r="B590" t="s">
        <v>135</v>
      </c>
      <c r="C590">
        <v>5.4000000000000001E-11</v>
      </c>
      <c r="D590" t="s">
        <v>6</v>
      </c>
      <c r="E590" t="s">
        <v>205</v>
      </c>
      <c r="G590" t="s">
        <v>140</v>
      </c>
      <c r="H590" t="s">
        <v>12</v>
      </c>
    </row>
    <row r="591" spans="1:9">
      <c r="A591" t="s">
        <v>28</v>
      </c>
      <c r="B591" t="s">
        <v>20</v>
      </c>
      <c r="C591">
        <v>0.76289810836538974</v>
      </c>
      <c r="D591" t="s">
        <v>19</v>
      </c>
      <c r="E591" t="s">
        <v>205</v>
      </c>
      <c r="G591" t="s">
        <v>29</v>
      </c>
      <c r="H591" t="s">
        <v>12</v>
      </c>
    </row>
    <row r="592" spans="1:9">
      <c r="A592" t="s">
        <v>179</v>
      </c>
      <c r="B592" t="s">
        <v>180</v>
      </c>
      <c r="C592">
        <v>1.1400000000000001E-4</v>
      </c>
      <c r="D592" t="s">
        <v>13</v>
      </c>
      <c r="E592" t="s">
        <v>205</v>
      </c>
      <c r="G592" t="s">
        <v>49</v>
      </c>
      <c r="H592" t="s">
        <v>12</v>
      </c>
    </row>
    <row r="593" spans="1:9">
      <c r="A593" t="s">
        <v>252</v>
      </c>
      <c r="B593" t="s">
        <v>253</v>
      </c>
      <c r="C593">
        <v>1.01E-4</v>
      </c>
      <c r="D593" t="s">
        <v>13</v>
      </c>
      <c r="E593" t="s">
        <v>205</v>
      </c>
      <c r="G593" t="s">
        <v>140</v>
      </c>
      <c r="H593" t="s">
        <v>12</v>
      </c>
    </row>
    <row r="594" spans="1:9">
      <c r="A594" t="s">
        <v>493</v>
      </c>
      <c r="B594" s="18" t="s">
        <v>195</v>
      </c>
      <c r="C594">
        <v>1.9160577381868278</v>
      </c>
      <c r="D594" s="41" t="s">
        <v>128</v>
      </c>
      <c r="G594" s="46" t="s">
        <v>208</v>
      </c>
      <c r="H594" t="s">
        <v>12</v>
      </c>
    </row>
    <row r="595" spans="1:9" s="41" customFormat="1">
      <c r="A595" s="46" t="s">
        <v>431</v>
      </c>
      <c r="B595" s="46" t="s">
        <v>431</v>
      </c>
      <c r="C595" s="65">
        <v>1</v>
      </c>
      <c r="D595" s="41" t="s">
        <v>6</v>
      </c>
      <c r="E595"/>
      <c r="F595" s="39"/>
      <c r="G595" s="46" t="s">
        <v>29</v>
      </c>
      <c r="H595" t="s">
        <v>12</v>
      </c>
      <c r="I595" s="39"/>
    </row>
    <row r="596" spans="1:9">
      <c r="A596" t="s">
        <v>212</v>
      </c>
      <c r="B596"/>
      <c r="C596">
        <v>1.8288866704275042</v>
      </c>
      <c r="D596" t="s">
        <v>13</v>
      </c>
      <c r="E596" t="s">
        <v>109</v>
      </c>
      <c r="F596" t="s">
        <v>183</v>
      </c>
      <c r="H596" t="s">
        <v>15</v>
      </c>
    </row>
    <row r="597" spans="1:9">
      <c r="A597" t="s">
        <v>245</v>
      </c>
      <c r="B597"/>
      <c r="C597">
        <v>1.28</v>
      </c>
      <c r="D597" t="s">
        <v>46</v>
      </c>
      <c r="E597" t="s">
        <v>109</v>
      </c>
      <c r="F597" t="s">
        <v>183</v>
      </c>
      <c r="H597" t="s">
        <v>15</v>
      </c>
    </row>
    <row r="598" spans="1:9">
      <c r="A598" t="s">
        <v>246</v>
      </c>
      <c r="B598"/>
      <c r="C598">
        <v>0</v>
      </c>
      <c r="D598" t="s">
        <v>13</v>
      </c>
      <c r="E598" t="s">
        <v>109</v>
      </c>
      <c r="F598" t="s">
        <v>183</v>
      </c>
      <c r="H598" t="s">
        <v>15</v>
      </c>
    </row>
    <row r="599" spans="1:9">
      <c r="A599" t="s">
        <v>184</v>
      </c>
      <c r="B599"/>
      <c r="C599">
        <v>7.1053982999999999E-4</v>
      </c>
      <c r="D599" t="s">
        <v>13</v>
      </c>
      <c r="E599" t="s">
        <v>109</v>
      </c>
      <c r="F599" t="s">
        <v>183</v>
      </c>
      <c r="H599" t="s">
        <v>15</v>
      </c>
    </row>
    <row r="600" spans="1:9">
      <c r="A600" t="s">
        <v>247</v>
      </c>
      <c r="B600"/>
      <c r="C600">
        <v>5.1560000000000002E-2</v>
      </c>
      <c r="D600" t="s">
        <v>13</v>
      </c>
      <c r="E600" t="s">
        <v>109</v>
      </c>
      <c r="F600" t="s">
        <v>25</v>
      </c>
      <c r="H600" t="s">
        <v>15</v>
      </c>
    </row>
    <row r="601" spans="1:9">
      <c r="A601" t="s">
        <v>125</v>
      </c>
      <c r="B601"/>
      <c r="C601">
        <v>6.5989999999999998E-6</v>
      </c>
      <c r="D601" t="s">
        <v>13</v>
      </c>
      <c r="E601" t="s">
        <v>109</v>
      </c>
      <c r="F601" t="s">
        <v>248</v>
      </c>
      <c r="H601" t="s">
        <v>15</v>
      </c>
    </row>
    <row r="602" spans="1:9">
      <c r="A602" s="46" t="s">
        <v>38</v>
      </c>
      <c r="B602" s="46" t="s">
        <v>39</v>
      </c>
      <c r="C602" s="52">
        <v>0</v>
      </c>
      <c r="D602" s="46" t="s">
        <v>13</v>
      </c>
      <c r="E602" t="s">
        <v>205</v>
      </c>
      <c r="G602" s="46" t="s">
        <v>22</v>
      </c>
      <c r="H602" t="s">
        <v>12</v>
      </c>
    </row>
    <row r="603" spans="1:9">
      <c r="A603" s="46" t="s">
        <v>258</v>
      </c>
      <c r="B603" s="46" t="s">
        <v>259</v>
      </c>
      <c r="C603">
        <v>1.2300000000000001E-4</v>
      </c>
      <c r="D603" s="46" t="s">
        <v>13</v>
      </c>
      <c r="E603" t="s">
        <v>205</v>
      </c>
      <c r="G603" s="46" t="s">
        <v>140</v>
      </c>
      <c r="H603" t="s">
        <v>12</v>
      </c>
    </row>
    <row r="604" spans="1:9">
      <c r="A604" s="46" t="s">
        <v>260</v>
      </c>
      <c r="B604" s="46" t="s">
        <v>261</v>
      </c>
      <c r="C604">
        <v>6.9700000000000003E-4</v>
      </c>
      <c r="D604" s="46" t="s">
        <v>13</v>
      </c>
      <c r="E604" t="s">
        <v>205</v>
      </c>
      <c r="G604" s="46" t="s">
        <v>140</v>
      </c>
      <c r="H604" t="s">
        <v>12</v>
      </c>
    </row>
    <row r="605" spans="1:9">
      <c r="A605" t="s">
        <v>262</v>
      </c>
      <c r="B605" t="s">
        <v>263</v>
      </c>
      <c r="C605">
        <v>2.6400000000000001E-5</v>
      </c>
      <c r="D605" s="46" t="s">
        <v>13</v>
      </c>
      <c r="E605" t="s">
        <v>205</v>
      </c>
      <c r="G605" s="46" t="s">
        <v>140</v>
      </c>
      <c r="H605" t="s">
        <v>12</v>
      </c>
    </row>
    <row r="606" spans="1:9">
      <c r="A606" s="46" t="s">
        <v>264</v>
      </c>
      <c r="B606" s="47" t="s">
        <v>265</v>
      </c>
      <c r="C606">
        <v>0</v>
      </c>
      <c r="D606" s="46" t="s">
        <v>13</v>
      </c>
      <c r="E606" t="s">
        <v>205</v>
      </c>
      <c r="G606" s="46" t="s">
        <v>140</v>
      </c>
      <c r="H606" t="s">
        <v>12</v>
      </c>
    </row>
    <row r="607" spans="1:9">
      <c r="A607" s="46" t="s">
        <v>266</v>
      </c>
      <c r="B607" s="47" t="s">
        <v>267</v>
      </c>
      <c r="C607">
        <v>9.2899999999999995E-5</v>
      </c>
      <c r="D607" s="46" t="s">
        <v>13</v>
      </c>
      <c r="E607" t="s">
        <v>205</v>
      </c>
      <c r="G607" s="46" t="s">
        <v>140</v>
      </c>
      <c r="H607" t="s">
        <v>12</v>
      </c>
    </row>
    <row r="608" spans="1:9">
      <c r="A608" s="14" t="s">
        <v>268</v>
      </c>
      <c r="B608" s="47"/>
      <c r="C608">
        <v>1.3412404167307795E-2</v>
      </c>
      <c r="D608" s="46" t="s">
        <v>13</v>
      </c>
      <c r="E608" s="46" t="s">
        <v>109</v>
      </c>
      <c r="F608" t="s">
        <v>183</v>
      </c>
      <c r="H608" t="s">
        <v>15</v>
      </c>
    </row>
    <row r="609" spans="1:9">
      <c r="A609" s="14" t="s">
        <v>108</v>
      </c>
      <c r="B609" s="46"/>
      <c r="C609">
        <v>0.35255462382637631</v>
      </c>
      <c r="D609" s="46" t="s">
        <v>13</v>
      </c>
      <c r="E609" s="46" t="s">
        <v>109</v>
      </c>
      <c r="F609" t="s">
        <v>183</v>
      </c>
      <c r="H609" t="s">
        <v>15</v>
      </c>
    </row>
    <row r="610" spans="1:9" s="69" customFormat="1">
      <c r="B610" s="70"/>
    </row>
    <row r="611" spans="1:9">
      <c r="A611" s="39" t="s">
        <v>1</v>
      </c>
      <c r="B611" s="39" t="s">
        <v>270</v>
      </c>
    </row>
    <row r="612" spans="1:9">
      <c r="A612" s="42" t="s">
        <v>11</v>
      </c>
      <c r="B612" s="51"/>
    </row>
    <row r="613" spans="1:9">
      <c r="A613" s="42" t="s">
        <v>2</v>
      </c>
      <c r="B613" t="s">
        <v>29</v>
      </c>
    </row>
    <row r="614" spans="1:9">
      <c r="A614" s="42" t="s">
        <v>3</v>
      </c>
      <c r="B614" s="43">
        <v>1</v>
      </c>
    </row>
    <row r="615" spans="1:9">
      <c r="A615" s="42" t="s">
        <v>4</v>
      </c>
      <c r="B615" t="s">
        <v>244</v>
      </c>
    </row>
    <row r="616" spans="1:9">
      <c r="A616" s="42" t="s">
        <v>6</v>
      </c>
      <c r="B616" t="s">
        <v>128</v>
      </c>
    </row>
    <row r="617" spans="1:9">
      <c r="A617" s="42" t="s">
        <v>76</v>
      </c>
      <c r="B617"/>
    </row>
    <row r="618" spans="1:9" ht="15.75">
      <c r="A618" s="29" t="s">
        <v>7</v>
      </c>
      <c r="B618"/>
    </row>
    <row r="619" spans="1:9" s="42" customFormat="1">
      <c r="A619" s="42" t="s">
        <v>8</v>
      </c>
      <c r="B619" s="42" t="s">
        <v>4</v>
      </c>
      <c r="C619" s="42" t="s">
        <v>9</v>
      </c>
      <c r="D619" s="42" t="s">
        <v>6</v>
      </c>
      <c r="E619" s="42" t="s">
        <v>106</v>
      </c>
      <c r="F619" s="42" t="s">
        <v>10</v>
      </c>
      <c r="G619" s="42" t="s">
        <v>2</v>
      </c>
      <c r="H619" s="42" t="s">
        <v>5</v>
      </c>
      <c r="I619" s="42" t="s">
        <v>11</v>
      </c>
    </row>
    <row r="620" spans="1:9">
      <c r="A620" t="s">
        <v>270</v>
      </c>
      <c r="B620" t="s">
        <v>244</v>
      </c>
      <c r="C620">
        <v>1</v>
      </c>
      <c r="D620" t="s">
        <v>128</v>
      </c>
      <c r="E620" s="46"/>
      <c r="G620" t="s">
        <v>29</v>
      </c>
      <c r="H620" t="s">
        <v>18</v>
      </c>
    </row>
    <row r="621" spans="1:9">
      <c r="A621" t="s">
        <v>249</v>
      </c>
      <c r="B621" t="s">
        <v>250</v>
      </c>
      <c r="C621">
        <v>1.5303868060521681E-4</v>
      </c>
      <c r="D621" t="s">
        <v>13</v>
      </c>
      <c r="E621" t="s">
        <v>205</v>
      </c>
      <c r="G621" t="s">
        <v>140</v>
      </c>
      <c r="H621" t="s">
        <v>12</v>
      </c>
    </row>
    <row r="622" spans="1:9">
      <c r="A622" t="s">
        <v>251</v>
      </c>
      <c r="B622" t="s">
        <v>135</v>
      </c>
      <c r="C622">
        <v>5.4000000000000001E-11</v>
      </c>
      <c r="D622" t="s">
        <v>6</v>
      </c>
      <c r="E622" t="s">
        <v>205</v>
      </c>
      <c r="G622" t="s">
        <v>140</v>
      </c>
      <c r="H622" t="s">
        <v>12</v>
      </c>
    </row>
    <row r="623" spans="1:9">
      <c r="A623" t="s">
        <v>28</v>
      </c>
      <c r="B623" t="s">
        <v>20</v>
      </c>
      <c r="C623">
        <v>0.6343270522695631</v>
      </c>
      <c r="D623" t="s">
        <v>19</v>
      </c>
      <c r="E623" t="s">
        <v>205</v>
      </c>
      <c r="G623" t="s">
        <v>29</v>
      </c>
      <c r="H623" t="s">
        <v>12</v>
      </c>
    </row>
    <row r="624" spans="1:9">
      <c r="A624" t="s">
        <v>179</v>
      </c>
      <c r="B624" t="s">
        <v>180</v>
      </c>
      <c r="C624">
        <v>1.1400000000000001E-4</v>
      </c>
      <c r="D624" t="s">
        <v>13</v>
      </c>
      <c r="E624" t="s">
        <v>205</v>
      </c>
      <c r="G624" t="s">
        <v>49</v>
      </c>
      <c r="H624" t="s">
        <v>12</v>
      </c>
    </row>
    <row r="625" spans="1:9">
      <c r="A625" t="s">
        <v>252</v>
      </c>
      <c r="B625" t="s">
        <v>253</v>
      </c>
      <c r="C625">
        <v>1.01E-4</v>
      </c>
      <c r="D625" t="s">
        <v>13</v>
      </c>
      <c r="E625" t="s">
        <v>205</v>
      </c>
      <c r="G625" t="s">
        <v>140</v>
      </c>
      <c r="H625" t="s">
        <v>12</v>
      </c>
    </row>
    <row r="626" spans="1:9">
      <c r="A626" t="s">
        <v>493</v>
      </c>
      <c r="B626" s="18" t="s">
        <v>195</v>
      </c>
      <c r="C626">
        <v>1.91298350756521</v>
      </c>
      <c r="D626" s="41" t="s">
        <v>128</v>
      </c>
      <c r="G626" s="46" t="s">
        <v>208</v>
      </c>
      <c r="H626" t="s">
        <v>12</v>
      </c>
    </row>
    <row r="627" spans="1:9" s="41" customFormat="1">
      <c r="A627" s="46" t="s">
        <v>431</v>
      </c>
      <c r="B627" s="46" t="s">
        <v>431</v>
      </c>
      <c r="C627" s="65">
        <v>1</v>
      </c>
      <c r="D627" s="41" t="s">
        <v>6</v>
      </c>
      <c r="E627"/>
      <c r="F627" s="39"/>
      <c r="G627" s="46" t="s">
        <v>29</v>
      </c>
      <c r="H627" t="s">
        <v>12</v>
      </c>
      <c r="I627" s="39"/>
    </row>
    <row r="628" spans="1:9">
      <c r="A628" t="s">
        <v>212</v>
      </c>
      <c r="B628"/>
      <c r="C628">
        <v>1.7890643766694927</v>
      </c>
      <c r="D628" t="s">
        <v>13</v>
      </c>
      <c r="E628" t="s">
        <v>109</v>
      </c>
      <c r="F628" t="s">
        <v>183</v>
      </c>
      <c r="H628" t="s">
        <v>15</v>
      </c>
    </row>
    <row r="629" spans="1:9">
      <c r="A629" t="s">
        <v>245</v>
      </c>
      <c r="B629"/>
      <c r="C629">
        <v>1.28</v>
      </c>
      <c r="D629" t="s">
        <v>46</v>
      </c>
      <c r="E629" t="s">
        <v>109</v>
      </c>
      <c r="F629" t="s">
        <v>183</v>
      </c>
      <c r="H629" t="s">
        <v>15</v>
      </c>
    </row>
    <row r="630" spans="1:9">
      <c r="A630" t="s">
        <v>246</v>
      </c>
      <c r="B630"/>
      <c r="C630">
        <v>0</v>
      </c>
      <c r="D630" t="s">
        <v>13</v>
      </c>
      <c r="E630" t="s">
        <v>109</v>
      </c>
      <c r="F630" t="s">
        <v>183</v>
      </c>
      <c r="H630" t="s">
        <v>15</v>
      </c>
    </row>
    <row r="631" spans="1:9">
      <c r="A631" t="s">
        <v>184</v>
      </c>
      <c r="B631"/>
      <c r="C631">
        <v>1.4187996E-2</v>
      </c>
      <c r="D631" t="s">
        <v>13</v>
      </c>
      <c r="E631" t="s">
        <v>109</v>
      </c>
      <c r="F631" t="s">
        <v>183</v>
      </c>
      <c r="H631" t="s">
        <v>15</v>
      </c>
    </row>
    <row r="632" spans="1:9">
      <c r="A632" t="s">
        <v>247</v>
      </c>
      <c r="B632"/>
      <c r="C632">
        <v>5.1560000000000002E-2</v>
      </c>
      <c r="D632" t="s">
        <v>13</v>
      </c>
      <c r="E632" t="s">
        <v>109</v>
      </c>
      <c r="F632" t="s">
        <v>25</v>
      </c>
      <c r="H632" t="s">
        <v>15</v>
      </c>
    </row>
    <row r="633" spans="1:9">
      <c r="A633" t="s">
        <v>125</v>
      </c>
      <c r="B633"/>
      <c r="C633">
        <v>6.5989999999999998E-6</v>
      </c>
      <c r="D633" t="s">
        <v>13</v>
      </c>
      <c r="E633" t="s">
        <v>109</v>
      </c>
      <c r="F633" t="s">
        <v>248</v>
      </c>
      <c r="H633" t="s">
        <v>15</v>
      </c>
    </row>
    <row r="634" spans="1:9">
      <c r="A634" s="46" t="s">
        <v>38</v>
      </c>
      <c r="B634" s="46" t="s">
        <v>39</v>
      </c>
      <c r="C634" s="52">
        <v>0.19129835075652102</v>
      </c>
      <c r="D634" s="46" t="s">
        <v>13</v>
      </c>
      <c r="E634" t="s">
        <v>205</v>
      </c>
      <c r="G634" s="46" t="s">
        <v>22</v>
      </c>
      <c r="H634" t="s">
        <v>12</v>
      </c>
    </row>
    <row r="635" spans="1:9">
      <c r="A635" s="46" t="s">
        <v>258</v>
      </c>
      <c r="B635" s="46" t="s">
        <v>259</v>
      </c>
      <c r="C635">
        <v>0</v>
      </c>
      <c r="D635" s="46" t="s">
        <v>13</v>
      </c>
      <c r="E635" t="s">
        <v>205</v>
      </c>
      <c r="G635" s="46" t="s">
        <v>140</v>
      </c>
      <c r="H635" t="s">
        <v>12</v>
      </c>
    </row>
    <row r="636" spans="1:9">
      <c r="A636" s="46" t="s">
        <v>260</v>
      </c>
      <c r="B636" s="46" t="s">
        <v>261</v>
      </c>
      <c r="C636">
        <v>0</v>
      </c>
      <c r="D636" s="46" t="s">
        <v>13</v>
      </c>
      <c r="E636" t="s">
        <v>205</v>
      </c>
      <c r="G636" s="46" t="s">
        <v>140</v>
      </c>
      <c r="H636" t="s">
        <v>12</v>
      </c>
    </row>
    <row r="637" spans="1:9">
      <c r="A637" t="s">
        <v>262</v>
      </c>
      <c r="B637" t="s">
        <v>263</v>
      </c>
      <c r="C637">
        <v>0</v>
      </c>
      <c r="D637" s="46" t="s">
        <v>13</v>
      </c>
      <c r="E637" t="s">
        <v>205</v>
      </c>
      <c r="G637" s="46" t="s">
        <v>140</v>
      </c>
      <c r="H637" t="s">
        <v>12</v>
      </c>
    </row>
    <row r="638" spans="1:9">
      <c r="A638" s="46" t="s">
        <v>264</v>
      </c>
      <c r="B638" s="47" t="s">
        <v>265</v>
      </c>
      <c r="C638">
        <v>0</v>
      </c>
      <c r="D638" s="46" t="s">
        <v>13</v>
      </c>
      <c r="E638" t="s">
        <v>205</v>
      </c>
      <c r="G638" s="46" t="s">
        <v>140</v>
      </c>
      <c r="H638" t="s">
        <v>12</v>
      </c>
    </row>
    <row r="639" spans="1:9">
      <c r="A639" s="46" t="s">
        <v>266</v>
      </c>
      <c r="B639" s="47" t="s">
        <v>267</v>
      </c>
      <c r="C639">
        <v>0</v>
      </c>
      <c r="D639" s="46" t="s">
        <v>13</v>
      </c>
      <c r="E639" t="s">
        <v>205</v>
      </c>
      <c r="G639" s="46" t="s">
        <v>140</v>
      </c>
      <c r="H639" t="s">
        <v>12</v>
      </c>
    </row>
    <row r="640" spans="1:9">
      <c r="A640" s="14" t="s">
        <v>268</v>
      </c>
      <c r="B640" s="47"/>
      <c r="C640">
        <v>0</v>
      </c>
      <c r="D640" s="46" t="s">
        <v>13</v>
      </c>
      <c r="E640" s="46" t="s">
        <v>109</v>
      </c>
      <c r="F640" t="s">
        <v>183</v>
      </c>
      <c r="H640" t="s">
        <v>15</v>
      </c>
    </row>
    <row r="641" spans="1:9">
      <c r="A641" s="14" t="s">
        <v>108</v>
      </c>
      <c r="B641" s="46"/>
      <c r="C641">
        <v>0</v>
      </c>
      <c r="D641" s="46" t="s">
        <v>13</v>
      </c>
      <c r="E641" s="46" t="s">
        <v>109</v>
      </c>
      <c r="F641" t="s">
        <v>183</v>
      </c>
      <c r="H641" t="s">
        <v>15</v>
      </c>
    </row>
    <row r="642" spans="1:9" s="69" customFormat="1">
      <c r="B642" s="70"/>
    </row>
    <row r="643" spans="1:9">
      <c r="A643" s="39" t="s">
        <v>1</v>
      </c>
      <c r="B643" s="39" t="s">
        <v>271</v>
      </c>
    </row>
    <row r="644" spans="1:9">
      <c r="A644" s="42" t="s">
        <v>11</v>
      </c>
      <c r="B644" s="51"/>
    </row>
    <row r="645" spans="1:9">
      <c r="A645" s="42" t="s">
        <v>2</v>
      </c>
      <c r="B645" t="s">
        <v>29</v>
      </c>
    </row>
    <row r="646" spans="1:9">
      <c r="A646" s="42" t="s">
        <v>3</v>
      </c>
      <c r="B646" s="43">
        <v>1</v>
      </c>
    </row>
    <row r="647" spans="1:9">
      <c r="A647" s="42" t="s">
        <v>4</v>
      </c>
      <c r="B647" t="s">
        <v>244</v>
      </c>
    </row>
    <row r="648" spans="1:9">
      <c r="A648" s="42" t="s">
        <v>6</v>
      </c>
      <c r="B648" t="s">
        <v>128</v>
      </c>
    </row>
    <row r="649" spans="1:9">
      <c r="A649" s="42" t="s">
        <v>76</v>
      </c>
      <c r="B649"/>
    </row>
    <row r="650" spans="1:9" ht="15.75">
      <c r="A650" s="29" t="s">
        <v>7</v>
      </c>
      <c r="B650"/>
    </row>
    <row r="651" spans="1:9" s="42" customFormat="1">
      <c r="A651" s="42" t="s">
        <v>8</v>
      </c>
      <c r="B651" s="42" t="s">
        <v>4</v>
      </c>
      <c r="C651" s="42" t="s">
        <v>9</v>
      </c>
      <c r="D651" s="42" t="s">
        <v>6</v>
      </c>
      <c r="E651" s="42" t="s">
        <v>106</v>
      </c>
      <c r="F651" s="42" t="s">
        <v>10</v>
      </c>
      <c r="G651" s="42" t="s">
        <v>2</v>
      </c>
      <c r="H651" s="42" t="s">
        <v>5</v>
      </c>
      <c r="I651" s="42" t="s">
        <v>11</v>
      </c>
    </row>
    <row r="652" spans="1:9">
      <c r="A652" t="s">
        <v>271</v>
      </c>
      <c r="B652" t="s">
        <v>244</v>
      </c>
      <c r="C652">
        <v>1</v>
      </c>
      <c r="D652" t="s">
        <v>128</v>
      </c>
      <c r="E652" s="46"/>
      <c r="G652" t="s">
        <v>29</v>
      </c>
      <c r="H652" t="s">
        <v>18</v>
      </c>
    </row>
    <row r="653" spans="1:9">
      <c r="A653" t="s">
        <v>249</v>
      </c>
      <c r="B653" t="s">
        <v>250</v>
      </c>
      <c r="C653">
        <v>1.5294587364305477E-4</v>
      </c>
      <c r="D653" t="s">
        <v>13</v>
      </c>
      <c r="E653" t="s">
        <v>205</v>
      </c>
      <c r="G653" t="s">
        <v>140</v>
      </c>
      <c r="H653" t="s">
        <v>12</v>
      </c>
    </row>
    <row r="654" spans="1:9">
      <c r="A654" t="s">
        <v>251</v>
      </c>
      <c r="B654" t="s">
        <v>135</v>
      </c>
      <c r="C654">
        <v>5.4000000000000001E-11</v>
      </c>
      <c r="D654" t="s">
        <v>6</v>
      </c>
      <c r="E654" t="s">
        <v>205</v>
      </c>
      <c r="G654" t="s">
        <v>140</v>
      </c>
      <c r="H654" t="s">
        <v>12</v>
      </c>
    </row>
    <row r="655" spans="1:9">
      <c r="A655" t="s">
        <v>28</v>
      </c>
      <c r="B655" t="s">
        <v>20</v>
      </c>
      <c r="C655">
        <v>0.67679502616145548</v>
      </c>
      <c r="D655" t="s">
        <v>19</v>
      </c>
      <c r="E655" t="s">
        <v>205</v>
      </c>
      <c r="G655" t="s">
        <v>29</v>
      </c>
      <c r="H655" t="s">
        <v>12</v>
      </c>
    </row>
    <row r="656" spans="1:9">
      <c r="A656" t="s">
        <v>179</v>
      </c>
      <c r="B656" t="s">
        <v>180</v>
      </c>
      <c r="C656">
        <v>1.1400000000000001E-4</v>
      </c>
      <c r="D656" t="s">
        <v>13</v>
      </c>
      <c r="E656" t="s">
        <v>205</v>
      </c>
      <c r="G656" t="s">
        <v>49</v>
      </c>
      <c r="H656" t="s">
        <v>12</v>
      </c>
    </row>
    <row r="657" spans="1:9">
      <c r="A657" t="s">
        <v>252</v>
      </c>
      <c r="B657" t="s">
        <v>253</v>
      </c>
      <c r="C657">
        <v>1.01E-4</v>
      </c>
      <c r="D657" t="s">
        <v>13</v>
      </c>
      <c r="E657" t="s">
        <v>205</v>
      </c>
      <c r="G657" t="s">
        <v>140</v>
      </c>
      <c r="H657" t="s">
        <v>12</v>
      </c>
    </row>
    <row r="658" spans="1:9">
      <c r="A658" t="s">
        <v>493</v>
      </c>
      <c r="B658" s="18" t="s">
        <v>195</v>
      </c>
      <c r="C658">
        <v>1.9118234205381845</v>
      </c>
      <c r="D658" s="41" t="s">
        <v>128</v>
      </c>
      <c r="G658" s="46" t="s">
        <v>208</v>
      </c>
      <c r="H658" t="s">
        <v>12</v>
      </c>
    </row>
    <row r="659" spans="1:9" s="41" customFormat="1">
      <c r="A659" s="46" t="s">
        <v>431</v>
      </c>
      <c r="B659" s="46" t="s">
        <v>431</v>
      </c>
      <c r="C659" s="65">
        <v>1</v>
      </c>
      <c r="D659" s="41" t="s">
        <v>6</v>
      </c>
      <c r="E659"/>
      <c r="F659" s="39"/>
      <c r="G659" s="46" t="s">
        <v>29</v>
      </c>
      <c r="H659" t="s">
        <v>12</v>
      </c>
      <c r="I659" s="39"/>
    </row>
    <row r="660" spans="1:9">
      <c r="A660" t="s">
        <v>212</v>
      </c>
      <c r="B660"/>
      <c r="C660">
        <v>1.7695466599821643</v>
      </c>
      <c r="D660" t="s">
        <v>13</v>
      </c>
      <c r="E660" t="s">
        <v>109</v>
      </c>
      <c r="F660" t="s">
        <v>183</v>
      </c>
      <c r="H660" t="s">
        <v>15</v>
      </c>
    </row>
    <row r="661" spans="1:9">
      <c r="A661" t="s">
        <v>245</v>
      </c>
      <c r="B661"/>
      <c r="C661">
        <v>1.28</v>
      </c>
      <c r="D661" t="s">
        <v>46</v>
      </c>
      <c r="E661" t="s">
        <v>109</v>
      </c>
      <c r="F661" t="s">
        <v>183</v>
      </c>
      <c r="H661" t="s">
        <v>15</v>
      </c>
    </row>
    <row r="662" spans="1:9">
      <c r="A662" t="s">
        <v>246</v>
      </c>
      <c r="B662"/>
      <c r="C662">
        <v>0</v>
      </c>
      <c r="D662" t="s">
        <v>13</v>
      </c>
      <c r="E662" t="s">
        <v>109</v>
      </c>
      <c r="F662" t="s">
        <v>183</v>
      </c>
      <c r="H662" t="s">
        <v>15</v>
      </c>
    </row>
    <row r="663" spans="1:9">
      <c r="A663" t="s">
        <v>184</v>
      </c>
      <c r="B663"/>
      <c r="C663">
        <v>2.1269088000000002E-2</v>
      </c>
      <c r="D663" t="s">
        <v>13</v>
      </c>
      <c r="E663" t="s">
        <v>109</v>
      </c>
      <c r="F663" t="s">
        <v>183</v>
      </c>
      <c r="H663" t="s">
        <v>15</v>
      </c>
    </row>
    <row r="664" spans="1:9">
      <c r="A664" t="s">
        <v>247</v>
      </c>
      <c r="B664"/>
      <c r="C664">
        <v>5.1560000000000002E-2</v>
      </c>
      <c r="D664" t="s">
        <v>13</v>
      </c>
      <c r="E664" t="s">
        <v>109</v>
      </c>
      <c r="F664" t="s">
        <v>25</v>
      </c>
      <c r="H664" t="s">
        <v>15</v>
      </c>
    </row>
    <row r="665" spans="1:9">
      <c r="A665" t="s">
        <v>125</v>
      </c>
      <c r="B665"/>
      <c r="C665">
        <v>6.5989999999999998E-6</v>
      </c>
      <c r="D665" t="s">
        <v>13</v>
      </c>
      <c r="E665" t="s">
        <v>109</v>
      </c>
      <c r="F665" t="s">
        <v>248</v>
      </c>
      <c r="H665" t="s">
        <v>15</v>
      </c>
    </row>
    <row r="666" spans="1:9">
      <c r="A666" s="46" t="s">
        <v>38</v>
      </c>
      <c r="B666" s="46" t="s">
        <v>39</v>
      </c>
      <c r="C666" s="53">
        <v>0</v>
      </c>
      <c r="D666" s="46" t="s">
        <v>13</v>
      </c>
      <c r="E666" t="s">
        <v>205</v>
      </c>
      <c r="G666" s="46" t="s">
        <v>22</v>
      </c>
      <c r="H666" t="s">
        <v>12</v>
      </c>
    </row>
    <row r="667" spans="1:9">
      <c r="A667" s="46" t="s">
        <v>258</v>
      </c>
      <c r="B667" s="46" t="s">
        <v>259</v>
      </c>
      <c r="C667">
        <v>2.0799999999999999E-4</v>
      </c>
      <c r="D667" s="46" t="s">
        <v>13</v>
      </c>
      <c r="E667" t="s">
        <v>205</v>
      </c>
      <c r="G667" s="46" t="s">
        <v>140</v>
      </c>
      <c r="H667" t="s">
        <v>12</v>
      </c>
    </row>
    <row r="668" spans="1:9">
      <c r="A668" s="46" t="s">
        <v>260</v>
      </c>
      <c r="B668" s="46" t="s">
        <v>261</v>
      </c>
      <c r="C668">
        <v>0</v>
      </c>
      <c r="D668" s="46" t="s">
        <v>13</v>
      </c>
      <c r="E668" t="s">
        <v>205</v>
      </c>
      <c r="G668" s="46" t="s">
        <v>140</v>
      </c>
      <c r="H668" t="s">
        <v>12</v>
      </c>
    </row>
    <row r="669" spans="1:9">
      <c r="A669" t="s">
        <v>262</v>
      </c>
      <c r="B669" t="s">
        <v>263</v>
      </c>
      <c r="C669">
        <v>3.98E-6</v>
      </c>
      <c r="D669" s="46" t="s">
        <v>13</v>
      </c>
      <c r="E669" t="s">
        <v>205</v>
      </c>
      <c r="G669" s="46" t="s">
        <v>140</v>
      </c>
      <c r="H669" t="s">
        <v>12</v>
      </c>
    </row>
    <row r="670" spans="1:9">
      <c r="A670" s="46" t="s">
        <v>264</v>
      </c>
      <c r="B670" s="47" t="s">
        <v>265</v>
      </c>
      <c r="C670">
        <v>0</v>
      </c>
      <c r="D670" s="46" t="s">
        <v>13</v>
      </c>
      <c r="E670" t="s">
        <v>205</v>
      </c>
      <c r="G670" s="46" t="s">
        <v>140</v>
      </c>
      <c r="H670" t="s">
        <v>12</v>
      </c>
    </row>
    <row r="671" spans="1:9">
      <c r="A671" s="46" t="s">
        <v>266</v>
      </c>
      <c r="B671" s="47" t="s">
        <v>267</v>
      </c>
      <c r="C671">
        <v>0</v>
      </c>
      <c r="D671" s="46" t="s">
        <v>13</v>
      </c>
      <c r="E671" t="s">
        <v>205</v>
      </c>
      <c r="G671" s="46" t="s">
        <v>140</v>
      </c>
      <c r="H671" t="s">
        <v>12</v>
      </c>
    </row>
    <row r="672" spans="1:9">
      <c r="A672" s="14" t="s">
        <v>268</v>
      </c>
      <c r="B672" s="47"/>
      <c r="C672">
        <v>0</v>
      </c>
      <c r="D672" s="46" t="s">
        <v>13</v>
      </c>
      <c r="E672" s="46" t="s">
        <v>109</v>
      </c>
      <c r="F672" t="s">
        <v>183</v>
      </c>
      <c r="H672" t="s">
        <v>15</v>
      </c>
    </row>
    <row r="673" spans="1:9">
      <c r="A673" s="14" t="s">
        <v>108</v>
      </c>
      <c r="B673" s="46"/>
      <c r="C673">
        <v>0</v>
      </c>
      <c r="D673" s="46" t="s">
        <v>13</v>
      </c>
      <c r="E673" s="46" t="s">
        <v>109</v>
      </c>
      <c r="F673" t="s">
        <v>183</v>
      </c>
      <c r="H673" t="s">
        <v>15</v>
      </c>
    </row>
    <row r="674" spans="1:9" s="69" customFormat="1">
      <c r="B674" s="70"/>
    </row>
    <row r="675" spans="1:9">
      <c r="A675" s="39" t="s">
        <v>1</v>
      </c>
      <c r="B675" s="39" t="s">
        <v>272</v>
      </c>
    </row>
    <row r="676" spans="1:9">
      <c r="A676" s="42" t="s">
        <v>11</v>
      </c>
      <c r="B676" s="51"/>
    </row>
    <row r="677" spans="1:9">
      <c r="A677" s="42" t="s">
        <v>2</v>
      </c>
      <c r="B677" t="s">
        <v>29</v>
      </c>
    </row>
    <row r="678" spans="1:9">
      <c r="A678" s="42" t="s">
        <v>3</v>
      </c>
      <c r="B678" s="43">
        <v>1</v>
      </c>
    </row>
    <row r="679" spans="1:9">
      <c r="A679" s="42" t="s">
        <v>4</v>
      </c>
      <c r="B679" t="s">
        <v>244</v>
      </c>
    </row>
    <row r="680" spans="1:9">
      <c r="A680" s="42" t="s">
        <v>6</v>
      </c>
      <c r="B680" t="s">
        <v>128</v>
      </c>
    </row>
    <row r="681" spans="1:9">
      <c r="A681" s="42" t="s">
        <v>76</v>
      </c>
      <c r="B681"/>
    </row>
    <row r="682" spans="1:9" ht="15.75">
      <c r="A682" s="29" t="s">
        <v>7</v>
      </c>
      <c r="B682"/>
    </row>
    <row r="683" spans="1:9">
      <c r="A683" s="42" t="s">
        <v>8</v>
      </c>
      <c r="B683" s="42" t="s">
        <v>4</v>
      </c>
      <c r="C683" s="42" t="s">
        <v>9</v>
      </c>
      <c r="D683" s="42" t="s">
        <v>6</v>
      </c>
      <c r="E683" s="42" t="s">
        <v>106</v>
      </c>
      <c r="F683" s="42" t="s">
        <v>10</v>
      </c>
      <c r="G683" s="42" t="s">
        <v>2</v>
      </c>
      <c r="H683" s="42" t="s">
        <v>5</v>
      </c>
      <c r="I683" s="42" t="s">
        <v>11</v>
      </c>
    </row>
    <row r="684" spans="1:9">
      <c r="A684" t="s">
        <v>272</v>
      </c>
      <c r="B684" t="s">
        <v>244</v>
      </c>
      <c r="C684">
        <v>1</v>
      </c>
      <c r="D684" t="s">
        <v>128</v>
      </c>
      <c r="E684" s="46"/>
      <c r="G684" t="s">
        <v>29</v>
      </c>
      <c r="H684" t="s">
        <v>18</v>
      </c>
    </row>
    <row r="685" spans="1:9">
      <c r="A685" t="s">
        <v>249</v>
      </c>
      <c r="B685" t="s">
        <v>250</v>
      </c>
      <c r="C685">
        <v>1.5029864785434452E-4</v>
      </c>
      <c r="D685" t="s">
        <v>13</v>
      </c>
      <c r="E685" t="s">
        <v>205</v>
      </c>
      <c r="G685" t="s">
        <v>140</v>
      </c>
      <c r="H685" t="s">
        <v>12</v>
      </c>
    </row>
    <row r="686" spans="1:9">
      <c r="A686" t="s">
        <v>251</v>
      </c>
      <c r="B686" t="s">
        <v>135</v>
      </c>
      <c r="C686">
        <v>0</v>
      </c>
      <c r="D686" t="s">
        <v>6</v>
      </c>
      <c r="E686" t="s">
        <v>205</v>
      </c>
      <c r="G686" t="s">
        <v>140</v>
      </c>
      <c r="H686" t="s">
        <v>12</v>
      </c>
    </row>
    <row r="687" spans="1:9">
      <c r="A687" t="s">
        <v>28</v>
      </c>
      <c r="B687" t="s">
        <v>20</v>
      </c>
      <c r="C687">
        <v>0.6575565843627571</v>
      </c>
      <c r="D687" t="s">
        <v>19</v>
      </c>
      <c r="E687" t="s">
        <v>205</v>
      </c>
      <c r="G687" t="s">
        <v>29</v>
      </c>
      <c r="H687" t="s">
        <v>12</v>
      </c>
    </row>
    <row r="688" spans="1:9">
      <c r="A688" t="s">
        <v>179</v>
      </c>
      <c r="B688" t="s">
        <v>180</v>
      </c>
      <c r="C688">
        <v>0</v>
      </c>
      <c r="D688" t="s">
        <v>13</v>
      </c>
      <c r="E688" t="s">
        <v>205</v>
      </c>
      <c r="G688" t="s">
        <v>49</v>
      </c>
      <c r="H688" t="s">
        <v>12</v>
      </c>
    </row>
    <row r="689" spans="1:9">
      <c r="A689" t="s">
        <v>252</v>
      </c>
      <c r="B689" t="s">
        <v>253</v>
      </c>
      <c r="C689">
        <v>0</v>
      </c>
      <c r="D689" t="s">
        <v>13</v>
      </c>
      <c r="E689" t="s">
        <v>205</v>
      </c>
      <c r="G689" t="s">
        <v>140</v>
      </c>
      <c r="H689" t="s">
        <v>12</v>
      </c>
    </row>
    <row r="690" spans="1:9">
      <c r="A690" t="s">
        <v>493</v>
      </c>
      <c r="B690" s="18" t="s">
        <v>195</v>
      </c>
      <c r="C690">
        <v>1.8787330981793062</v>
      </c>
      <c r="D690" s="41" t="s">
        <v>128</v>
      </c>
      <c r="G690" s="46" t="s">
        <v>208</v>
      </c>
      <c r="H690" t="s">
        <v>12</v>
      </c>
    </row>
    <row r="691" spans="1:9" s="41" customFormat="1">
      <c r="A691" s="46" t="s">
        <v>431</v>
      </c>
      <c r="B691" s="46" t="s">
        <v>431</v>
      </c>
      <c r="C691" s="65">
        <v>1</v>
      </c>
      <c r="D691" s="41" t="s">
        <v>6</v>
      </c>
      <c r="E691"/>
      <c r="F691" s="39"/>
      <c r="G691" s="46" t="s">
        <v>29</v>
      </c>
      <c r="H691" t="s">
        <v>12</v>
      </c>
      <c r="I691" s="39"/>
    </row>
    <row r="692" spans="1:9">
      <c r="A692" t="s">
        <v>212</v>
      </c>
      <c r="B692"/>
      <c r="C692">
        <v>1.7592062868727893</v>
      </c>
      <c r="D692" t="s">
        <v>13</v>
      </c>
      <c r="E692" t="s">
        <v>109</v>
      </c>
      <c r="F692" t="s">
        <v>183</v>
      </c>
      <c r="H692" t="s">
        <v>15</v>
      </c>
    </row>
    <row r="693" spans="1:9">
      <c r="A693" t="s">
        <v>245</v>
      </c>
      <c r="B693"/>
      <c r="C693">
        <v>0</v>
      </c>
      <c r="D693" t="s">
        <v>46</v>
      </c>
      <c r="E693" t="s">
        <v>109</v>
      </c>
      <c r="F693" t="s">
        <v>183</v>
      </c>
      <c r="H693" t="s">
        <v>15</v>
      </c>
    </row>
    <row r="694" spans="1:9">
      <c r="A694" t="s">
        <v>246</v>
      </c>
      <c r="B694"/>
      <c r="C694">
        <v>0</v>
      </c>
      <c r="D694" t="s">
        <v>13</v>
      </c>
      <c r="E694" t="s">
        <v>109</v>
      </c>
      <c r="F694" t="s">
        <v>183</v>
      </c>
      <c r="H694" t="s">
        <v>15</v>
      </c>
    </row>
    <row r="695" spans="1:9">
      <c r="A695" t="s">
        <v>184</v>
      </c>
      <c r="B695"/>
      <c r="C695">
        <v>3.4834928759999994E-4</v>
      </c>
      <c r="D695" t="s">
        <v>13</v>
      </c>
      <c r="E695" t="s">
        <v>109</v>
      </c>
      <c r="F695" t="s">
        <v>183</v>
      </c>
      <c r="H695" t="s">
        <v>15</v>
      </c>
    </row>
    <row r="696" spans="1:9">
      <c r="A696" t="s">
        <v>247</v>
      </c>
      <c r="B696"/>
      <c r="C696">
        <v>0</v>
      </c>
      <c r="D696" t="s">
        <v>13</v>
      </c>
      <c r="E696" t="s">
        <v>109</v>
      </c>
      <c r="F696" t="s">
        <v>25</v>
      </c>
      <c r="H696" t="s">
        <v>15</v>
      </c>
    </row>
    <row r="697" spans="1:9">
      <c r="A697" t="s">
        <v>125</v>
      </c>
      <c r="B697"/>
      <c r="C697">
        <v>0</v>
      </c>
      <c r="D697" t="s">
        <v>13</v>
      </c>
      <c r="E697" t="s">
        <v>109</v>
      </c>
      <c r="F697" t="s">
        <v>248</v>
      </c>
      <c r="H697" t="s">
        <v>15</v>
      </c>
    </row>
    <row r="698" spans="1:9">
      <c r="A698" s="46" t="s">
        <v>38</v>
      </c>
      <c r="B698" s="46" t="s">
        <v>39</v>
      </c>
      <c r="C698" s="53">
        <v>0</v>
      </c>
      <c r="D698" s="46" t="s">
        <v>13</v>
      </c>
      <c r="E698" t="s">
        <v>205</v>
      </c>
      <c r="G698" s="46" t="s">
        <v>22</v>
      </c>
      <c r="H698" t="s">
        <v>12</v>
      </c>
    </row>
    <row r="699" spans="1:9">
      <c r="A699" s="46" t="s">
        <v>258</v>
      </c>
      <c r="B699" s="46" t="s">
        <v>259</v>
      </c>
      <c r="C699">
        <v>0</v>
      </c>
      <c r="D699" s="46" t="s">
        <v>13</v>
      </c>
      <c r="E699" t="s">
        <v>205</v>
      </c>
      <c r="G699" s="46" t="s">
        <v>140</v>
      </c>
      <c r="H699" t="s">
        <v>12</v>
      </c>
    </row>
    <row r="700" spans="1:9">
      <c r="A700" s="46" t="s">
        <v>260</v>
      </c>
      <c r="B700" s="46" t="s">
        <v>261</v>
      </c>
      <c r="C700">
        <v>0</v>
      </c>
      <c r="D700" s="46" t="s">
        <v>13</v>
      </c>
      <c r="E700" t="s">
        <v>205</v>
      </c>
      <c r="G700" s="46" t="s">
        <v>140</v>
      </c>
      <c r="H700" t="s">
        <v>12</v>
      </c>
    </row>
    <row r="701" spans="1:9">
      <c r="A701" t="s">
        <v>262</v>
      </c>
      <c r="B701" t="s">
        <v>263</v>
      </c>
      <c r="C701">
        <v>0</v>
      </c>
      <c r="D701" s="46" t="s">
        <v>13</v>
      </c>
      <c r="E701" t="s">
        <v>205</v>
      </c>
      <c r="G701" s="46" t="s">
        <v>140</v>
      </c>
      <c r="H701" t="s">
        <v>12</v>
      </c>
    </row>
    <row r="702" spans="1:9">
      <c r="A702" s="46" t="s">
        <v>264</v>
      </c>
      <c r="B702" s="47" t="s">
        <v>265</v>
      </c>
      <c r="C702">
        <v>0</v>
      </c>
      <c r="D702" s="46" t="s">
        <v>13</v>
      </c>
      <c r="E702" t="s">
        <v>205</v>
      </c>
      <c r="G702" s="46" t="s">
        <v>140</v>
      </c>
      <c r="H702" t="s">
        <v>12</v>
      </c>
    </row>
    <row r="703" spans="1:9">
      <c r="A703" s="46" t="s">
        <v>266</v>
      </c>
      <c r="B703" s="47" t="s">
        <v>267</v>
      </c>
      <c r="C703">
        <v>0</v>
      </c>
      <c r="D703" s="46" t="s">
        <v>13</v>
      </c>
      <c r="E703" t="s">
        <v>205</v>
      </c>
      <c r="G703" s="46" t="s">
        <v>140</v>
      </c>
      <c r="H703" t="s">
        <v>12</v>
      </c>
    </row>
    <row r="704" spans="1:9">
      <c r="A704" s="14" t="s">
        <v>268</v>
      </c>
      <c r="B704" s="47"/>
      <c r="C704">
        <v>0</v>
      </c>
      <c r="D704" s="46" t="s">
        <v>13</v>
      </c>
      <c r="E704" s="46" t="s">
        <v>109</v>
      </c>
      <c r="F704" t="s">
        <v>183</v>
      </c>
      <c r="H704" t="s">
        <v>15</v>
      </c>
    </row>
    <row r="705" spans="1:9">
      <c r="A705" s="14" t="s">
        <v>108</v>
      </c>
      <c r="B705" s="46"/>
      <c r="C705">
        <v>0</v>
      </c>
      <c r="D705" s="46" t="s">
        <v>13</v>
      </c>
      <c r="E705" s="46" t="s">
        <v>109</v>
      </c>
      <c r="F705" t="s">
        <v>183</v>
      </c>
      <c r="H705" t="s">
        <v>15</v>
      </c>
    </row>
    <row r="706" spans="1:9" s="69" customFormat="1">
      <c r="B706" s="70"/>
    </row>
    <row r="707" spans="1:9">
      <c r="A707" s="39" t="s">
        <v>1</v>
      </c>
      <c r="B707" s="39" t="s">
        <v>420</v>
      </c>
    </row>
    <row r="708" spans="1:9">
      <c r="A708" s="42" t="s">
        <v>11</v>
      </c>
      <c r="B708" s="51"/>
    </row>
    <row r="709" spans="1:9">
      <c r="A709" s="42" t="s">
        <v>2</v>
      </c>
      <c r="B709" t="s">
        <v>29</v>
      </c>
    </row>
    <row r="710" spans="1:9">
      <c r="A710" s="42" t="s">
        <v>3</v>
      </c>
      <c r="B710" s="43">
        <v>1</v>
      </c>
    </row>
    <row r="711" spans="1:9">
      <c r="A711" s="42" t="s">
        <v>4</v>
      </c>
      <c r="B711" t="s">
        <v>244</v>
      </c>
    </row>
    <row r="712" spans="1:9">
      <c r="A712" s="42" t="s">
        <v>6</v>
      </c>
      <c r="B712" t="s">
        <v>128</v>
      </c>
    </row>
    <row r="713" spans="1:9">
      <c r="A713" s="42" t="s">
        <v>76</v>
      </c>
      <c r="B713"/>
    </row>
    <row r="714" spans="1:9" ht="15.75">
      <c r="A714" s="29" t="s">
        <v>7</v>
      </c>
      <c r="B714"/>
    </row>
    <row r="715" spans="1:9" s="42" customFormat="1">
      <c r="A715" s="42" t="s">
        <v>8</v>
      </c>
      <c r="B715" s="42" t="s">
        <v>4</v>
      </c>
      <c r="C715" s="42" t="s">
        <v>9</v>
      </c>
      <c r="D715" s="42" t="s">
        <v>6</v>
      </c>
      <c r="E715" s="42" t="s">
        <v>106</v>
      </c>
      <c r="F715" s="42" t="s">
        <v>10</v>
      </c>
      <c r="G715" s="42" t="s">
        <v>2</v>
      </c>
      <c r="H715" s="42" t="s">
        <v>5</v>
      </c>
      <c r="I715" s="42" t="s">
        <v>11</v>
      </c>
    </row>
    <row r="716" spans="1:9">
      <c r="A716" t="s">
        <v>420</v>
      </c>
      <c r="B716" t="s">
        <v>244</v>
      </c>
      <c r="C716">
        <v>1</v>
      </c>
      <c r="D716" t="s">
        <v>128</v>
      </c>
      <c r="E716" s="46"/>
      <c r="G716" t="s">
        <v>29</v>
      </c>
      <c r="H716" t="s">
        <v>18</v>
      </c>
    </row>
    <row r="717" spans="1:9">
      <c r="A717" t="s">
        <v>249</v>
      </c>
      <c r="B717" t="s">
        <v>250</v>
      </c>
      <c r="C717">
        <v>1.5153830138359706E-4</v>
      </c>
      <c r="D717" t="s">
        <v>13</v>
      </c>
      <c r="E717" t="s">
        <v>205</v>
      </c>
      <c r="G717" t="s">
        <v>140</v>
      </c>
      <c r="H717" t="s">
        <v>12</v>
      </c>
    </row>
    <row r="718" spans="1:9">
      <c r="A718" t="s">
        <v>251</v>
      </c>
      <c r="B718" t="s">
        <v>135</v>
      </c>
      <c r="C718">
        <v>5.4000000000000001E-11</v>
      </c>
      <c r="D718" t="s">
        <v>6</v>
      </c>
      <c r="E718" t="s">
        <v>205</v>
      </c>
      <c r="G718" t="s">
        <v>140</v>
      </c>
      <c r="H718" t="s">
        <v>12</v>
      </c>
    </row>
    <row r="719" spans="1:9">
      <c r="A719" t="s">
        <v>28</v>
      </c>
      <c r="B719" t="s">
        <v>20</v>
      </c>
      <c r="C719" s="38">
        <v>0.9818888836474815</v>
      </c>
      <c r="D719" t="s">
        <v>19</v>
      </c>
      <c r="E719" t="s">
        <v>205</v>
      </c>
      <c r="G719" t="s">
        <v>29</v>
      </c>
      <c r="H719" t="s">
        <v>12</v>
      </c>
    </row>
    <row r="720" spans="1:9">
      <c r="A720" t="s">
        <v>179</v>
      </c>
      <c r="B720" t="s">
        <v>180</v>
      </c>
      <c r="C720">
        <v>1.1400000000000001E-4</v>
      </c>
      <c r="D720" t="s">
        <v>13</v>
      </c>
      <c r="E720" t="s">
        <v>205</v>
      </c>
      <c r="G720" t="s">
        <v>49</v>
      </c>
      <c r="H720" t="s">
        <v>12</v>
      </c>
    </row>
    <row r="721" spans="1:9">
      <c r="A721" t="s">
        <v>252</v>
      </c>
      <c r="B721" t="s">
        <v>253</v>
      </c>
      <c r="C721">
        <v>1.01E-4</v>
      </c>
      <c r="D721" t="s">
        <v>13</v>
      </c>
      <c r="E721" t="s">
        <v>205</v>
      </c>
      <c r="G721" t="s">
        <v>140</v>
      </c>
      <c r="H721" t="s">
        <v>12</v>
      </c>
    </row>
    <row r="722" spans="1:9">
      <c r="A722" t="s">
        <v>493</v>
      </c>
      <c r="B722" s="18" t="s">
        <v>195</v>
      </c>
      <c r="C722">
        <v>1.8942287672949629</v>
      </c>
      <c r="D722" s="41" t="s">
        <v>128</v>
      </c>
      <c r="G722" s="46" t="s">
        <v>208</v>
      </c>
      <c r="H722" t="s">
        <v>12</v>
      </c>
    </row>
    <row r="723" spans="1:9" s="41" customFormat="1">
      <c r="A723" s="46" t="s">
        <v>431</v>
      </c>
      <c r="B723" s="46" t="s">
        <v>431</v>
      </c>
      <c r="C723" s="65">
        <v>1</v>
      </c>
      <c r="D723" s="41" t="s">
        <v>6</v>
      </c>
      <c r="E723"/>
      <c r="F723" s="39"/>
      <c r="G723" s="46" t="s">
        <v>29</v>
      </c>
      <c r="H723" t="s">
        <v>12</v>
      </c>
      <c r="I723" s="39"/>
    </row>
    <row r="724" spans="1:9">
      <c r="A724" t="s">
        <v>212</v>
      </c>
      <c r="B724"/>
      <c r="C724">
        <v>1.826313948288041E-2</v>
      </c>
      <c r="D724" t="s">
        <v>13</v>
      </c>
      <c r="E724" t="s">
        <v>109</v>
      </c>
      <c r="F724" t="s">
        <v>183</v>
      </c>
      <c r="H724" t="s">
        <v>15</v>
      </c>
    </row>
    <row r="725" spans="1:9">
      <c r="A725" t="s">
        <v>245</v>
      </c>
      <c r="B725"/>
      <c r="C725">
        <v>1.28</v>
      </c>
      <c r="D725" t="s">
        <v>46</v>
      </c>
      <c r="E725" t="s">
        <v>109</v>
      </c>
      <c r="F725" t="s">
        <v>183</v>
      </c>
      <c r="H725" t="s">
        <v>15</v>
      </c>
    </row>
    <row r="726" spans="1:9">
      <c r="A726" t="s">
        <v>246</v>
      </c>
      <c r="B726"/>
      <c r="C726">
        <v>0</v>
      </c>
      <c r="D726" t="s">
        <v>13</v>
      </c>
      <c r="E726" t="s">
        <v>109</v>
      </c>
      <c r="F726" t="s">
        <v>183</v>
      </c>
      <c r="H726" t="s">
        <v>15</v>
      </c>
    </row>
    <row r="727" spans="1:9">
      <c r="A727" t="s">
        <v>184</v>
      </c>
      <c r="B727"/>
      <c r="C727">
        <v>7.0244489999999995E-3</v>
      </c>
      <c r="D727" t="s">
        <v>13</v>
      </c>
      <c r="E727" t="s">
        <v>109</v>
      </c>
      <c r="F727" t="s">
        <v>183</v>
      </c>
      <c r="H727" t="s">
        <v>15</v>
      </c>
    </row>
    <row r="728" spans="1:9">
      <c r="A728" t="s">
        <v>247</v>
      </c>
      <c r="B728"/>
      <c r="C728">
        <v>5.1560000000000002E-2</v>
      </c>
      <c r="D728" t="s">
        <v>13</v>
      </c>
      <c r="E728" t="s">
        <v>109</v>
      </c>
      <c r="F728" t="s">
        <v>25</v>
      </c>
      <c r="H728" t="s">
        <v>15</v>
      </c>
    </row>
    <row r="729" spans="1:9">
      <c r="A729" t="s">
        <v>125</v>
      </c>
      <c r="B729"/>
      <c r="C729">
        <v>6.5989999999999998E-6</v>
      </c>
      <c r="D729" t="s">
        <v>13</v>
      </c>
      <c r="E729" t="s">
        <v>109</v>
      </c>
      <c r="F729" t="s">
        <v>248</v>
      </c>
      <c r="H729" t="s">
        <v>15</v>
      </c>
    </row>
    <row r="730" spans="1:9" s="69" customFormat="1">
      <c r="B730" s="70"/>
    </row>
    <row r="731" spans="1:9">
      <c r="A731" s="39" t="s">
        <v>1</v>
      </c>
      <c r="B731" s="39" t="s">
        <v>421</v>
      </c>
    </row>
    <row r="732" spans="1:9">
      <c r="A732" s="42" t="s">
        <v>11</v>
      </c>
      <c r="B732" s="51"/>
    </row>
    <row r="733" spans="1:9">
      <c r="A733" s="42" t="s">
        <v>2</v>
      </c>
      <c r="B733" t="s">
        <v>29</v>
      </c>
    </row>
    <row r="734" spans="1:9">
      <c r="A734" s="42" t="s">
        <v>3</v>
      </c>
      <c r="B734" s="43">
        <v>1</v>
      </c>
    </row>
    <row r="735" spans="1:9">
      <c r="A735" s="42" t="s">
        <v>4</v>
      </c>
      <c r="B735" t="s">
        <v>244</v>
      </c>
    </row>
    <row r="736" spans="1:9">
      <c r="A736" s="42" t="s">
        <v>6</v>
      </c>
      <c r="B736" t="s">
        <v>128</v>
      </c>
    </row>
    <row r="737" spans="1:9">
      <c r="A737" s="42" t="s">
        <v>76</v>
      </c>
      <c r="B737"/>
    </row>
    <row r="738" spans="1:9" ht="15.75">
      <c r="A738" s="29" t="s">
        <v>7</v>
      </c>
      <c r="B738"/>
    </row>
    <row r="739" spans="1:9" s="42" customFormat="1">
      <c r="A739" s="42" t="s">
        <v>8</v>
      </c>
      <c r="B739" s="42" t="s">
        <v>4</v>
      </c>
      <c r="C739" s="42" t="s">
        <v>9</v>
      </c>
      <c r="D739" s="42" t="s">
        <v>6</v>
      </c>
      <c r="E739" s="42" t="s">
        <v>106</v>
      </c>
      <c r="F739" s="42" t="s">
        <v>10</v>
      </c>
      <c r="G739" s="42" t="s">
        <v>2</v>
      </c>
      <c r="H739" s="42" t="s">
        <v>5</v>
      </c>
      <c r="I739" s="42" t="s">
        <v>11</v>
      </c>
    </row>
    <row r="740" spans="1:9">
      <c r="A740" t="s">
        <v>421</v>
      </c>
      <c r="B740" t="s">
        <v>244</v>
      </c>
      <c r="C740">
        <v>1</v>
      </c>
      <c r="D740" t="s">
        <v>128</v>
      </c>
      <c r="E740" s="46"/>
      <c r="G740" t="s">
        <v>29</v>
      </c>
      <c r="H740" t="s">
        <v>18</v>
      </c>
    </row>
    <row r="741" spans="1:9">
      <c r="A741" t="s">
        <v>249</v>
      </c>
      <c r="B741" t="s">
        <v>250</v>
      </c>
      <c r="C741">
        <v>1.5328461905494623E-4</v>
      </c>
      <c r="D741" t="s">
        <v>13</v>
      </c>
      <c r="E741" t="s">
        <v>205</v>
      </c>
      <c r="G741" t="s">
        <v>140</v>
      </c>
      <c r="H741" t="s">
        <v>12</v>
      </c>
    </row>
    <row r="742" spans="1:9">
      <c r="A742" t="s">
        <v>251</v>
      </c>
      <c r="B742" t="s">
        <v>135</v>
      </c>
      <c r="C742">
        <v>5.4000000000000001E-11</v>
      </c>
      <c r="D742" t="s">
        <v>6</v>
      </c>
      <c r="E742" t="s">
        <v>205</v>
      </c>
      <c r="G742" t="s">
        <v>140</v>
      </c>
      <c r="H742" t="s">
        <v>12</v>
      </c>
    </row>
    <row r="743" spans="1:9">
      <c r="A743" t="s">
        <v>28</v>
      </c>
      <c r="B743" t="s">
        <v>20</v>
      </c>
      <c r="C743" s="38">
        <v>0.76289810836538974</v>
      </c>
      <c r="D743" t="s">
        <v>19</v>
      </c>
      <c r="E743" t="s">
        <v>205</v>
      </c>
      <c r="G743" t="s">
        <v>29</v>
      </c>
      <c r="H743" t="s">
        <v>12</v>
      </c>
    </row>
    <row r="744" spans="1:9">
      <c r="A744" t="s">
        <v>179</v>
      </c>
      <c r="B744" t="s">
        <v>180</v>
      </c>
      <c r="C744">
        <v>1.1400000000000001E-4</v>
      </c>
      <c r="D744" t="s">
        <v>13</v>
      </c>
      <c r="E744" t="s">
        <v>205</v>
      </c>
      <c r="G744" t="s">
        <v>49</v>
      </c>
      <c r="H744" t="s">
        <v>12</v>
      </c>
    </row>
    <row r="745" spans="1:9">
      <c r="A745" t="s">
        <v>252</v>
      </c>
      <c r="B745" t="s">
        <v>253</v>
      </c>
      <c r="C745">
        <v>1.01E-4</v>
      </c>
      <c r="D745" t="s">
        <v>13</v>
      </c>
      <c r="E745" t="s">
        <v>205</v>
      </c>
      <c r="G745" t="s">
        <v>140</v>
      </c>
      <c r="H745" t="s">
        <v>12</v>
      </c>
    </row>
    <row r="746" spans="1:9">
      <c r="A746" t="s">
        <v>493</v>
      </c>
      <c r="B746" s="18" t="s">
        <v>195</v>
      </c>
      <c r="C746">
        <v>1.9160577381868278</v>
      </c>
      <c r="D746" s="41" t="s">
        <v>128</v>
      </c>
      <c r="G746" s="46" t="s">
        <v>208</v>
      </c>
      <c r="H746" t="s">
        <v>12</v>
      </c>
    </row>
    <row r="747" spans="1:9" s="41" customFormat="1">
      <c r="A747" s="46" t="s">
        <v>431</v>
      </c>
      <c r="B747" s="46" t="s">
        <v>431</v>
      </c>
      <c r="C747" s="65">
        <v>1</v>
      </c>
      <c r="D747" s="41" t="s">
        <v>6</v>
      </c>
      <c r="E747"/>
      <c r="F747" s="39"/>
      <c r="G747" s="46" t="s">
        <v>29</v>
      </c>
      <c r="H747" t="s">
        <v>12</v>
      </c>
      <c r="I747" s="39"/>
    </row>
    <row r="748" spans="1:9">
      <c r="A748" t="s">
        <v>212</v>
      </c>
      <c r="B748"/>
      <c r="C748">
        <v>1.8473602731590951E-3</v>
      </c>
      <c r="D748" t="s">
        <v>13</v>
      </c>
      <c r="E748" t="s">
        <v>109</v>
      </c>
      <c r="F748" t="s">
        <v>183</v>
      </c>
      <c r="H748" t="s">
        <v>15</v>
      </c>
    </row>
    <row r="749" spans="1:9">
      <c r="A749" t="s">
        <v>245</v>
      </c>
      <c r="B749"/>
      <c r="C749">
        <v>1.28</v>
      </c>
      <c r="D749" t="s">
        <v>46</v>
      </c>
      <c r="E749" t="s">
        <v>109</v>
      </c>
      <c r="F749" t="s">
        <v>183</v>
      </c>
      <c r="H749" t="s">
        <v>15</v>
      </c>
    </row>
    <row r="750" spans="1:9">
      <c r="A750" t="s">
        <v>246</v>
      </c>
      <c r="B750"/>
      <c r="C750">
        <v>0</v>
      </c>
      <c r="D750" t="s">
        <v>13</v>
      </c>
      <c r="E750" t="s">
        <v>109</v>
      </c>
      <c r="F750" t="s">
        <v>183</v>
      </c>
      <c r="H750" t="s">
        <v>15</v>
      </c>
    </row>
    <row r="751" spans="1:9">
      <c r="A751" t="s">
        <v>184</v>
      </c>
      <c r="B751"/>
      <c r="C751">
        <v>7.1053982999999999E-4</v>
      </c>
      <c r="D751" t="s">
        <v>13</v>
      </c>
      <c r="E751" t="s">
        <v>109</v>
      </c>
      <c r="F751" t="s">
        <v>183</v>
      </c>
      <c r="H751" t="s">
        <v>15</v>
      </c>
    </row>
    <row r="752" spans="1:9">
      <c r="A752" t="s">
        <v>247</v>
      </c>
      <c r="B752"/>
      <c r="C752">
        <v>5.1560000000000002E-2</v>
      </c>
      <c r="D752" t="s">
        <v>13</v>
      </c>
      <c r="E752" t="s">
        <v>109</v>
      </c>
      <c r="F752" t="s">
        <v>25</v>
      </c>
      <c r="H752" t="s">
        <v>15</v>
      </c>
    </row>
    <row r="753" spans="1:8">
      <c r="A753" t="s">
        <v>125</v>
      </c>
      <c r="B753"/>
      <c r="C753">
        <v>6.5989999999999998E-6</v>
      </c>
      <c r="D753" t="s">
        <v>13</v>
      </c>
      <c r="E753" t="s">
        <v>109</v>
      </c>
      <c r="F753" t="s">
        <v>248</v>
      </c>
      <c r="H753" t="s">
        <v>15</v>
      </c>
    </row>
    <row r="754" spans="1:8">
      <c r="A754" s="46" t="s">
        <v>38</v>
      </c>
      <c r="B754" s="46" t="s">
        <v>39</v>
      </c>
      <c r="C754" s="52">
        <v>0</v>
      </c>
      <c r="D754" s="46" t="s">
        <v>13</v>
      </c>
      <c r="E754" t="s">
        <v>205</v>
      </c>
      <c r="G754" s="46" t="s">
        <v>22</v>
      </c>
      <c r="H754" t="s">
        <v>12</v>
      </c>
    </row>
    <row r="755" spans="1:8">
      <c r="A755" s="46" t="s">
        <v>258</v>
      </c>
      <c r="B755" s="46" t="s">
        <v>259</v>
      </c>
      <c r="C755">
        <v>1.2300000000000001E-4</v>
      </c>
      <c r="D755" s="46" t="s">
        <v>13</v>
      </c>
      <c r="E755" t="s">
        <v>205</v>
      </c>
      <c r="G755" s="46" t="s">
        <v>140</v>
      </c>
      <c r="H755" t="s">
        <v>12</v>
      </c>
    </row>
    <row r="756" spans="1:8">
      <c r="A756" s="46" t="s">
        <v>260</v>
      </c>
      <c r="B756" s="46" t="s">
        <v>261</v>
      </c>
      <c r="C756">
        <v>6.9700000000000003E-4</v>
      </c>
      <c r="D756" s="46" t="s">
        <v>13</v>
      </c>
      <c r="E756" t="s">
        <v>205</v>
      </c>
      <c r="G756" s="46" t="s">
        <v>140</v>
      </c>
      <c r="H756" t="s">
        <v>12</v>
      </c>
    </row>
    <row r="757" spans="1:8">
      <c r="A757" t="s">
        <v>262</v>
      </c>
      <c r="B757" t="s">
        <v>263</v>
      </c>
      <c r="C757">
        <v>2.6400000000000001E-5</v>
      </c>
      <c r="D757" s="46" t="s">
        <v>13</v>
      </c>
      <c r="E757" t="s">
        <v>205</v>
      </c>
      <c r="G757" s="46" t="s">
        <v>140</v>
      </c>
      <c r="H757" t="s">
        <v>12</v>
      </c>
    </row>
    <row r="758" spans="1:8">
      <c r="A758" s="46" t="s">
        <v>264</v>
      </c>
      <c r="B758" s="47" t="s">
        <v>265</v>
      </c>
      <c r="C758">
        <v>0</v>
      </c>
      <c r="D758" s="46" t="s">
        <v>13</v>
      </c>
      <c r="E758" t="s">
        <v>205</v>
      </c>
      <c r="G758" s="46" t="s">
        <v>140</v>
      </c>
      <c r="H758" t="s">
        <v>12</v>
      </c>
    </row>
    <row r="759" spans="1:8">
      <c r="A759" s="46" t="s">
        <v>266</v>
      </c>
      <c r="B759" s="47" t="s">
        <v>267</v>
      </c>
      <c r="C759">
        <v>9.2899999999999995E-5</v>
      </c>
      <c r="D759" s="46" t="s">
        <v>13</v>
      </c>
      <c r="E759" t="s">
        <v>205</v>
      </c>
      <c r="G759" s="46" t="s">
        <v>140</v>
      </c>
      <c r="H759" t="s">
        <v>12</v>
      </c>
    </row>
    <row r="760" spans="1:8">
      <c r="A760" s="14" t="s">
        <v>268</v>
      </c>
      <c r="B760" s="47"/>
      <c r="C760">
        <v>1.3412404167307795E-2</v>
      </c>
      <c r="D760" s="46" t="s">
        <v>13</v>
      </c>
      <c r="E760" s="46" t="s">
        <v>109</v>
      </c>
      <c r="F760" t="s">
        <v>183</v>
      </c>
      <c r="H760" t="s">
        <v>15</v>
      </c>
    </row>
    <row r="761" spans="1:8">
      <c r="A761" s="14" t="s">
        <v>108</v>
      </c>
      <c r="B761" s="46"/>
      <c r="C761">
        <v>0.35255462382637631</v>
      </c>
      <c r="D761" s="46" t="s">
        <v>13</v>
      </c>
      <c r="E761" s="46" t="s">
        <v>109</v>
      </c>
      <c r="F761" t="s">
        <v>183</v>
      </c>
      <c r="H761" t="s">
        <v>15</v>
      </c>
    </row>
    <row r="762" spans="1:8" s="69" customFormat="1">
      <c r="B762" s="70"/>
    </row>
    <row r="763" spans="1:8">
      <c r="A763" s="39" t="s">
        <v>1</v>
      </c>
      <c r="B763" s="39" t="s">
        <v>422</v>
      </c>
    </row>
    <row r="764" spans="1:8">
      <c r="A764" s="42" t="s">
        <v>11</v>
      </c>
      <c r="B764" s="51"/>
    </row>
    <row r="765" spans="1:8">
      <c r="A765" s="42" t="s">
        <v>2</v>
      </c>
      <c r="B765" t="s">
        <v>29</v>
      </c>
    </row>
    <row r="766" spans="1:8">
      <c r="A766" s="42" t="s">
        <v>3</v>
      </c>
      <c r="B766" s="43">
        <v>1</v>
      </c>
    </row>
    <row r="767" spans="1:8">
      <c r="A767" s="42" t="s">
        <v>4</v>
      </c>
      <c r="B767" t="s">
        <v>244</v>
      </c>
    </row>
    <row r="768" spans="1:8">
      <c r="A768" s="42" t="s">
        <v>6</v>
      </c>
      <c r="B768" t="s">
        <v>128</v>
      </c>
    </row>
    <row r="769" spans="1:9">
      <c r="A769" s="42" t="s">
        <v>76</v>
      </c>
      <c r="B769"/>
    </row>
    <row r="770" spans="1:9" ht="15.75">
      <c r="A770" s="29" t="s">
        <v>7</v>
      </c>
      <c r="B770"/>
    </row>
    <row r="771" spans="1:9" s="42" customFormat="1">
      <c r="A771" s="42" t="s">
        <v>8</v>
      </c>
      <c r="B771" s="42" t="s">
        <v>4</v>
      </c>
      <c r="C771" s="42" t="s">
        <v>9</v>
      </c>
      <c r="D771" s="42" t="s">
        <v>6</v>
      </c>
      <c r="E771" s="42" t="s">
        <v>106</v>
      </c>
      <c r="F771" s="42" t="s">
        <v>10</v>
      </c>
      <c r="G771" s="42" t="s">
        <v>2</v>
      </c>
      <c r="H771" s="42" t="s">
        <v>5</v>
      </c>
      <c r="I771" s="42" t="s">
        <v>11</v>
      </c>
    </row>
    <row r="772" spans="1:9">
      <c r="A772" t="s">
        <v>422</v>
      </c>
      <c r="B772" t="s">
        <v>244</v>
      </c>
      <c r="C772">
        <v>1</v>
      </c>
      <c r="D772" t="s">
        <v>128</v>
      </c>
      <c r="E772" s="46"/>
      <c r="G772" t="s">
        <v>29</v>
      </c>
      <c r="H772" t="s">
        <v>18</v>
      </c>
    </row>
    <row r="773" spans="1:9">
      <c r="A773" t="s">
        <v>249</v>
      </c>
      <c r="B773" t="s">
        <v>250</v>
      </c>
      <c r="C773">
        <v>1.5303868060521681E-4</v>
      </c>
      <c r="D773" t="s">
        <v>13</v>
      </c>
      <c r="E773" t="s">
        <v>205</v>
      </c>
      <c r="G773" t="s">
        <v>140</v>
      </c>
      <c r="H773" t="s">
        <v>12</v>
      </c>
    </row>
    <row r="774" spans="1:9">
      <c r="A774" t="s">
        <v>251</v>
      </c>
      <c r="B774" t="s">
        <v>135</v>
      </c>
      <c r="C774">
        <v>5.4000000000000001E-11</v>
      </c>
      <c r="D774" t="s">
        <v>6</v>
      </c>
      <c r="E774" t="s">
        <v>205</v>
      </c>
      <c r="G774" t="s">
        <v>140</v>
      </c>
      <c r="H774" t="s">
        <v>12</v>
      </c>
    </row>
    <row r="775" spans="1:9">
      <c r="A775" t="s">
        <v>28</v>
      </c>
      <c r="B775" t="s">
        <v>20</v>
      </c>
      <c r="C775" s="38">
        <v>0.6343270522695631</v>
      </c>
      <c r="D775" t="s">
        <v>19</v>
      </c>
      <c r="E775" t="s">
        <v>205</v>
      </c>
      <c r="G775" t="s">
        <v>29</v>
      </c>
      <c r="H775" t="s">
        <v>12</v>
      </c>
    </row>
    <row r="776" spans="1:9">
      <c r="A776" t="s">
        <v>179</v>
      </c>
      <c r="B776" t="s">
        <v>180</v>
      </c>
      <c r="C776">
        <v>1.1400000000000001E-4</v>
      </c>
      <c r="D776" t="s">
        <v>13</v>
      </c>
      <c r="E776" t="s">
        <v>205</v>
      </c>
      <c r="G776" t="s">
        <v>49</v>
      </c>
      <c r="H776" t="s">
        <v>12</v>
      </c>
    </row>
    <row r="777" spans="1:9">
      <c r="A777" t="s">
        <v>252</v>
      </c>
      <c r="B777" t="s">
        <v>253</v>
      </c>
      <c r="C777">
        <v>1.01E-4</v>
      </c>
      <c r="D777" t="s">
        <v>13</v>
      </c>
      <c r="E777" t="s">
        <v>205</v>
      </c>
      <c r="G777" t="s">
        <v>140</v>
      </c>
      <c r="H777" t="s">
        <v>12</v>
      </c>
    </row>
    <row r="778" spans="1:9">
      <c r="A778" t="s">
        <v>493</v>
      </c>
      <c r="B778" s="18" t="s">
        <v>195</v>
      </c>
      <c r="C778">
        <v>1.91298350756521</v>
      </c>
      <c r="D778" s="41" t="s">
        <v>128</v>
      </c>
      <c r="G778" s="46" t="s">
        <v>208</v>
      </c>
      <c r="H778" t="s">
        <v>12</v>
      </c>
    </row>
    <row r="779" spans="1:9" s="41" customFormat="1">
      <c r="A779" s="46" t="s">
        <v>431</v>
      </c>
      <c r="B779" s="46" t="s">
        <v>431</v>
      </c>
      <c r="C779" s="65">
        <v>1</v>
      </c>
      <c r="D779" s="41" t="s">
        <v>6</v>
      </c>
      <c r="E779"/>
      <c r="F779" s="39"/>
      <c r="G779" s="46" t="s">
        <v>29</v>
      </c>
      <c r="H779" t="s">
        <v>12</v>
      </c>
      <c r="I779" s="39"/>
    </row>
    <row r="780" spans="1:9">
      <c r="A780" t="s">
        <v>212</v>
      </c>
      <c r="B780"/>
      <c r="C780">
        <v>3.688792529215449E-2</v>
      </c>
      <c r="D780" t="s">
        <v>13</v>
      </c>
      <c r="E780" t="s">
        <v>109</v>
      </c>
      <c r="F780" t="s">
        <v>183</v>
      </c>
      <c r="H780" t="s">
        <v>15</v>
      </c>
    </row>
    <row r="781" spans="1:9">
      <c r="A781" t="s">
        <v>245</v>
      </c>
      <c r="B781"/>
      <c r="C781">
        <v>1.28</v>
      </c>
      <c r="D781" t="s">
        <v>46</v>
      </c>
      <c r="E781" t="s">
        <v>109</v>
      </c>
      <c r="F781" t="s">
        <v>183</v>
      </c>
      <c r="H781" t="s">
        <v>15</v>
      </c>
    </row>
    <row r="782" spans="1:9">
      <c r="A782" t="s">
        <v>246</v>
      </c>
      <c r="B782"/>
      <c r="C782">
        <v>0</v>
      </c>
      <c r="D782" t="s">
        <v>13</v>
      </c>
      <c r="E782" t="s">
        <v>109</v>
      </c>
      <c r="F782" t="s">
        <v>183</v>
      </c>
      <c r="H782" t="s">
        <v>15</v>
      </c>
    </row>
    <row r="783" spans="1:9">
      <c r="A783" t="s">
        <v>184</v>
      </c>
      <c r="B783"/>
      <c r="C783">
        <v>1.4187996E-2</v>
      </c>
      <c r="D783" t="s">
        <v>13</v>
      </c>
      <c r="E783" t="s">
        <v>109</v>
      </c>
      <c r="F783" t="s">
        <v>183</v>
      </c>
      <c r="H783" t="s">
        <v>15</v>
      </c>
    </row>
    <row r="784" spans="1:9">
      <c r="A784" t="s">
        <v>247</v>
      </c>
      <c r="B784"/>
      <c r="C784">
        <v>5.1560000000000002E-2</v>
      </c>
      <c r="D784" t="s">
        <v>13</v>
      </c>
      <c r="E784" t="s">
        <v>109</v>
      </c>
      <c r="F784" t="s">
        <v>25</v>
      </c>
      <c r="H784" t="s">
        <v>15</v>
      </c>
    </row>
    <row r="785" spans="1:8">
      <c r="A785" t="s">
        <v>125</v>
      </c>
      <c r="B785"/>
      <c r="C785">
        <v>6.5989999999999998E-6</v>
      </c>
      <c r="D785" t="s">
        <v>13</v>
      </c>
      <c r="E785" t="s">
        <v>109</v>
      </c>
      <c r="F785" t="s">
        <v>248</v>
      </c>
      <c r="H785" t="s">
        <v>15</v>
      </c>
    </row>
    <row r="786" spans="1:8">
      <c r="A786" s="46" t="s">
        <v>38</v>
      </c>
      <c r="B786" s="46" t="s">
        <v>39</v>
      </c>
      <c r="C786" s="52">
        <v>0.19129835075652102</v>
      </c>
      <c r="D786" s="46" t="s">
        <v>13</v>
      </c>
      <c r="E786" t="s">
        <v>205</v>
      </c>
      <c r="G786" s="46" t="s">
        <v>22</v>
      </c>
      <c r="H786" t="s">
        <v>12</v>
      </c>
    </row>
    <row r="787" spans="1:8">
      <c r="A787" s="46" t="s">
        <v>258</v>
      </c>
      <c r="B787" s="46" t="s">
        <v>259</v>
      </c>
      <c r="C787">
        <v>0</v>
      </c>
      <c r="D787" s="46" t="s">
        <v>13</v>
      </c>
      <c r="E787" t="s">
        <v>205</v>
      </c>
      <c r="G787" s="46" t="s">
        <v>140</v>
      </c>
      <c r="H787" t="s">
        <v>12</v>
      </c>
    </row>
    <row r="788" spans="1:8">
      <c r="A788" s="46" t="s">
        <v>260</v>
      </c>
      <c r="B788" s="46" t="s">
        <v>261</v>
      </c>
      <c r="C788">
        <v>0</v>
      </c>
      <c r="D788" s="46" t="s">
        <v>13</v>
      </c>
      <c r="E788" t="s">
        <v>205</v>
      </c>
      <c r="G788" s="46" t="s">
        <v>140</v>
      </c>
      <c r="H788" t="s">
        <v>12</v>
      </c>
    </row>
    <row r="789" spans="1:8">
      <c r="A789" t="s">
        <v>262</v>
      </c>
      <c r="B789" t="s">
        <v>263</v>
      </c>
      <c r="C789">
        <v>0</v>
      </c>
      <c r="D789" s="46" t="s">
        <v>13</v>
      </c>
      <c r="E789" t="s">
        <v>205</v>
      </c>
      <c r="G789" s="46" t="s">
        <v>140</v>
      </c>
      <c r="H789" t="s">
        <v>12</v>
      </c>
    </row>
    <row r="790" spans="1:8">
      <c r="A790" s="46" t="s">
        <v>264</v>
      </c>
      <c r="B790" s="47" t="s">
        <v>265</v>
      </c>
      <c r="C790">
        <v>0</v>
      </c>
      <c r="D790" s="46" t="s">
        <v>13</v>
      </c>
      <c r="E790" t="s">
        <v>205</v>
      </c>
      <c r="G790" s="46" t="s">
        <v>140</v>
      </c>
      <c r="H790" t="s">
        <v>12</v>
      </c>
    </row>
    <row r="791" spans="1:8">
      <c r="A791" s="46" t="s">
        <v>266</v>
      </c>
      <c r="B791" s="47" t="s">
        <v>267</v>
      </c>
      <c r="C791">
        <v>0</v>
      </c>
      <c r="D791" s="46" t="s">
        <v>13</v>
      </c>
      <c r="E791" t="s">
        <v>205</v>
      </c>
      <c r="G791" s="46" t="s">
        <v>140</v>
      </c>
      <c r="H791" t="s">
        <v>12</v>
      </c>
    </row>
    <row r="792" spans="1:8">
      <c r="A792" s="14" t="s">
        <v>268</v>
      </c>
      <c r="B792" s="47"/>
      <c r="C792">
        <v>0</v>
      </c>
      <c r="D792" s="46" t="s">
        <v>13</v>
      </c>
      <c r="E792" s="46" t="s">
        <v>109</v>
      </c>
      <c r="F792" t="s">
        <v>183</v>
      </c>
      <c r="H792" t="s">
        <v>15</v>
      </c>
    </row>
    <row r="793" spans="1:8">
      <c r="A793" s="14" t="s">
        <v>108</v>
      </c>
      <c r="B793" s="46"/>
      <c r="C793">
        <v>0</v>
      </c>
      <c r="D793" s="46" t="s">
        <v>13</v>
      </c>
      <c r="E793" s="46" t="s">
        <v>109</v>
      </c>
      <c r="F793" t="s">
        <v>183</v>
      </c>
      <c r="H793" t="s">
        <v>15</v>
      </c>
    </row>
    <row r="794" spans="1:8" s="69" customFormat="1">
      <c r="B794" s="70"/>
    </row>
    <row r="795" spans="1:8">
      <c r="A795" s="39" t="s">
        <v>1</v>
      </c>
      <c r="B795" s="39" t="s">
        <v>423</v>
      </c>
    </row>
    <row r="796" spans="1:8">
      <c r="A796" s="42" t="s">
        <v>11</v>
      </c>
      <c r="B796" s="51"/>
    </row>
    <row r="797" spans="1:8">
      <c r="A797" s="42" t="s">
        <v>2</v>
      </c>
      <c r="B797" t="s">
        <v>29</v>
      </c>
    </row>
    <row r="798" spans="1:8">
      <c r="A798" s="42" t="s">
        <v>3</v>
      </c>
      <c r="B798" s="43">
        <v>1</v>
      </c>
    </row>
    <row r="799" spans="1:8">
      <c r="A799" s="42" t="s">
        <v>4</v>
      </c>
      <c r="B799" t="s">
        <v>244</v>
      </c>
    </row>
    <row r="800" spans="1:8">
      <c r="A800" s="42" t="s">
        <v>6</v>
      </c>
      <c r="B800" t="s">
        <v>128</v>
      </c>
    </row>
    <row r="801" spans="1:9">
      <c r="A801" s="42" t="s">
        <v>76</v>
      </c>
      <c r="B801"/>
    </row>
    <row r="802" spans="1:9" ht="15.75">
      <c r="A802" s="29" t="s">
        <v>7</v>
      </c>
      <c r="B802"/>
    </row>
    <row r="803" spans="1:9" s="42" customFormat="1">
      <c r="A803" s="42" t="s">
        <v>8</v>
      </c>
      <c r="B803" s="42" t="s">
        <v>4</v>
      </c>
      <c r="C803" s="42" t="s">
        <v>9</v>
      </c>
      <c r="D803" s="42" t="s">
        <v>6</v>
      </c>
      <c r="E803" s="42" t="s">
        <v>106</v>
      </c>
      <c r="F803" s="42" t="s">
        <v>10</v>
      </c>
      <c r="G803" s="42" t="s">
        <v>2</v>
      </c>
      <c r="H803" s="42" t="s">
        <v>5</v>
      </c>
      <c r="I803" s="42" t="s">
        <v>11</v>
      </c>
    </row>
    <row r="804" spans="1:9">
      <c r="A804" t="s">
        <v>423</v>
      </c>
      <c r="B804" t="s">
        <v>244</v>
      </c>
      <c r="C804">
        <v>1</v>
      </c>
      <c r="D804" t="s">
        <v>128</v>
      </c>
      <c r="E804" s="46"/>
      <c r="G804" t="s">
        <v>29</v>
      </c>
      <c r="H804" t="s">
        <v>18</v>
      </c>
    </row>
    <row r="805" spans="1:9">
      <c r="A805" t="s">
        <v>249</v>
      </c>
      <c r="B805" t="s">
        <v>250</v>
      </c>
      <c r="C805">
        <v>1.5294587364305477E-4</v>
      </c>
      <c r="D805" t="s">
        <v>13</v>
      </c>
      <c r="E805" t="s">
        <v>205</v>
      </c>
      <c r="G805" t="s">
        <v>140</v>
      </c>
      <c r="H805" t="s">
        <v>12</v>
      </c>
    </row>
    <row r="806" spans="1:9">
      <c r="A806" t="s">
        <v>251</v>
      </c>
      <c r="B806" t="s">
        <v>135</v>
      </c>
      <c r="C806">
        <v>5.4000000000000001E-11</v>
      </c>
      <c r="D806" t="s">
        <v>6</v>
      </c>
      <c r="E806" t="s">
        <v>205</v>
      </c>
      <c r="G806" t="s">
        <v>140</v>
      </c>
      <c r="H806" t="s">
        <v>12</v>
      </c>
    </row>
    <row r="807" spans="1:9">
      <c r="A807" t="s">
        <v>28</v>
      </c>
      <c r="B807" t="s">
        <v>20</v>
      </c>
      <c r="C807" s="38">
        <v>0.67679502616145548</v>
      </c>
      <c r="D807" t="s">
        <v>19</v>
      </c>
      <c r="E807" t="s">
        <v>205</v>
      </c>
      <c r="G807" t="s">
        <v>29</v>
      </c>
      <c r="H807" t="s">
        <v>12</v>
      </c>
    </row>
    <row r="808" spans="1:9">
      <c r="A808" t="s">
        <v>179</v>
      </c>
      <c r="B808" t="s">
        <v>180</v>
      </c>
      <c r="C808">
        <v>1.1400000000000001E-4</v>
      </c>
      <c r="D808" t="s">
        <v>13</v>
      </c>
      <c r="E808" t="s">
        <v>205</v>
      </c>
      <c r="G808" t="s">
        <v>49</v>
      </c>
      <c r="H808" t="s">
        <v>12</v>
      </c>
    </row>
    <row r="809" spans="1:9">
      <c r="A809" t="s">
        <v>252</v>
      </c>
      <c r="B809" t="s">
        <v>253</v>
      </c>
      <c r="C809">
        <v>1.01E-4</v>
      </c>
      <c r="D809" t="s">
        <v>13</v>
      </c>
      <c r="E809" t="s">
        <v>205</v>
      </c>
      <c r="G809" t="s">
        <v>140</v>
      </c>
      <c r="H809" t="s">
        <v>12</v>
      </c>
    </row>
    <row r="810" spans="1:9">
      <c r="A810" t="s">
        <v>493</v>
      </c>
      <c r="B810" s="18" t="s">
        <v>195</v>
      </c>
      <c r="C810">
        <v>1.9118234205381845</v>
      </c>
      <c r="D810" s="41" t="s">
        <v>128</v>
      </c>
      <c r="G810" s="46" t="s">
        <v>208</v>
      </c>
      <c r="H810" t="s">
        <v>12</v>
      </c>
    </row>
    <row r="811" spans="1:9" s="41" customFormat="1">
      <c r="A811" s="46" t="s">
        <v>431</v>
      </c>
      <c r="B811" s="46" t="s">
        <v>431</v>
      </c>
      <c r="C811" s="65">
        <v>1</v>
      </c>
      <c r="D811" s="41" t="s">
        <v>6</v>
      </c>
      <c r="E811"/>
      <c r="F811" s="39"/>
      <c r="G811" s="46" t="s">
        <v>29</v>
      </c>
      <c r="H811" t="s">
        <v>12</v>
      </c>
      <c r="I811" s="39"/>
    </row>
    <row r="812" spans="1:9">
      <c r="A812" t="s">
        <v>212</v>
      </c>
      <c r="B812"/>
      <c r="C812">
        <v>5.5298333124442628E-2</v>
      </c>
      <c r="D812" t="s">
        <v>13</v>
      </c>
      <c r="E812" t="s">
        <v>109</v>
      </c>
      <c r="F812" t="s">
        <v>183</v>
      </c>
      <c r="H812" t="s">
        <v>15</v>
      </c>
    </row>
    <row r="813" spans="1:9">
      <c r="A813" t="s">
        <v>245</v>
      </c>
      <c r="B813"/>
      <c r="C813">
        <v>1.28</v>
      </c>
      <c r="D813" t="s">
        <v>46</v>
      </c>
      <c r="E813" t="s">
        <v>109</v>
      </c>
      <c r="F813" t="s">
        <v>183</v>
      </c>
      <c r="H813" t="s">
        <v>15</v>
      </c>
    </row>
    <row r="814" spans="1:9">
      <c r="A814" t="s">
        <v>246</v>
      </c>
      <c r="B814"/>
      <c r="C814">
        <v>0</v>
      </c>
      <c r="D814" t="s">
        <v>13</v>
      </c>
      <c r="E814" t="s">
        <v>109</v>
      </c>
      <c r="F814" t="s">
        <v>183</v>
      </c>
      <c r="H814" t="s">
        <v>15</v>
      </c>
    </row>
    <row r="815" spans="1:9">
      <c r="A815" t="s">
        <v>184</v>
      </c>
      <c r="B815"/>
      <c r="C815">
        <v>2.1269088000000002E-2</v>
      </c>
      <c r="D815" t="s">
        <v>13</v>
      </c>
      <c r="E815" t="s">
        <v>109</v>
      </c>
      <c r="F815" t="s">
        <v>183</v>
      </c>
      <c r="H815" t="s">
        <v>15</v>
      </c>
    </row>
    <row r="816" spans="1:9">
      <c r="A816" t="s">
        <v>247</v>
      </c>
      <c r="B816"/>
      <c r="C816">
        <v>5.1560000000000002E-2</v>
      </c>
      <c r="D816" t="s">
        <v>13</v>
      </c>
      <c r="E816" t="s">
        <v>109</v>
      </c>
      <c r="F816" t="s">
        <v>25</v>
      </c>
      <c r="H816" t="s">
        <v>15</v>
      </c>
    </row>
    <row r="817" spans="1:9">
      <c r="A817" t="s">
        <v>125</v>
      </c>
      <c r="B817"/>
      <c r="C817">
        <v>6.5989999999999998E-6</v>
      </c>
      <c r="D817" t="s">
        <v>13</v>
      </c>
      <c r="E817" t="s">
        <v>109</v>
      </c>
      <c r="F817" t="s">
        <v>248</v>
      </c>
      <c r="H817" t="s">
        <v>15</v>
      </c>
    </row>
    <row r="818" spans="1:9">
      <c r="A818" s="46" t="s">
        <v>38</v>
      </c>
      <c r="B818" s="46" t="s">
        <v>39</v>
      </c>
      <c r="C818" s="53">
        <v>0</v>
      </c>
      <c r="D818" s="46" t="s">
        <v>13</v>
      </c>
      <c r="E818" t="s">
        <v>205</v>
      </c>
      <c r="G818" s="46" t="s">
        <v>22</v>
      </c>
      <c r="H818" t="s">
        <v>12</v>
      </c>
    </row>
    <row r="819" spans="1:9">
      <c r="A819" s="46" t="s">
        <v>258</v>
      </c>
      <c r="B819" s="46" t="s">
        <v>259</v>
      </c>
      <c r="C819">
        <v>2.0799999999999999E-4</v>
      </c>
      <c r="D819" s="46" t="s">
        <v>13</v>
      </c>
      <c r="E819" t="s">
        <v>205</v>
      </c>
      <c r="G819" s="46" t="s">
        <v>140</v>
      </c>
      <c r="H819" t="s">
        <v>12</v>
      </c>
    </row>
    <row r="820" spans="1:9">
      <c r="A820" s="46" t="s">
        <v>260</v>
      </c>
      <c r="B820" s="46" t="s">
        <v>261</v>
      </c>
      <c r="C820">
        <v>0</v>
      </c>
      <c r="D820" s="46" t="s">
        <v>13</v>
      </c>
      <c r="E820" t="s">
        <v>205</v>
      </c>
      <c r="G820" s="46" t="s">
        <v>140</v>
      </c>
      <c r="H820" t="s">
        <v>12</v>
      </c>
    </row>
    <row r="821" spans="1:9">
      <c r="A821" t="s">
        <v>262</v>
      </c>
      <c r="B821" t="s">
        <v>263</v>
      </c>
      <c r="C821">
        <v>3.98E-6</v>
      </c>
      <c r="D821" s="46" t="s">
        <v>13</v>
      </c>
      <c r="E821" t="s">
        <v>205</v>
      </c>
      <c r="G821" s="46" t="s">
        <v>140</v>
      </c>
      <c r="H821" t="s">
        <v>12</v>
      </c>
    </row>
    <row r="822" spans="1:9">
      <c r="A822" s="46" t="s">
        <v>264</v>
      </c>
      <c r="B822" s="47" t="s">
        <v>265</v>
      </c>
      <c r="C822">
        <v>0</v>
      </c>
      <c r="D822" s="46" t="s">
        <v>13</v>
      </c>
      <c r="E822" t="s">
        <v>205</v>
      </c>
      <c r="G822" s="46" t="s">
        <v>140</v>
      </c>
      <c r="H822" t="s">
        <v>12</v>
      </c>
    </row>
    <row r="823" spans="1:9">
      <c r="A823" s="46" t="s">
        <v>266</v>
      </c>
      <c r="B823" s="47" t="s">
        <v>267</v>
      </c>
      <c r="C823">
        <v>0</v>
      </c>
      <c r="D823" s="46" t="s">
        <v>13</v>
      </c>
      <c r="E823" t="s">
        <v>205</v>
      </c>
      <c r="G823" s="46" t="s">
        <v>140</v>
      </c>
      <c r="H823" t="s">
        <v>12</v>
      </c>
    </row>
    <row r="824" spans="1:9">
      <c r="A824" s="14" t="s">
        <v>268</v>
      </c>
      <c r="B824" s="47"/>
      <c r="C824">
        <v>0</v>
      </c>
      <c r="D824" s="46" t="s">
        <v>13</v>
      </c>
      <c r="E824" s="46" t="s">
        <v>109</v>
      </c>
      <c r="F824" t="s">
        <v>183</v>
      </c>
      <c r="H824" t="s">
        <v>15</v>
      </c>
    </row>
    <row r="825" spans="1:9">
      <c r="A825" s="14" t="s">
        <v>108</v>
      </c>
      <c r="B825" s="46"/>
      <c r="C825">
        <v>0</v>
      </c>
      <c r="D825" s="46" t="s">
        <v>13</v>
      </c>
      <c r="E825" s="46" t="s">
        <v>109</v>
      </c>
      <c r="F825" t="s">
        <v>183</v>
      </c>
      <c r="H825" t="s">
        <v>15</v>
      </c>
    </row>
    <row r="826" spans="1:9" s="69" customFormat="1">
      <c r="B826" s="70"/>
    </row>
    <row r="827" spans="1:9">
      <c r="A827" s="39" t="s">
        <v>1</v>
      </c>
      <c r="B827" s="39" t="s">
        <v>424</v>
      </c>
    </row>
    <row r="828" spans="1:9">
      <c r="A828" s="42" t="s">
        <v>11</v>
      </c>
      <c r="B828" s="51"/>
    </row>
    <row r="829" spans="1:9">
      <c r="A829" s="42" t="s">
        <v>2</v>
      </c>
      <c r="B829" t="s">
        <v>29</v>
      </c>
    </row>
    <row r="830" spans="1:9">
      <c r="A830" s="42" t="s">
        <v>3</v>
      </c>
      <c r="B830" s="43">
        <v>1</v>
      </c>
      <c r="I830" s="18"/>
    </row>
    <row r="831" spans="1:9">
      <c r="A831" s="42" t="s">
        <v>4</v>
      </c>
      <c r="B831" t="s">
        <v>244</v>
      </c>
    </row>
    <row r="832" spans="1:9">
      <c r="A832" s="42" t="s">
        <v>6</v>
      </c>
      <c r="B832" t="s">
        <v>128</v>
      </c>
    </row>
    <row r="833" spans="1:9">
      <c r="A833" s="42" t="s">
        <v>76</v>
      </c>
      <c r="B833"/>
    </row>
    <row r="834" spans="1:9" ht="15.75">
      <c r="A834" s="29" t="s">
        <v>7</v>
      </c>
      <c r="B834"/>
    </row>
    <row r="835" spans="1:9">
      <c r="A835" s="42" t="s">
        <v>8</v>
      </c>
      <c r="B835" s="42" t="s">
        <v>4</v>
      </c>
      <c r="C835" s="42" t="s">
        <v>9</v>
      </c>
      <c r="D835" s="42" t="s">
        <v>6</v>
      </c>
      <c r="E835" s="42" t="s">
        <v>106</v>
      </c>
      <c r="F835" s="42" t="s">
        <v>10</v>
      </c>
      <c r="G835" s="42" t="s">
        <v>2</v>
      </c>
      <c r="H835" s="42" t="s">
        <v>5</v>
      </c>
      <c r="I835" s="42" t="s">
        <v>11</v>
      </c>
    </row>
    <row r="836" spans="1:9">
      <c r="A836" t="s">
        <v>424</v>
      </c>
      <c r="B836" t="s">
        <v>244</v>
      </c>
      <c r="C836">
        <v>1</v>
      </c>
      <c r="D836" t="s">
        <v>128</v>
      </c>
      <c r="E836" s="46"/>
      <c r="G836" t="s">
        <v>29</v>
      </c>
      <c r="H836" t="s">
        <v>18</v>
      </c>
    </row>
    <row r="837" spans="1:9">
      <c r="A837" t="s">
        <v>249</v>
      </c>
      <c r="B837" t="s">
        <v>250</v>
      </c>
      <c r="C837">
        <v>1.5029864785434452E-4</v>
      </c>
      <c r="D837" t="s">
        <v>13</v>
      </c>
      <c r="E837" t="s">
        <v>205</v>
      </c>
      <c r="G837" t="s">
        <v>140</v>
      </c>
      <c r="H837" t="s">
        <v>12</v>
      </c>
    </row>
    <row r="838" spans="1:9">
      <c r="A838" t="s">
        <v>251</v>
      </c>
      <c r="B838" t="s">
        <v>135</v>
      </c>
      <c r="C838">
        <v>0</v>
      </c>
      <c r="D838" t="s">
        <v>6</v>
      </c>
      <c r="E838" t="s">
        <v>205</v>
      </c>
      <c r="G838" t="s">
        <v>140</v>
      </c>
      <c r="H838" t="s">
        <v>12</v>
      </c>
    </row>
    <row r="839" spans="1:9">
      <c r="A839" t="s">
        <v>28</v>
      </c>
      <c r="B839" t="s">
        <v>20</v>
      </c>
      <c r="C839" s="38">
        <v>0.6575565843627571</v>
      </c>
      <c r="D839" t="s">
        <v>19</v>
      </c>
      <c r="E839" t="s">
        <v>205</v>
      </c>
      <c r="G839" t="s">
        <v>29</v>
      </c>
      <c r="H839" t="s">
        <v>12</v>
      </c>
    </row>
    <row r="840" spans="1:9">
      <c r="A840" t="s">
        <v>179</v>
      </c>
      <c r="B840" t="s">
        <v>180</v>
      </c>
      <c r="C840">
        <v>0</v>
      </c>
      <c r="D840" t="s">
        <v>13</v>
      </c>
      <c r="E840" t="s">
        <v>205</v>
      </c>
      <c r="G840" t="s">
        <v>49</v>
      </c>
      <c r="H840" t="s">
        <v>12</v>
      </c>
    </row>
    <row r="841" spans="1:9">
      <c r="A841" t="s">
        <v>252</v>
      </c>
      <c r="B841" t="s">
        <v>253</v>
      </c>
      <c r="C841">
        <v>0</v>
      </c>
      <c r="D841" t="s">
        <v>13</v>
      </c>
      <c r="E841" t="s">
        <v>205</v>
      </c>
      <c r="G841" t="s">
        <v>140</v>
      </c>
      <c r="H841" t="s">
        <v>12</v>
      </c>
    </row>
    <row r="842" spans="1:9">
      <c r="A842" t="s">
        <v>493</v>
      </c>
      <c r="B842" s="18" t="s">
        <v>195</v>
      </c>
      <c r="C842">
        <v>1.8787330981793062</v>
      </c>
      <c r="D842" s="41" t="s">
        <v>128</v>
      </c>
      <c r="G842" s="46" t="s">
        <v>208</v>
      </c>
      <c r="H842" t="s">
        <v>12</v>
      </c>
    </row>
    <row r="843" spans="1:9" s="41" customFormat="1">
      <c r="A843" s="46" t="s">
        <v>431</v>
      </c>
      <c r="B843" s="46" t="s">
        <v>431</v>
      </c>
      <c r="C843" s="65">
        <v>1</v>
      </c>
      <c r="D843" s="41" t="s">
        <v>6</v>
      </c>
      <c r="E843"/>
      <c r="F843" s="39"/>
      <c r="G843" s="46" t="s">
        <v>29</v>
      </c>
      <c r="H843" t="s">
        <v>12</v>
      </c>
      <c r="I843" s="39"/>
    </row>
    <row r="844" spans="1:9">
      <c r="A844" t="s">
        <v>212</v>
      </c>
      <c r="B844"/>
      <c r="C844">
        <v>9.0568692693203737E-4</v>
      </c>
      <c r="D844" t="s">
        <v>13</v>
      </c>
      <c r="E844" t="s">
        <v>109</v>
      </c>
      <c r="F844" t="s">
        <v>183</v>
      </c>
      <c r="H844" t="s">
        <v>15</v>
      </c>
    </row>
    <row r="845" spans="1:9">
      <c r="A845" t="s">
        <v>245</v>
      </c>
      <c r="B845"/>
      <c r="C845">
        <v>0</v>
      </c>
      <c r="D845" t="s">
        <v>46</v>
      </c>
      <c r="E845" t="s">
        <v>109</v>
      </c>
      <c r="F845" t="s">
        <v>183</v>
      </c>
      <c r="H845" t="s">
        <v>15</v>
      </c>
    </row>
    <row r="846" spans="1:9">
      <c r="A846" t="s">
        <v>246</v>
      </c>
      <c r="B846"/>
      <c r="C846">
        <v>0</v>
      </c>
      <c r="D846" t="s">
        <v>13</v>
      </c>
      <c r="E846" t="s">
        <v>109</v>
      </c>
      <c r="F846" t="s">
        <v>183</v>
      </c>
      <c r="H846" t="s">
        <v>15</v>
      </c>
    </row>
    <row r="847" spans="1:9">
      <c r="A847" t="s">
        <v>184</v>
      </c>
      <c r="B847"/>
      <c r="C847">
        <v>3.4834928759999994E-4</v>
      </c>
      <c r="D847" t="s">
        <v>13</v>
      </c>
      <c r="E847" t="s">
        <v>109</v>
      </c>
      <c r="F847" t="s">
        <v>183</v>
      </c>
      <c r="H847" t="s">
        <v>15</v>
      </c>
    </row>
    <row r="848" spans="1:9">
      <c r="A848" t="s">
        <v>247</v>
      </c>
      <c r="B848"/>
      <c r="C848">
        <v>0</v>
      </c>
      <c r="D848" t="s">
        <v>13</v>
      </c>
      <c r="E848" t="s">
        <v>109</v>
      </c>
      <c r="F848" t="s">
        <v>25</v>
      </c>
      <c r="H848" t="s">
        <v>15</v>
      </c>
    </row>
    <row r="849" spans="1:8">
      <c r="A849" t="s">
        <v>125</v>
      </c>
      <c r="B849"/>
      <c r="C849">
        <v>0</v>
      </c>
      <c r="D849" t="s">
        <v>13</v>
      </c>
      <c r="E849" t="s">
        <v>109</v>
      </c>
      <c r="F849" t="s">
        <v>248</v>
      </c>
      <c r="H849" t="s">
        <v>15</v>
      </c>
    </row>
    <row r="850" spans="1:8">
      <c r="A850" s="46" t="s">
        <v>38</v>
      </c>
      <c r="B850" s="46" t="s">
        <v>39</v>
      </c>
      <c r="C850" s="53">
        <v>0</v>
      </c>
      <c r="D850" s="46" t="s">
        <v>13</v>
      </c>
      <c r="E850" t="s">
        <v>205</v>
      </c>
      <c r="G850" s="46" t="s">
        <v>22</v>
      </c>
      <c r="H850" t="s">
        <v>12</v>
      </c>
    </row>
    <row r="851" spans="1:8">
      <c r="A851" s="46" t="s">
        <v>258</v>
      </c>
      <c r="B851" s="46" t="s">
        <v>259</v>
      </c>
      <c r="C851">
        <v>0</v>
      </c>
      <c r="D851" s="46" t="s">
        <v>13</v>
      </c>
      <c r="E851" t="s">
        <v>205</v>
      </c>
      <c r="G851" s="46" t="s">
        <v>140</v>
      </c>
      <c r="H851" t="s">
        <v>12</v>
      </c>
    </row>
    <row r="852" spans="1:8">
      <c r="A852" s="46" t="s">
        <v>260</v>
      </c>
      <c r="B852" s="46" t="s">
        <v>261</v>
      </c>
      <c r="C852">
        <v>0</v>
      </c>
      <c r="D852" s="46" t="s">
        <v>13</v>
      </c>
      <c r="E852" t="s">
        <v>205</v>
      </c>
      <c r="G852" s="46" t="s">
        <v>140</v>
      </c>
      <c r="H852" t="s">
        <v>12</v>
      </c>
    </row>
    <row r="853" spans="1:8">
      <c r="A853" t="s">
        <v>262</v>
      </c>
      <c r="B853" t="s">
        <v>263</v>
      </c>
      <c r="C853">
        <v>0</v>
      </c>
      <c r="D853" s="46" t="s">
        <v>13</v>
      </c>
      <c r="E853" t="s">
        <v>205</v>
      </c>
      <c r="G853" s="46" t="s">
        <v>140</v>
      </c>
      <c r="H853" t="s">
        <v>12</v>
      </c>
    </row>
    <row r="854" spans="1:8">
      <c r="A854" s="46" t="s">
        <v>264</v>
      </c>
      <c r="B854" s="47" t="s">
        <v>265</v>
      </c>
      <c r="C854">
        <v>0</v>
      </c>
      <c r="D854" s="46" t="s">
        <v>13</v>
      </c>
      <c r="E854" t="s">
        <v>205</v>
      </c>
      <c r="G854" s="46" t="s">
        <v>140</v>
      </c>
      <c r="H854" t="s">
        <v>12</v>
      </c>
    </row>
    <row r="855" spans="1:8">
      <c r="A855" s="46" t="s">
        <v>266</v>
      </c>
      <c r="B855" s="47" t="s">
        <v>267</v>
      </c>
      <c r="C855">
        <v>0</v>
      </c>
      <c r="D855" s="46" t="s">
        <v>13</v>
      </c>
      <c r="E855" t="s">
        <v>205</v>
      </c>
      <c r="G855" s="46" t="s">
        <v>140</v>
      </c>
      <c r="H855" t="s">
        <v>12</v>
      </c>
    </row>
    <row r="856" spans="1:8">
      <c r="A856" s="14" t="s">
        <v>268</v>
      </c>
      <c r="B856" s="47"/>
      <c r="C856">
        <v>0</v>
      </c>
      <c r="D856" s="46" t="s">
        <v>13</v>
      </c>
      <c r="E856" s="46" t="s">
        <v>109</v>
      </c>
      <c r="F856" t="s">
        <v>183</v>
      </c>
      <c r="H856" t="s">
        <v>15</v>
      </c>
    </row>
    <row r="857" spans="1:8">
      <c r="A857" s="14" t="s">
        <v>108</v>
      </c>
      <c r="B857" s="46"/>
      <c r="C857">
        <v>0</v>
      </c>
      <c r="D857" s="46" t="s">
        <v>13</v>
      </c>
      <c r="E857" s="46" t="s">
        <v>109</v>
      </c>
      <c r="F857" t="s">
        <v>183</v>
      </c>
      <c r="H857" t="s">
        <v>15</v>
      </c>
    </row>
    <row r="858" spans="1:8" s="69" customFormat="1">
      <c r="B858" s="70"/>
    </row>
    <row r="859" spans="1:8">
      <c r="A859" s="39" t="s">
        <v>1</v>
      </c>
      <c r="B859" s="39" t="s">
        <v>402</v>
      </c>
    </row>
    <row r="860" spans="1:8">
      <c r="A860" s="42" t="s">
        <v>11</v>
      </c>
    </row>
    <row r="861" spans="1:8">
      <c r="A861" s="42" t="s">
        <v>2</v>
      </c>
      <c r="B861" s="18" t="s">
        <v>29</v>
      </c>
    </row>
    <row r="862" spans="1:8">
      <c r="A862" s="42" t="s">
        <v>3</v>
      </c>
      <c r="B862" s="18">
        <v>1</v>
      </c>
    </row>
    <row r="863" spans="1:8">
      <c r="A863" s="42" t="s">
        <v>4</v>
      </c>
      <c r="B863" s="18" t="s">
        <v>383</v>
      </c>
    </row>
    <row r="864" spans="1:8">
      <c r="A864" s="42" t="s">
        <v>6</v>
      </c>
      <c r="B864" t="s">
        <v>128</v>
      </c>
    </row>
    <row r="865" spans="1:21">
      <c r="A865" s="42" t="s">
        <v>76</v>
      </c>
      <c r="B865" s="18" t="s">
        <v>384</v>
      </c>
    </row>
    <row r="866" spans="1:21" ht="15.75">
      <c r="A866" s="29" t="s">
        <v>7</v>
      </c>
      <c r="B866" s="24"/>
      <c r="C866" s="24"/>
      <c r="D866" s="24"/>
      <c r="E866" s="24"/>
      <c r="F866" s="24"/>
      <c r="G866" s="24"/>
      <c r="H866" s="24"/>
      <c r="I866" s="24"/>
      <c r="J866" s="24"/>
      <c r="K866" s="24"/>
      <c r="L866" s="24"/>
      <c r="M866" s="24"/>
      <c r="N866" s="24"/>
      <c r="O866" s="24"/>
      <c r="P866" s="24"/>
      <c r="Q866" s="24"/>
      <c r="R866" s="24"/>
      <c r="S866" s="24"/>
      <c r="T866" s="24"/>
    </row>
    <row r="867" spans="1:21" s="42" customFormat="1">
      <c r="A867" s="42" t="s">
        <v>8</v>
      </c>
      <c r="B867" s="42" t="s">
        <v>4</v>
      </c>
      <c r="C867" s="42" t="s">
        <v>9</v>
      </c>
      <c r="D867" s="42" t="s">
        <v>6</v>
      </c>
      <c r="E867" s="39" t="s">
        <v>106</v>
      </c>
      <c r="F867" s="42" t="s">
        <v>10</v>
      </c>
      <c r="G867" s="42" t="s">
        <v>2</v>
      </c>
      <c r="H867" s="42" t="s">
        <v>5</v>
      </c>
      <c r="I867" s="42" t="s">
        <v>11</v>
      </c>
      <c r="J867" s="42" t="s">
        <v>385</v>
      </c>
      <c r="K867" s="42" t="s">
        <v>386</v>
      </c>
      <c r="L867" s="42" t="s">
        <v>387</v>
      </c>
      <c r="M867" s="42" t="s">
        <v>388</v>
      </c>
      <c r="N867" s="42" t="s">
        <v>389</v>
      </c>
      <c r="O867" s="42" t="s">
        <v>390</v>
      </c>
      <c r="P867" s="42" t="s">
        <v>391</v>
      </c>
      <c r="Q867" s="42" t="s">
        <v>392</v>
      </c>
      <c r="R867" s="42" t="s">
        <v>393</v>
      </c>
      <c r="S867" s="42" t="s">
        <v>394</v>
      </c>
      <c r="T867" s="42" t="s">
        <v>395</v>
      </c>
      <c r="U867" s="42" t="s">
        <v>396</v>
      </c>
    </row>
    <row r="868" spans="1:21">
      <c r="A868" t="s">
        <v>402</v>
      </c>
      <c r="B868" t="s">
        <v>383</v>
      </c>
      <c r="C868">
        <v>1</v>
      </c>
      <c r="D868" t="s">
        <v>128</v>
      </c>
      <c r="G868" t="s">
        <v>29</v>
      </c>
      <c r="H868" t="s">
        <v>18</v>
      </c>
      <c r="I868" t="s">
        <v>405</v>
      </c>
      <c r="U868" t="s">
        <v>397</v>
      </c>
    </row>
    <row r="869" spans="1:21">
      <c r="A869" t="s">
        <v>398</v>
      </c>
      <c r="B869" t="s">
        <v>399</v>
      </c>
      <c r="C869">
        <v>2.8299989989246005E-7</v>
      </c>
      <c r="D869" t="s">
        <v>6</v>
      </c>
      <c r="G869" t="s">
        <v>49</v>
      </c>
      <c r="H869" t="s">
        <v>12</v>
      </c>
      <c r="I869" t="s">
        <v>405</v>
      </c>
      <c r="J869">
        <v>2</v>
      </c>
      <c r="K869">
        <v>-14.745139500000001</v>
      </c>
      <c r="L869">
        <v>1.05</v>
      </c>
      <c r="M869">
        <v>1.2</v>
      </c>
      <c r="N869">
        <v>1.03</v>
      </c>
      <c r="O869">
        <v>1.01</v>
      </c>
      <c r="P869">
        <v>1.2</v>
      </c>
      <c r="Q869">
        <v>1.2</v>
      </c>
      <c r="R869">
        <v>3</v>
      </c>
      <c r="S869">
        <v>0.57228175400000003</v>
      </c>
    </row>
    <row r="870" spans="1:21">
      <c r="A870" s="46" t="s">
        <v>425</v>
      </c>
      <c r="B870" s="46" t="s">
        <v>425</v>
      </c>
      <c r="C870">
        <v>1.9717499999999999</v>
      </c>
      <c r="D870" t="s">
        <v>13</v>
      </c>
      <c r="G870" t="s">
        <v>29</v>
      </c>
      <c r="H870" t="s">
        <v>12</v>
      </c>
      <c r="I870" t="s">
        <v>403</v>
      </c>
    </row>
    <row r="871" spans="1:21">
      <c r="A871" s="46" t="s">
        <v>171</v>
      </c>
      <c r="B871" t="s">
        <v>57</v>
      </c>
      <c r="C871">
        <v>0.38744588744588737</v>
      </c>
      <c r="D871" t="s">
        <v>13</v>
      </c>
      <c r="G871" t="s">
        <v>29</v>
      </c>
      <c r="H871" t="s">
        <v>12</v>
      </c>
      <c r="I871" t="s">
        <v>403</v>
      </c>
    </row>
    <row r="872" spans="1:21">
      <c r="A872" t="s">
        <v>400</v>
      </c>
      <c r="B872" t="s">
        <v>401</v>
      </c>
      <c r="C872">
        <v>5.9999993977199999E-5</v>
      </c>
      <c r="D872" t="s">
        <v>13</v>
      </c>
      <c r="G872" t="s">
        <v>49</v>
      </c>
      <c r="H872" t="s">
        <v>12</v>
      </c>
      <c r="I872" t="s">
        <v>405</v>
      </c>
      <c r="J872">
        <v>2</v>
      </c>
      <c r="K872">
        <v>-9.3884865570000002</v>
      </c>
      <c r="L872">
        <v>1.05</v>
      </c>
      <c r="M872">
        <v>1.2</v>
      </c>
      <c r="N872">
        <v>1.03</v>
      </c>
      <c r="O872">
        <v>1.01</v>
      </c>
      <c r="P872">
        <v>1.2</v>
      </c>
      <c r="Q872">
        <v>1.2</v>
      </c>
      <c r="R872">
        <v>1.05</v>
      </c>
      <c r="S872">
        <v>0.162370827</v>
      </c>
    </row>
    <row r="873" spans="1:21" s="41" customFormat="1">
      <c r="A873" s="46" t="s">
        <v>435</v>
      </c>
      <c r="B873" s="46" t="s">
        <v>435</v>
      </c>
      <c r="C873" s="65">
        <v>1</v>
      </c>
      <c r="D873" s="41" t="s">
        <v>6</v>
      </c>
      <c r="E873"/>
      <c r="F873" s="39"/>
      <c r="G873" s="46" t="s">
        <v>29</v>
      </c>
      <c r="H873" t="s">
        <v>12</v>
      </c>
      <c r="I873" s="39"/>
    </row>
    <row r="874" spans="1:21">
      <c r="A874" t="s">
        <v>130</v>
      </c>
      <c r="C874">
        <v>1.6132499999999999</v>
      </c>
      <c r="D874" t="s">
        <v>128</v>
      </c>
      <c r="F874" t="s">
        <v>284</v>
      </c>
      <c r="H874" t="s">
        <v>15</v>
      </c>
      <c r="I874" t="s">
        <v>403</v>
      </c>
    </row>
    <row r="875" spans="1:21">
      <c r="A875" t="s">
        <v>245</v>
      </c>
      <c r="B875"/>
      <c r="C875">
        <v>11.333081249999999</v>
      </c>
      <c r="D875" t="s">
        <v>46</v>
      </c>
      <c r="F875" t="s">
        <v>183</v>
      </c>
      <c r="H875" t="s">
        <v>15</v>
      </c>
      <c r="I875" t="s">
        <v>404</v>
      </c>
    </row>
    <row r="876" spans="1:21" s="69" customFormat="1">
      <c r="B876" s="70"/>
    </row>
    <row r="877" spans="1:21" s="41" customFormat="1">
      <c r="A877" s="39" t="s">
        <v>1</v>
      </c>
      <c r="B877" s="39" t="s">
        <v>425</v>
      </c>
      <c r="C877" s="40"/>
    </row>
    <row r="878" spans="1:21" s="41" customFormat="1">
      <c r="A878" s="39" t="s">
        <v>11</v>
      </c>
      <c r="B878" s="41" t="s">
        <v>426</v>
      </c>
      <c r="C878" s="40"/>
    </row>
    <row r="879" spans="1:21" s="41" customFormat="1">
      <c r="A879" s="39" t="s">
        <v>2</v>
      </c>
      <c r="B879" s="41" t="s">
        <v>29</v>
      </c>
      <c r="C879" s="40"/>
    </row>
    <row r="880" spans="1:21" s="41" customFormat="1">
      <c r="A880" s="42" t="s">
        <v>4</v>
      </c>
      <c r="B880" s="46" t="s">
        <v>425</v>
      </c>
      <c r="C880" s="40"/>
    </row>
    <row r="881" spans="1:11" s="41" customFormat="1">
      <c r="A881" s="39" t="s">
        <v>3</v>
      </c>
      <c r="B881" s="43">
        <v>1</v>
      </c>
      <c r="C881" s="40"/>
      <c r="D881" s="44"/>
    </row>
    <row r="882" spans="1:11" s="41" customFormat="1">
      <c r="A882" s="39" t="s">
        <v>6</v>
      </c>
      <c r="B882" s="41" t="s">
        <v>13</v>
      </c>
      <c r="C882" s="40"/>
      <c r="D882" s="44"/>
    </row>
    <row r="883" spans="1:11" s="41" customFormat="1">
      <c r="A883" s="39" t="s">
        <v>76</v>
      </c>
      <c r="B883" s="41" t="s">
        <v>419</v>
      </c>
      <c r="C883" s="40"/>
      <c r="D883" s="44"/>
    </row>
    <row r="884" spans="1:11" s="41" customFormat="1">
      <c r="A884" s="39" t="s">
        <v>7</v>
      </c>
      <c r="C884" s="40"/>
    </row>
    <row r="885" spans="1:11" s="41" customFormat="1">
      <c r="A885" s="39" t="s">
        <v>8</v>
      </c>
      <c r="B885" s="39" t="s">
        <v>4</v>
      </c>
      <c r="C885" s="45" t="s">
        <v>9</v>
      </c>
      <c r="D885" s="39" t="s">
        <v>6</v>
      </c>
      <c r="E885" s="39" t="s">
        <v>106</v>
      </c>
      <c r="F885" s="39" t="s">
        <v>10</v>
      </c>
      <c r="G885" s="39" t="s">
        <v>2</v>
      </c>
      <c r="H885" s="39" t="s">
        <v>5</v>
      </c>
      <c r="I885" s="39" t="s">
        <v>11</v>
      </c>
    </row>
    <row r="886" spans="1:11" s="41" customFormat="1">
      <c r="A886" s="46" t="s">
        <v>425</v>
      </c>
      <c r="B886" s="46" t="s">
        <v>425</v>
      </c>
      <c r="C886" s="60">
        <v>1</v>
      </c>
      <c r="D886" s="41" t="s">
        <v>13</v>
      </c>
      <c r="E886" s="46"/>
      <c r="F886" s="46"/>
      <c r="G886" s="46" t="s">
        <v>29</v>
      </c>
      <c r="H886" s="46" t="s">
        <v>18</v>
      </c>
      <c r="I886" s="46"/>
      <c r="J886" s="46"/>
      <c r="K886" s="46"/>
    </row>
    <row r="887" spans="1:11" s="41" customFormat="1">
      <c r="A887" s="46" t="s">
        <v>427</v>
      </c>
      <c r="B887" s="46" t="s">
        <v>427</v>
      </c>
      <c r="C887" s="60">
        <v>1</v>
      </c>
      <c r="D887" s="41" t="s">
        <v>13</v>
      </c>
      <c r="E887" s="46"/>
      <c r="F887" s="46"/>
      <c r="G887" s="46" t="s">
        <v>29</v>
      </c>
      <c r="H887" t="s">
        <v>12</v>
      </c>
      <c r="I887" s="46" t="s">
        <v>430</v>
      </c>
      <c r="J887" s="46"/>
      <c r="K887" s="46"/>
    </row>
    <row r="888" spans="1:11" s="41" customFormat="1">
      <c r="A888" s="46" t="s">
        <v>45</v>
      </c>
      <c r="B888" s="46" t="s">
        <v>43</v>
      </c>
      <c r="C888" s="61">
        <v>0.38400000000000001</v>
      </c>
      <c r="D888" t="s">
        <v>19</v>
      </c>
      <c r="E888" t="s">
        <v>205</v>
      </c>
      <c r="F888"/>
      <c r="G888" t="s">
        <v>29</v>
      </c>
      <c r="H888" t="s">
        <v>12</v>
      </c>
      <c r="I888"/>
      <c r="J888" s="46"/>
      <c r="K888" s="46"/>
    </row>
    <row r="889" spans="1:11" s="41" customFormat="1">
      <c r="A889" t="s">
        <v>258</v>
      </c>
      <c r="B889" t="s">
        <v>259</v>
      </c>
      <c r="C889" s="18">
        <v>2.8400000000000002E-4</v>
      </c>
      <c r="D889" t="s">
        <v>13</v>
      </c>
      <c r="E889" t="s">
        <v>205</v>
      </c>
      <c r="F889"/>
      <c r="G889" t="s">
        <v>140</v>
      </c>
      <c r="H889" t="s">
        <v>12</v>
      </c>
      <c r="I889"/>
      <c r="J889" s="46"/>
      <c r="K889" s="46"/>
    </row>
    <row r="890" spans="1:11" s="41" customFormat="1">
      <c r="A890" t="s">
        <v>406</v>
      </c>
      <c r="B890" t="s">
        <v>407</v>
      </c>
      <c r="C890" s="18">
        <v>3.0400000000000002E-4</v>
      </c>
      <c r="D890" t="s">
        <v>13</v>
      </c>
      <c r="E890" t="s">
        <v>205</v>
      </c>
      <c r="F890"/>
      <c r="G890" t="s">
        <v>140</v>
      </c>
      <c r="H890" t="s">
        <v>12</v>
      </c>
      <c r="I890"/>
      <c r="J890" s="46"/>
      <c r="K890" s="46"/>
    </row>
    <row r="891" spans="1:11" s="41" customFormat="1">
      <c r="A891" t="s">
        <v>260</v>
      </c>
      <c r="B891" t="s">
        <v>261</v>
      </c>
      <c r="C891" s="18">
        <v>8.2600000000000002E-5</v>
      </c>
      <c r="D891" t="s">
        <v>13</v>
      </c>
      <c r="E891" t="s">
        <v>205</v>
      </c>
      <c r="F891"/>
      <c r="G891" t="s">
        <v>140</v>
      </c>
      <c r="H891" t="s">
        <v>12</v>
      </c>
      <c r="I891"/>
      <c r="J891" s="46"/>
      <c r="K891" s="46"/>
    </row>
    <row r="892" spans="1:11" s="41" customFormat="1">
      <c r="A892" t="s">
        <v>408</v>
      </c>
      <c r="B892" t="s">
        <v>409</v>
      </c>
      <c r="C892" s="18">
        <v>8.2699999999999996E-11</v>
      </c>
      <c r="D892" t="s">
        <v>6</v>
      </c>
      <c r="E892" t="s">
        <v>205</v>
      </c>
      <c r="F892"/>
      <c r="G892" t="s">
        <v>49</v>
      </c>
      <c r="H892" t="s">
        <v>12</v>
      </c>
      <c r="I892"/>
      <c r="J892" s="46"/>
      <c r="K892" s="46"/>
    </row>
    <row r="893" spans="1:11" s="41" customFormat="1">
      <c r="A893" t="s">
        <v>410</v>
      </c>
      <c r="B893" t="s">
        <v>411</v>
      </c>
      <c r="C893" s="18">
        <v>7.4400000000000002E-10</v>
      </c>
      <c r="D893" t="s">
        <v>6</v>
      </c>
      <c r="E893" t="s">
        <v>205</v>
      </c>
      <c r="F893"/>
      <c r="G893" t="s">
        <v>140</v>
      </c>
      <c r="H893" t="s">
        <v>12</v>
      </c>
      <c r="I893"/>
      <c r="J893" s="46"/>
      <c r="K893" s="46"/>
    </row>
    <row r="894" spans="1:11" s="41" customFormat="1">
      <c r="A894" t="s">
        <v>412</v>
      </c>
      <c r="B894" t="s">
        <v>413</v>
      </c>
      <c r="C894" s="18">
        <v>3.3099999999999999E-10</v>
      </c>
      <c r="D894" t="s">
        <v>6</v>
      </c>
      <c r="E894" t="s">
        <v>205</v>
      </c>
      <c r="F894"/>
      <c r="G894" t="s">
        <v>140</v>
      </c>
      <c r="H894" t="s">
        <v>12</v>
      </c>
      <c r="I894"/>
      <c r="J894" s="46"/>
      <c r="K894" s="46"/>
    </row>
    <row r="895" spans="1:11" s="41" customFormat="1">
      <c r="A895" t="s">
        <v>144</v>
      </c>
      <c r="B895" t="s">
        <v>145</v>
      </c>
      <c r="C895" s="18">
        <v>5.1400000000000003E-12</v>
      </c>
      <c r="D895" t="s">
        <v>6</v>
      </c>
      <c r="E895" t="s">
        <v>205</v>
      </c>
      <c r="F895"/>
      <c r="G895" t="s">
        <v>140</v>
      </c>
      <c r="H895" t="s">
        <v>12</v>
      </c>
      <c r="I895"/>
      <c r="J895" s="46"/>
      <c r="K895" s="46"/>
    </row>
    <row r="896" spans="1:11" s="41" customFormat="1">
      <c r="A896" t="s">
        <v>414</v>
      </c>
      <c r="B896" t="s">
        <v>415</v>
      </c>
      <c r="C896" s="18">
        <v>5.7899999999999997E-10</v>
      </c>
      <c r="D896" t="s">
        <v>6</v>
      </c>
      <c r="E896" t="s">
        <v>205</v>
      </c>
      <c r="F896"/>
      <c r="G896" t="s">
        <v>140</v>
      </c>
      <c r="H896" t="s">
        <v>12</v>
      </c>
      <c r="I896"/>
      <c r="J896" s="46"/>
      <c r="K896" s="46"/>
    </row>
    <row r="897" spans="1:11" s="41" customFormat="1">
      <c r="A897" t="s">
        <v>416</v>
      </c>
      <c r="B897" t="s">
        <v>417</v>
      </c>
      <c r="C897" s="18">
        <v>-2.2699999999999999E-4</v>
      </c>
      <c r="D897" t="s">
        <v>13</v>
      </c>
      <c r="E897" t="s">
        <v>205</v>
      </c>
      <c r="F897"/>
      <c r="G897" t="s">
        <v>22</v>
      </c>
      <c r="H897" t="s">
        <v>12</v>
      </c>
      <c r="I897"/>
      <c r="J897" s="46"/>
      <c r="K897" s="46"/>
    </row>
    <row r="898" spans="1:11" s="41" customFormat="1">
      <c r="A898" s="46" t="s">
        <v>127</v>
      </c>
      <c r="B898" s="46"/>
      <c r="C898" s="62">
        <v>8.3199999999999996E-2</v>
      </c>
      <c r="D898" s="41" t="s">
        <v>128</v>
      </c>
      <c r="E898" s="46" t="s">
        <v>109</v>
      </c>
      <c r="F898" s="41" t="s">
        <v>129</v>
      </c>
      <c r="G898"/>
      <c r="H898" t="s">
        <v>15</v>
      </c>
      <c r="I898" s="46"/>
      <c r="J898" s="46"/>
      <c r="K898" s="46"/>
    </row>
    <row r="899" spans="1:11" s="41" customFormat="1">
      <c r="A899" t="s">
        <v>268</v>
      </c>
      <c r="B899"/>
      <c r="C899" s="18">
        <v>1.2300000000000001E-4</v>
      </c>
      <c r="D899" t="s">
        <v>13</v>
      </c>
      <c r="E899" s="46" t="s">
        <v>109</v>
      </c>
      <c r="F899" s="43" t="s">
        <v>183</v>
      </c>
      <c r="G899"/>
      <c r="H899" t="s">
        <v>15</v>
      </c>
      <c r="I899"/>
      <c r="J899" s="46"/>
      <c r="K899" s="46"/>
    </row>
    <row r="900" spans="1:11" s="41" customFormat="1">
      <c r="A900" s="46" t="s">
        <v>418</v>
      </c>
      <c r="B900" s="46"/>
      <c r="C900" s="44">
        <v>6.0000000000000002E-6</v>
      </c>
      <c r="D900" s="41" t="s">
        <v>13</v>
      </c>
      <c r="E900" s="46" t="s">
        <v>109</v>
      </c>
      <c r="F900" s="43" t="s">
        <v>183</v>
      </c>
      <c r="G900"/>
      <c r="H900" t="s">
        <v>15</v>
      </c>
      <c r="I900" s="46"/>
      <c r="J900" s="46"/>
      <c r="K900" s="46"/>
    </row>
    <row r="901" spans="1:11" s="69" customFormat="1">
      <c r="B901" s="70"/>
    </row>
    <row r="902" spans="1:11" s="41" customFormat="1">
      <c r="A902" s="39" t="s">
        <v>1</v>
      </c>
      <c r="B902" s="63" t="s">
        <v>427</v>
      </c>
      <c r="C902" s="40"/>
    </row>
    <row r="903" spans="1:11" s="41" customFormat="1">
      <c r="A903" s="39" t="s">
        <v>11</v>
      </c>
      <c r="B903" s="46" t="s">
        <v>428</v>
      </c>
    </row>
    <row r="904" spans="1:11" s="41" customFormat="1">
      <c r="A904" s="39" t="s">
        <v>2</v>
      </c>
      <c r="B904" s="41" t="s">
        <v>29</v>
      </c>
      <c r="C904" s="40"/>
    </row>
    <row r="905" spans="1:11" s="41" customFormat="1">
      <c r="A905" s="42" t="s">
        <v>4</v>
      </c>
      <c r="B905" s="46" t="s">
        <v>427</v>
      </c>
      <c r="C905" s="40"/>
    </row>
    <row r="906" spans="1:11" s="41" customFormat="1">
      <c r="A906" s="39" t="s">
        <v>3</v>
      </c>
      <c r="B906" s="43">
        <v>1</v>
      </c>
      <c r="C906" s="40"/>
      <c r="D906" s="44"/>
    </row>
    <row r="907" spans="1:11" s="41" customFormat="1">
      <c r="A907" s="39" t="s">
        <v>6</v>
      </c>
      <c r="B907" s="41" t="s">
        <v>13</v>
      </c>
      <c r="C907" s="40"/>
      <c r="D907" s="44"/>
    </row>
    <row r="908" spans="1:11" s="41" customFormat="1">
      <c r="A908" s="39" t="s">
        <v>76</v>
      </c>
      <c r="B908" s="41" t="s">
        <v>384</v>
      </c>
      <c r="C908" s="40"/>
      <c r="D908" s="44"/>
    </row>
    <row r="909" spans="1:11" s="41" customFormat="1">
      <c r="A909" s="39" t="s">
        <v>7</v>
      </c>
      <c r="C909" s="40"/>
    </row>
    <row r="910" spans="1:11" s="41" customFormat="1">
      <c r="A910" s="39" t="s">
        <v>8</v>
      </c>
      <c r="B910" s="39" t="s">
        <v>4</v>
      </c>
      <c r="C910" s="45" t="s">
        <v>9</v>
      </c>
      <c r="D910" s="39" t="s">
        <v>6</v>
      </c>
      <c r="E910" s="39" t="s">
        <v>106</v>
      </c>
      <c r="F910" s="39" t="s">
        <v>10</v>
      </c>
      <c r="G910" s="39" t="s">
        <v>2</v>
      </c>
      <c r="H910" s="39" t="s">
        <v>5</v>
      </c>
      <c r="I910" s="39" t="s">
        <v>11</v>
      </c>
    </row>
    <row r="911" spans="1:11" s="41" customFormat="1">
      <c r="A911" s="46" t="s">
        <v>427</v>
      </c>
      <c r="B911" s="46" t="s">
        <v>427</v>
      </c>
      <c r="C911" s="60">
        <v>1</v>
      </c>
      <c r="D911" s="41" t="s">
        <v>13</v>
      </c>
      <c r="E911" s="46"/>
      <c r="F911" s="46"/>
      <c r="G911" s="46" t="s">
        <v>29</v>
      </c>
      <c r="H911" t="s">
        <v>18</v>
      </c>
      <c r="J911" s="46"/>
      <c r="K911" s="46"/>
    </row>
    <row r="912" spans="1:11" s="41" customFormat="1">
      <c r="A912" s="41" t="s">
        <v>252</v>
      </c>
      <c r="B912" s="41" t="s">
        <v>253</v>
      </c>
      <c r="C912" s="64">
        <v>1.3129534488582797E-3</v>
      </c>
      <c r="D912" s="41" t="s">
        <v>13</v>
      </c>
      <c r="E912" t="s">
        <v>205</v>
      </c>
      <c r="G912" s="41" t="s">
        <v>140</v>
      </c>
      <c r="H912" s="41" t="s">
        <v>12</v>
      </c>
      <c r="I912" s="41" t="s">
        <v>429</v>
      </c>
    </row>
    <row r="913" spans="1:9" s="69" customFormat="1">
      <c r="B913" s="70"/>
    </row>
    <row r="914" spans="1:9" s="41" customFormat="1">
      <c r="A914" s="39" t="s">
        <v>1</v>
      </c>
      <c r="B914" s="63" t="s">
        <v>431</v>
      </c>
      <c r="C914" s="40"/>
    </row>
    <row r="915" spans="1:9" s="41" customFormat="1">
      <c r="A915" s="39" t="s">
        <v>11</v>
      </c>
      <c r="B915" s="46" t="s">
        <v>432</v>
      </c>
    </row>
    <row r="916" spans="1:9" s="41" customFormat="1">
      <c r="A916" s="39" t="s">
        <v>2</v>
      </c>
      <c r="B916" s="41" t="s">
        <v>29</v>
      </c>
      <c r="C916" s="40"/>
    </row>
    <row r="917" spans="1:9" s="41" customFormat="1">
      <c r="A917" s="42" t="s">
        <v>4</v>
      </c>
      <c r="B917" s="46" t="s">
        <v>431</v>
      </c>
      <c r="C917" s="40"/>
      <c r="D917" s="44"/>
    </row>
    <row r="918" spans="1:9" s="41" customFormat="1">
      <c r="A918" s="39" t="s">
        <v>3</v>
      </c>
      <c r="B918" s="43">
        <v>1</v>
      </c>
      <c r="C918" s="40"/>
      <c r="D918" s="72"/>
    </row>
    <row r="919" spans="1:9" s="41" customFormat="1">
      <c r="A919" s="39" t="s">
        <v>6</v>
      </c>
      <c r="B919" s="41" t="s">
        <v>6</v>
      </c>
      <c r="C919" s="40"/>
      <c r="D919" s="44"/>
    </row>
    <row r="920" spans="1:9" s="41" customFormat="1">
      <c r="A920" s="39" t="s">
        <v>76</v>
      </c>
      <c r="C920" s="40"/>
    </row>
    <row r="921" spans="1:9" s="41" customFormat="1">
      <c r="A921" s="39" t="s">
        <v>7</v>
      </c>
      <c r="C921" s="40"/>
    </row>
    <row r="922" spans="1:9" s="41" customFormat="1">
      <c r="A922" s="39" t="s">
        <v>8</v>
      </c>
      <c r="B922" s="39" t="s">
        <v>4</v>
      </c>
      <c r="C922" s="45" t="s">
        <v>9</v>
      </c>
      <c r="D922" s="39" t="s">
        <v>6</v>
      </c>
      <c r="E922" s="39" t="s">
        <v>106</v>
      </c>
      <c r="F922" s="39" t="s">
        <v>10</v>
      </c>
      <c r="G922" s="39" t="s">
        <v>2</v>
      </c>
      <c r="H922" s="39" t="s">
        <v>5</v>
      </c>
      <c r="I922" s="39" t="s">
        <v>11</v>
      </c>
    </row>
    <row r="923" spans="1:9" s="41" customFormat="1">
      <c r="A923" s="46" t="s">
        <v>431</v>
      </c>
      <c r="B923" s="46" t="s">
        <v>431</v>
      </c>
      <c r="C923" s="65">
        <v>1</v>
      </c>
      <c r="D923" s="41" t="s">
        <v>6</v>
      </c>
      <c r="E923"/>
      <c r="F923" s="39"/>
      <c r="G923" s="46" t="s">
        <v>29</v>
      </c>
      <c r="H923" t="s">
        <v>18</v>
      </c>
      <c r="I923" s="39"/>
    </row>
    <row r="924" spans="1:9">
      <c r="A924" s="38" t="s">
        <v>433</v>
      </c>
      <c r="B924" s="46" t="s">
        <v>434</v>
      </c>
      <c r="C924" s="66">
        <f>0.00593*34.72</f>
        <v>0.20588960000000001</v>
      </c>
      <c r="D924" s="41" t="s">
        <v>46</v>
      </c>
      <c r="E924" s="46"/>
      <c r="G924" t="s">
        <v>22</v>
      </c>
      <c r="H924" s="46" t="s">
        <v>12</v>
      </c>
      <c r="I924" t="s">
        <v>489</v>
      </c>
    </row>
    <row r="925" spans="1:9">
      <c r="A925" s="46" t="s">
        <v>45</v>
      </c>
      <c r="B925" s="46" t="s">
        <v>43</v>
      </c>
      <c r="C925" s="73">
        <v>2.47205137945098E-3</v>
      </c>
      <c r="D925" t="s">
        <v>19</v>
      </c>
      <c r="G925" t="s">
        <v>29</v>
      </c>
      <c r="H925" t="s">
        <v>12</v>
      </c>
      <c r="I925" t="s">
        <v>492</v>
      </c>
    </row>
    <row r="926" spans="1:9">
      <c r="A926" t="s">
        <v>212</v>
      </c>
      <c r="B926"/>
      <c r="C926" s="32">
        <v>1.1448370274509817E-5</v>
      </c>
      <c r="D926" t="s">
        <v>13</v>
      </c>
      <c r="E926" t="s">
        <v>109</v>
      </c>
      <c r="F926" t="s">
        <v>183</v>
      </c>
      <c r="H926" t="s">
        <v>15</v>
      </c>
      <c r="I926" t="s">
        <v>490</v>
      </c>
    </row>
    <row r="927" spans="1:9">
      <c r="A927" t="s">
        <v>184</v>
      </c>
      <c r="B927"/>
      <c r="C927" s="32">
        <v>1.3211959364705882E-4</v>
      </c>
      <c r="D927" t="s">
        <v>13</v>
      </c>
      <c r="E927" t="s">
        <v>109</v>
      </c>
      <c r="F927" t="s">
        <v>183</v>
      </c>
      <c r="H927" t="s">
        <v>15</v>
      </c>
      <c r="I927" t="s">
        <v>490</v>
      </c>
    </row>
    <row r="928" spans="1:9" s="69" customFormat="1">
      <c r="B928" s="70"/>
    </row>
    <row r="929" spans="1:9" s="41" customFormat="1">
      <c r="A929" s="39" t="s">
        <v>1</v>
      </c>
      <c r="B929" s="63" t="s">
        <v>435</v>
      </c>
      <c r="C929" s="40"/>
    </row>
    <row r="930" spans="1:9" s="41" customFormat="1">
      <c r="A930" s="39" t="s">
        <v>11</v>
      </c>
      <c r="B930" s="46" t="s">
        <v>436</v>
      </c>
    </row>
    <row r="931" spans="1:9" s="41" customFormat="1">
      <c r="A931" s="39" t="s">
        <v>2</v>
      </c>
      <c r="B931" s="41" t="s">
        <v>29</v>
      </c>
      <c r="C931" s="40"/>
    </row>
    <row r="932" spans="1:9" s="41" customFormat="1">
      <c r="A932" s="42" t="s">
        <v>4</v>
      </c>
      <c r="B932" s="46" t="s">
        <v>435</v>
      </c>
      <c r="C932" s="40"/>
    </row>
    <row r="933" spans="1:9" s="41" customFormat="1">
      <c r="A933" s="39" t="s">
        <v>3</v>
      </c>
      <c r="B933" s="43">
        <v>1</v>
      </c>
      <c r="C933" s="40"/>
      <c r="D933" s="44"/>
      <c r="F933" s="72"/>
    </row>
    <row r="934" spans="1:9" s="41" customFormat="1">
      <c r="A934" s="39" t="s">
        <v>6</v>
      </c>
      <c r="B934" s="41" t="s">
        <v>6</v>
      </c>
      <c r="C934" s="40"/>
      <c r="D934" s="44"/>
    </row>
    <row r="935" spans="1:9" s="41" customFormat="1">
      <c r="A935" s="39" t="s">
        <v>76</v>
      </c>
      <c r="C935" s="40"/>
      <c r="D935" s="44"/>
    </row>
    <row r="936" spans="1:9" s="41" customFormat="1">
      <c r="A936" s="39" t="s">
        <v>7</v>
      </c>
      <c r="C936" s="40"/>
    </row>
    <row r="937" spans="1:9" s="41" customFormat="1">
      <c r="A937" s="39" t="s">
        <v>8</v>
      </c>
      <c r="B937" s="39" t="s">
        <v>4</v>
      </c>
      <c r="C937" s="45" t="s">
        <v>9</v>
      </c>
      <c r="D937" s="39" t="s">
        <v>6</v>
      </c>
      <c r="E937" s="39" t="s">
        <v>106</v>
      </c>
      <c r="F937" s="39" t="s">
        <v>10</v>
      </c>
      <c r="G937" s="39" t="s">
        <v>2</v>
      </c>
      <c r="H937" s="39" t="s">
        <v>5</v>
      </c>
      <c r="I937" s="39" t="s">
        <v>11</v>
      </c>
    </row>
    <row r="938" spans="1:9" s="41" customFormat="1">
      <c r="A938" s="46" t="s">
        <v>435</v>
      </c>
      <c r="B938" s="46" t="s">
        <v>435</v>
      </c>
      <c r="C938" s="65">
        <v>1</v>
      </c>
      <c r="D938" s="41" t="s">
        <v>6</v>
      </c>
      <c r="E938"/>
      <c r="F938" s="39"/>
      <c r="G938" s="46" t="s">
        <v>29</v>
      </c>
      <c r="H938" t="s">
        <v>18</v>
      </c>
      <c r="I938" s="39"/>
    </row>
    <row r="939" spans="1:9">
      <c r="A939" s="38" t="s">
        <v>433</v>
      </c>
      <c r="B939" s="46" t="s">
        <v>434</v>
      </c>
      <c r="C939" s="66">
        <f>0.00593*35.8</f>
        <v>0.21229399999999998</v>
      </c>
      <c r="D939" s="41" t="s">
        <v>46</v>
      </c>
      <c r="E939" s="46"/>
      <c r="G939" t="s">
        <v>22</v>
      </c>
      <c r="H939" s="46" t="s">
        <v>12</v>
      </c>
      <c r="I939" t="s">
        <v>483</v>
      </c>
    </row>
    <row r="940" spans="1:9">
      <c r="A940" s="46" t="s">
        <v>45</v>
      </c>
      <c r="B940" s="46" t="s">
        <v>43</v>
      </c>
      <c r="C940" s="73">
        <v>2.5489599999999999E-3</v>
      </c>
      <c r="D940" t="s">
        <v>19</v>
      </c>
      <c r="G940" t="s">
        <v>29</v>
      </c>
      <c r="H940" t="s">
        <v>12</v>
      </c>
      <c r="I940" t="s">
        <v>492</v>
      </c>
    </row>
    <row r="941" spans="1:9">
      <c r="A941" t="s">
        <v>184</v>
      </c>
      <c r="B941"/>
      <c r="C941" s="18">
        <v>1.3623000000000002E-4</v>
      </c>
      <c r="D941" t="s">
        <v>13</v>
      </c>
      <c r="E941" t="s">
        <v>109</v>
      </c>
      <c r="F941" t="s">
        <v>183</v>
      </c>
      <c r="H941" t="s">
        <v>15</v>
      </c>
      <c r="I941" t="s">
        <v>491</v>
      </c>
    </row>
    <row r="942" spans="1:9" s="69" customFormat="1">
      <c r="B942" s="70"/>
    </row>
    <row r="943" spans="1:9">
      <c r="A943" s="39" t="s">
        <v>1</v>
      </c>
      <c r="B943" s="63" t="s">
        <v>469</v>
      </c>
      <c r="C943" s="40"/>
      <c r="D943" s="41"/>
      <c r="E943" s="41"/>
      <c r="F943" s="41"/>
      <c r="G943" s="41"/>
      <c r="H943" s="41"/>
      <c r="I943" s="41"/>
    </row>
    <row r="944" spans="1:9">
      <c r="A944" s="39" t="s">
        <v>11</v>
      </c>
      <c r="B944" s="46" t="s">
        <v>470</v>
      </c>
      <c r="C944" s="41"/>
      <c r="D944" s="41"/>
      <c r="E944" s="41"/>
      <c r="F944" s="41"/>
      <c r="G944" s="41"/>
      <c r="H944" s="41"/>
      <c r="I944" s="41"/>
    </row>
    <row r="945" spans="1:9">
      <c r="A945" s="39" t="s">
        <v>2</v>
      </c>
      <c r="B945" s="41" t="s">
        <v>29</v>
      </c>
      <c r="C945" s="40"/>
      <c r="D945" s="41"/>
      <c r="E945" s="41"/>
      <c r="F945" s="41"/>
      <c r="G945" s="41"/>
      <c r="H945" s="41"/>
      <c r="I945" s="41"/>
    </row>
    <row r="946" spans="1:9">
      <c r="A946" s="42" t="s">
        <v>4</v>
      </c>
      <c r="B946" s="46" t="s">
        <v>162</v>
      </c>
      <c r="C946" s="40"/>
      <c r="D946" s="41"/>
      <c r="E946" s="41"/>
      <c r="F946" s="41"/>
      <c r="G946" s="41"/>
      <c r="H946" s="41"/>
      <c r="I946" s="41"/>
    </row>
    <row r="947" spans="1:9">
      <c r="A947" s="39" t="s">
        <v>3</v>
      </c>
      <c r="B947" s="43">
        <v>1</v>
      </c>
      <c r="C947" s="40"/>
      <c r="D947" s="44"/>
      <c r="E947" s="41"/>
      <c r="F947" s="41"/>
      <c r="G947" s="41"/>
      <c r="H947" s="41"/>
      <c r="I947" s="41"/>
    </row>
    <row r="948" spans="1:9">
      <c r="A948" s="39" t="s">
        <v>6</v>
      </c>
      <c r="B948" s="71" t="s">
        <v>128</v>
      </c>
      <c r="C948" s="40"/>
      <c r="D948" s="44"/>
      <c r="E948" s="41"/>
      <c r="F948" s="41"/>
      <c r="G948" s="41"/>
      <c r="H948" s="41"/>
      <c r="I948" s="41"/>
    </row>
    <row r="949" spans="1:9">
      <c r="A949" s="39" t="s">
        <v>76</v>
      </c>
      <c r="B949" s="41"/>
      <c r="C949" s="40"/>
      <c r="D949" s="44"/>
      <c r="E949" s="41"/>
      <c r="F949" s="41"/>
      <c r="G949" s="41"/>
      <c r="H949" s="41"/>
      <c r="I949" s="41"/>
    </row>
    <row r="950" spans="1:9">
      <c r="A950" s="39" t="s">
        <v>7</v>
      </c>
      <c r="B950" s="41"/>
      <c r="C950" s="40"/>
      <c r="D950" s="41"/>
      <c r="E950" s="41"/>
      <c r="F950" s="41"/>
      <c r="G950" s="41"/>
      <c r="H950" s="41"/>
      <c r="I950" s="41"/>
    </row>
    <row r="951" spans="1:9">
      <c r="A951" s="39" t="s">
        <v>8</v>
      </c>
      <c r="B951" s="39" t="s">
        <v>4</v>
      </c>
      <c r="C951" s="45" t="s">
        <v>9</v>
      </c>
      <c r="D951" s="39" t="s">
        <v>6</v>
      </c>
      <c r="E951" s="39" t="s">
        <v>106</v>
      </c>
      <c r="F951" s="39" t="s">
        <v>10</v>
      </c>
      <c r="G951" s="39" t="s">
        <v>2</v>
      </c>
      <c r="H951" s="39" t="s">
        <v>5</v>
      </c>
      <c r="I951" s="39" t="s">
        <v>11</v>
      </c>
    </row>
    <row r="952" spans="1:9">
      <c r="A952" s="46" t="s">
        <v>469</v>
      </c>
      <c r="B952" s="46" t="s">
        <v>162</v>
      </c>
      <c r="C952" s="41">
        <v>1</v>
      </c>
      <c r="D952" s="41" t="s">
        <v>128</v>
      </c>
      <c r="F952" s="39"/>
      <c r="G952" s="46" t="s">
        <v>29</v>
      </c>
      <c r="H952" t="s">
        <v>18</v>
      </c>
      <c r="I952" s="39"/>
    </row>
    <row r="953" spans="1:9">
      <c r="A953" t="s">
        <v>471</v>
      </c>
      <c r="B953" s="18" t="s">
        <v>471</v>
      </c>
      <c r="C953">
        <v>0.1764792</v>
      </c>
      <c r="D953" s="41" t="s">
        <v>46</v>
      </c>
      <c r="G953" t="s">
        <v>29</v>
      </c>
      <c r="H953" t="s">
        <v>12</v>
      </c>
      <c r="I953" t="s">
        <v>480</v>
      </c>
    </row>
    <row r="954" spans="1:9">
      <c r="A954" t="s">
        <v>472</v>
      </c>
      <c r="B954" s="18" t="s">
        <v>162</v>
      </c>
      <c r="C954">
        <v>3.6361999999999998E-2</v>
      </c>
      <c r="D954" s="41" t="s">
        <v>128</v>
      </c>
      <c r="G954" t="s">
        <v>29</v>
      </c>
      <c r="H954" t="s">
        <v>12</v>
      </c>
    </row>
    <row r="955" spans="1:9">
      <c r="A955" t="s">
        <v>473</v>
      </c>
      <c r="B955" s="18" t="s">
        <v>162</v>
      </c>
      <c r="C955">
        <v>6.9374000000000005E-2</v>
      </c>
      <c r="D955" s="41" t="s">
        <v>128</v>
      </c>
      <c r="G955" t="s">
        <v>29</v>
      </c>
      <c r="H955" t="s">
        <v>12</v>
      </c>
    </row>
    <row r="956" spans="1:9">
      <c r="A956" t="s">
        <v>474</v>
      </c>
      <c r="B956" s="18" t="s">
        <v>162</v>
      </c>
      <c r="C956">
        <v>8.3135000000000001E-2</v>
      </c>
      <c r="D956" s="41" t="s">
        <v>128</v>
      </c>
      <c r="G956" t="s">
        <v>29</v>
      </c>
      <c r="H956" t="s">
        <v>12</v>
      </c>
    </row>
    <row r="957" spans="1:9">
      <c r="A957" t="s">
        <v>475</v>
      </c>
      <c r="B957" s="18" t="s">
        <v>162</v>
      </c>
      <c r="C957">
        <v>3.4417999999999997E-2</v>
      </c>
      <c r="D957" s="41" t="s">
        <v>128</v>
      </c>
      <c r="G957" t="s">
        <v>29</v>
      </c>
      <c r="H957" t="s">
        <v>12</v>
      </c>
    </row>
    <row r="958" spans="1:9">
      <c r="A958" t="s">
        <v>476</v>
      </c>
      <c r="B958" s="18" t="s">
        <v>162</v>
      </c>
      <c r="C958">
        <v>0.42777999999999999</v>
      </c>
      <c r="D958" s="41" t="s">
        <v>128</v>
      </c>
      <c r="G958" t="s">
        <v>29</v>
      </c>
      <c r="H958" t="s">
        <v>12</v>
      </c>
    </row>
    <row r="959" spans="1:9">
      <c r="A959" t="s">
        <v>477</v>
      </c>
      <c r="B959" s="18" t="s">
        <v>162</v>
      </c>
      <c r="C959">
        <v>0.29048000000000002</v>
      </c>
      <c r="D959" s="41" t="s">
        <v>128</v>
      </c>
      <c r="G959" t="s">
        <v>29</v>
      </c>
      <c r="H959" t="s">
        <v>12</v>
      </c>
    </row>
    <row r="960" spans="1:9">
      <c r="A960" t="s">
        <v>478</v>
      </c>
      <c r="B960" s="18" t="s">
        <v>162</v>
      </c>
      <c r="C960">
        <v>5.8443000000000002E-2</v>
      </c>
      <c r="D960" s="41" t="s">
        <v>128</v>
      </c>
      <c r="G960" t="s">
        <v>29</v>
      </c>
      <c r="H960" t="s">
        <v>12</v>
      </c>
    </row>
    <row r="961" spans="1:9">
      <c r="A961" t="s">
        <v>113</v>
      </c>
      <c r="C961" s="18">
        <v>6.6423599999999999E-6</v>
      </c>
      <c r="D961" s="41" t="s">
        <v>13</v>
      </c>
      <c r="E961" t="s">
        <v>109</v>
      </c>
      <c r="F961" t="s">
        <v>183</v>
      </c>
      <c r="G961" s="18"/>
      <c r="H961" t="s">
        <v>15</v>
      </c>
      <c r="I961" t="s">
        <v>481</v>
      </c>
    </row>
    <row r="962" spans="1:9">
      <c r="A962" t="s">
        <v>40</v>
      </c>
      <c r="C962" s="18">
        <v>2.3978160000000001E-5</v>
      </c>
      <c r="D962" s="41" t="s">
        <v>13</v>
      </c>
      <c r="E962" t="s">
        <v>109</v>
      </c>
      <c r="F962" t="s">
        <v>183</v>
      </c>
      <c r="G962" s="18"/>
      <c r="H962" t="s">
        <v>15</v>
      </c>
      <c r="I962" t="s">
        <v>481</v>
      </c>
    </row>
    <row r="963" spans="1:9">
      <c r="A963" t="s">
        <v>479</v>
      </c>
      <c r="C963" s="18">
        <v>5.74128E-5</v>
      </c>
      <c r="D963" s="41" t="s">
        <v>13</v>
      </c>
      <c r="E963" t="s">
        <v>109</v>
      </c>
      <c r="F963" t="s">
        <v>183</v>
      </c>
      <c r="G963" s="18"/>
      <c r="H963" t="s">
        <v>15</v>
      </c>
      <c r="I963" t="s">
        <v>481</v>
      </c>
    </row>
    <row r="964" spans="1:9">
      <c r="A964" t="s">
        <v>118</v>
      </c>
      <c r="C964">
        <v>6.9317999999999995E-4</v>
      </c>
      <c r="D964" s="41" t="s">
        <v>13</v>
      </c>
      <c r="E964" t="s">
        <v>109</v>
      </c>
      <c r="F964" t="s">
        <v>183</v>
      </c>
      <c r="H964" t="s">
        <v>15</v>
      </c>
      <c r="I964" t="s">
        <v>481</v>
      </c>
    </row>
    <row r="965" spans="1:9">
      <c r="A965" t="s">
        <v>216</v>
      </c>
      <c r="C965" s="18">
        <v>4.7829600000000004E-7</v>
      </c>
      <c r="D965" s="41" t="s">
        <v>13</v>
      </c>
      <c r="E965" t="s">
        <v>109</v>
      </c>
      <c r="F965" t="s">
        <v>183</v>
      </c>
      <c r="G965" s="18"/>
      <c r="H965" t="s">
        <v>15</v>
      </c>
      <c r="I965" t="s">
        <v>481</v>
      </c>
    </row>
    <row r="966" spans="1:9">
      <c r="A966" t="s">
        <v>123</v>
      </c>
      <c r="C966" s="18">
        <v>1.2917519999999999E-5</v>
      </c>
      <c r="D966" s="41" t="s">
        <v>13</v>
      </c>
      <c r="E966" t="s">
        <v>109</v>
      </c>
      <c r="F966" t="s">
        <v>183</v>
      </c>
      <c r="G966" s="18"/>
      <c r="H966" t="s">
        <v>15</v>
      </c>
      <c r="I966" t="s">
        <v>481</v>
      </c>
    </row>
    <row r="967" spans="1:9">
      <c r="A967" s="69"/>
      <c r="B967" s="70"/>
      <c r="C967" s="69"/>
      <c r="D967" s="69"/>
      <c r="E967" s="69"/>
      <c r="F967" s="69"/>
      <c r="G967" s="69"/>
      <c r="H967" s="69"/>
      <c r="I967" s="69"/>
    </row>
    <row r="968" spans="1:9">
      <c r="A968" s="39" t="s">
        <v>1</v>
      </c>
      <c r="B968" s="63" t="s">
        <v>487</v>
      </c>
      <c r="C968" s="40"/>
      <c r="D968" s="41"/>
      <c r="E968" s="41"/>
      <c r="F968" s="41"/>
      <c r="G968" s="41"/>
      <c r="H968" s="41"/>
      <c r="I968" s="41"/>
    </row>
    <row r="969" spans="1:9">
      <c r="A969" s="39" t="s">
        <v>11</v>
      </c>
      <c r="B969" s="46" t="s">
        <v>486</v>
      </c>
      <c r="C969" s="41"/>
      <c r="D969" s="41"/>
      <c r="E969" s="41"/>
      <c r="F969" s="41"/>
      <c r="G969" s="41"/>
      <c r="H969" s="41"/>
      <c r="I969" s="41"/>
    </row>
    <row r="970" spans="1:9">
      <c r="A970" s="39" t="s">
        <v>2</v>
      </c>
      <c r="B970" s="41" t="s">
        <v>29</v>
      </c>
      <c r="C970" s="40"/>
      <c r="D970" s="41"/>
      <c r="E970" s="41"/>
      <c r="F970" s="41"/>
      <c r="G970" s="41"/>
      <c r="H970" s="41"/>
      <c r="I970" s="41"/>
    </row>
    <row r="971" spans="1:9">
      <c r="A971" s="42" t="s">
        <v>4</v>
      </c>
      <c r="B971" s="46" t="s">
        <v>244</v>
      </c>
      <c r="C971" s="40"/>
      <c r="D971" s="41"/>
      <c r="E971" s="41"/>
      <c r="F971" s="41"/>
      <c r="G971" s="41"/>
      <c r="H971" s="41"/>
      <c r="I971" s="41"/>
    </row>
    <row r="972" spans="1:9">
      <c r="A972" s="39" t="s">
        <v>3</v>
      </c>
      <c r="B972" s="43">
        <v>1</v>
      </c>
      <c r="C972" s="40"/>
      <c r="D972" s="44"/>
      <c r="E972" s="41"/>
      <c r="F972" s="41"/>
      <c r="G972" s="41"/>
      <c r="H972" s="41"/>
      <c r="I972" s="41"/>
    </row>
    <row r="973" spans="1:9">
      <c r="A973" s="39" t="s">
        <v>6</v>
      </c>
      <c r="B973" s="43" t="s">
        <v>128</v>
      </c>
      <c r="C973" s="40"/>
      <c r="D973" s="44"/>
      <c r="E973" s="41"/>
      <c r="F973" s="41"/>
      <c r="G973" s="41"/>
      <c r="H973" s="41"/>
      <c r="I973" s="41"/>
    </row>
    <row r="974" spans="1:9">
      <c r="A974" s="39" t="s">
        <v>76</v>
      </c>
      <c r="B974" s="41" t="s">
        <v>488</v>
      </c>
      <c r="C974" s="40"/>
      <c r="D974" s="44"/>
      <c r="E974" s="41"/>
      <c r="F974" s="41"/>
      <c r="G974" s="41"/>
      <c r="H974" s="41"/>
      <c r="I974" s="41"/>
    </row>
    <row r="975" spans="1:9">
      <c r="A975" s="39" t="s">
        <v>7</v>
      </c>
      <c r="B975" s="41"/>
      <c r="C975" s="40"/>
      <c r="D975" s="41"/>
      <c r="E975" s="41"/>
      <c r="F975" s="41"/>
      <c r="G975" s="41"/>
      <c r="H975" s="41"/>
      <c r="I975" s="41"/>
    </row>
    <row r="976" spans="1:9">
      <c r="A976" s="39" t="s">
        <v>8</v>
      </c>
      <c r="B976" s="39" t="s">
        <v>4</v>
      </c>
      <c r="C976" s="45" t="s">
        <v>9</v>
      </c>
      <c r="D976" s="39" t="s">
        <v>6</v>
      </c>
      <c r="E976" s="39" t="s">
        <v>106</v>
      </c>
      <c r="F976" s="39" t="s">
        <v>10</v>
      </c>
      <c r="G976" s="39" t="s">
        <v>2</v>
      </c>
      <c r="H976" s="39" t="s">
        <v>5</v>
      </c>
      <c r="I976" s="39" t="s">
        <v>11</v>
      </c>
    </row>
    <row r="977" spans="1:9">
      <c r="A977" s="46" t="s">
        <v>484</v>
      </c>
      <c r="B977" s="46" t="s">
        <v>244</v>
      </c>
      <c r="C977" s="41">
        <v>1</v>
      </c>
      <c r="D977" s="41" t="s">
        <v>128</v>
      </c>
      <c r="F977" s="39"/>
      <c r="G977" s="46" t="s">
        <v>29</v>
      </c>
      <c r="H977" t="s">
        <v>18</v>
      </c>
      <c r="I977" s="39"/>
    </row>
    <row r="978" spans="1:9">
      <c r="A978" t="s">
        <v>485</v>
      </c>
      <c r="B978" s="46" t="s">
        <v>244</v>
      </c>
      <c r="C978" s="41">
        <v>1</v>
      </c>
      <c r="D978" s="41" t="s">
        <v>128</v>
      </c>
      <c r="G978" t="s">
        <v>208</v>
      </c>
      <c r="H978" t="s">
        <v>12</v>
      </c>
    </row>
  </sheetData>
  <phoneticPr fontId="19" type="noConversion"/>
  <hyperlinks>
    <hyperlink ref="G553" r:id="rId1" display="https://doi.org/10.1016/j.jclepro.2017.02.032" xr:uid="{452A1D98-DB73-468C-B117-F061F357C33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workbookViewId="0">
      <selection activeCell="A16" sqref="A16"/>
    </sheetView>
  </sheetViews>
  <sheetFormatPr defaultColWidth="11.42578125" defaultRowHeight="15"/>
  <sheetData>
    <row r="1" spans="1:11">
      <c r="A1" t="s">
        <v>173</v>
      </c>
    </row>
    <row r="3" spans="1:11">
      <c r="A3" s="4" t="s">
        <v>1</v>
      </c>
      <c r="B3" s="11" t="s">
        <v>170</v>
      </c>
      <c r="C3" s="8"/>
      <c r="D3" s="8"/>
      <c r="E3" s="8"/>
      <c r="F3" s="8"/>
      <c r="G3" s="8"/>
      <c r="H3" s="8"/>
      <c r="I3" s="3"/>
      <c r="J3" s="20"/>
      <c r="K3" s="21"/>
    </row>
    <row r="4" spans="1:11">
      <c r="A4" s="6" t="s">
        <v>3</v>
      </c>
      <c r="B4" s="13">
        <v>1</v>
      </c>
      <c r="C4" s="8"/>
      <c r="D4" s="8"/>
      <c r="E4" s="8"/>
      <c r="F4" s="8"/>
      <c r="G4" s="8"/>
      <c r="H4" s="8"/>
      <c r="I4" s="3"/>
      <c r="J4" s="12"/>
      <c r="K4" s="21"/>
    </row>
    <row r="5" spans="1:11">
      <c r="A5" s="6" t="s">
        <v>11</v>
      </c>
      <c r="B5" s="22" t="s">
        <v>41</v>
      </c>
      <c r="C5" s="8"/>
      <c r="D5" s="8"/>
      <c r="E5" s="8"/>
      <c r="F5" s="8"/>
      <c r="G5" s="8"/>
      <c r="H5" s="8"/>
      <c r="I5" s="3"/>
      <c r="K5" s="21"/>
    </row>
    <row r="6" spans="1:11">
      <c r="A6" s="6" t="s">
        <v>4</v>
      </c>
      <c r="B6" s="9" t="s">
        <v>26</v>
      </c>
      <c r="C6" s="8"/>
      <c r="D6" s="8"/>
      <c r="E6" s="8"/>
      <c r="F6" s="8"/>
      <c r="G6" s="8"/>
      <c r="H6" s="8"/>
      <c r="I6" s="3"/>
    </row>
    <row r="7" spans="1:11" ht="16.350000000000001" customHeight="1">
      <c r="A7" s="6" t="s">
        <v>2</v>
      </c>
      <c r="B7" s="14" t="s">
        <v>29</v>
      </c>
      <c r="C7" s="8"/>
      <c r="D7" s="8"/>
      <c r="E7" s="8"/>
      <c r="F7" s="8"/>
      <c r="G7" s="8"/>
      <c r="H7" s="8"/>
      <c r="I7" s="3"/>
    </row>
    <row r="8" spans="1:11">
      <c r="A8" s="6" t="s">
        <v>6</v>
      </c>
      <c r="B8" s="9" t="s">
        <v>13</v>
      </c>
      <c r="C8" s="8"/>
      <c r="D8" s="8"/>
      <c r="E8" s="8"/>
      <c r="F8" s="8"/>
      <c r="G8" s="8"/>
      <c r="H8" s="15"/>
      <c r="I8" s="3"/>
    </row>
    <row r="9" spans="1:11">
      <c r="A9" s="15" t="s">
        <v>7</v>
      </c>
      <c r="B9" s="11"/>
      <c r="C9" s="15"/>
      <c r="D9" s="15"/>
      <c r="E9" s="15"/>
      <c r="F9" s="15"/>
      <c r="G9" s="15"/>
      <c r="H9" s="12"/>
      <c r="I9" s="3"/>
    </row>
    <row r="10" spans="1:11">
      <c r="A10" t="s">
        <v>8</v>
      </c>
      <c r="B10" s="18" t="s">
        <v>9</v>
      </c>
      <c r="C10" t="s">
        <v>2</v>
      </c>
      <c r="D10" t="s">
        <v>6</v>
      </c>
      <c r="E10" t="s">
        <v>5</v>
      </c>
      <c r="F10" t="s">
        <v>4</v>
      </c>
      <c r="G10" s="1" t="s">
        <v>10</v>
      </c>
      <c r="H10" s="19" t="s">
        <v>11</v>
      </c>
      <c r="I10" s="3"/>
    </row>
    <row r="11" spans="1:11">
      <c r="A11" t="s">
        <v>44</v>
      </c>
      <c r="B11" s="18">
        <v>1</v>
      </c>
      <c r="C11" t="s">
        <v>29</v>
      </c>
      <c r="D11" t="s">
        <v>13</v>
      </c>
      <c r="E11" t="s">
        <v>18</v>
      </c>
      <c r="F11" s="9" t="s">
        <v>26</v>
      </c>
      <c r="G11" s="12"/>
      <c r="I11" s="3"/>
    </row>
    <row r="12" spans="1:11">
      <c r="A12" t="s">
        <v>35</v>
      </c>
      <c r="B12" s="18">
        <f>4.3*28.6</f>
        <v>122.98</v>
      </c>
      <c r="C12" t="s">
        <v>42</v>
      </c>
      <c r="D12" t="s">
        <v>46</v>
      </c>
      <c r="E12" t="s">
        <v>12</v>
      </c>
      <c r="F12" t="s">
        <v>36</v>
      </c>
      <c r="I12" s="3"/>
    </row>
    <row r="13" spans="1:11">
      <c r="A13" t="s">
        <v>35</v>
      </c>
      <c r="B13" s="18">
        <v>1.34</v>
      </c>
      <c r="C13" t="s">
        <v>42</v>
      </c>
      <c r="D13" t="s">
        <v>13</v>
      </c>
      <c r="E13" t="s">
        <v>12</v>
      </c>
      <c r="F13" t="s">
        <v>37</v>
      </c>
      <c r="I13" s="3"/>
    </row>
    <row r="14" spans="1:11">
      <c r="A14" t="s">
        <v>38</v>
      </c>
      <c r="B14" s="18">
        <v>4.03</v>
      </c>
      <c r="C14" t="s">
        <v>22</v>
      </c>
      <c r="D14" t="s">
        <v>13</v>
      </c>
      <c r="E14" t="s">
        <v>12</v>
      </c>
      <c r="F14" t="s">
        <v>39</v>
      </c>
      <c r="I14" s="3"/>
    </row>
    <row r="15" spans="1:11">
      <c r="A15" t="s">
        <v>40</v>
      </c>
      <c r="B15" s="18">
        <v>8.34</v>
      </c>
      <c r="D15" t="s">
        <v>13</v>
      </c>
      <c r="E15" t="s">
        <v>15</v>
      </c>
      <c r="G15" t="s">
        <v>25</v>
      </c>
      <c r="I15" s="3"/>
    </row>
    <row r="16" spans="1:11">
      <c r="A16" t="s">
        <v>45</v>
      </c>
      <c r="B16" s="18">
        <v>4.6399999999999997</v>
      </c>
      <c r="C16" t="s">
        <v>29</v>
      </c>
      <c r="D16" t="s">
        <v>19</v>
      </c>
      <c r="E16" t="s">
        <v>12</v>
      </c>
      <c r="F16" t="s">
        <v>43</v>
      </c>
      <c r="I16" s="3"/>
    </row>
    <row r="17" spans="1:11">
      <c r="B17" s="18"/>
      <c r="I17" s="3"/>
    </row>
    <row r="18" spans="1:11">
      <c r="A18" s="4" t="s">
        <v>1</v>
      </c>
      <c r="B18" s="11" t="s">
        <v>169</v>
      </c>
      <c r="C18" s="8"/>
      <c r="D18" s="8"/>
      <c r="E18" s="8"/>
      <c r="F18" s="8"/>
      <c r="G18" s="8"/>
      <c r="H18" s="8"/>
      <c r="I18" s="3"/>
      <c r="J18" s="20"/>
      <c r="K18" s="21"/>
    </row>
    <row r="19" spans="1:11">
      <c r="A19" s="6" t="s">
        <v>3</v>
      </c>
      <c r="B19" s="13">
        <v>1</v>
      </c>
      <c r="C19" s="8"/>
      <c r="D19" s="8"/>
      <c r="E19" s="8"/>
      <c r="F19" s="8"/>
      <c r="G19" s="8"/>
      <c r="H19" s="8"/>
      <c r="I19" s="3"/>
      <c r="J19" s="12"/>
      <c r="K19" s="21"/>
    </row>
    <row r="20" spans="1:11">
      <c r="A20" s="6" t="s">
        <v>11</v>
      </c>
      <c r="B20" s="22" t="s">
        <v>48</v>
      </c>
      <c r="C20" s="8"/>
      <c r="D20" s="8"/>
      <c r="E20" s="8"/>
      <c r="F20" s="8"/>
      <c r="G20" s="8"/>
      <c r="H20" s="8"/>
      <c r="I20" s="3"/>
      <c r="K20" s="21"/>
    </row>
    <row r="21" spans="1:11">
      <c r="A21" s="6" t="s">
        <v>4</v>
      </c>
      <c r="B21" s="9" t="s">
        <v>26</v>
      </c>
      <c r="C21" s="8"/>
      <c r="D21" s="8"/>
      <c r="E21" s="8"/>
      <c r="F21" s="8"/>
      <c r="G21" s="8"/>
      <c r="H21" s="8"/>
      <c r="I21" s="3"/>
    </row>
    <row r="22" spans="1:11" ht="16.350000000000001" customHeight="1">
      <c r="A22" s="6" t="s">
        <v>2</v>
      </c>
      <c r="B22" s="14" t="s">
        <v>29</v>
      </c>
      <c r="C22" s="8"/>
      <c r="D22" s="8"/>
      <c r="E22" s="8"/>
      <c r="F22" s="8"/>
      <c r="G22" s="8"/>
      <c r="H22" s="8"/>
      <c r="I22" s="3"/>
    </row>
    <row r="23" spans="1:11">
      <c r="A23" s="6" t="s">
        <v>6</v>
      </c>
      <c r="B23" s="9" t="s">
        <v>13</v>
      </c>
      <c r="C23" s="8"/>
      <c r="D23" s="8"/>
      <c r="E23" s="8"/>
      <c r="F23" s="8"/>
      <c r="G23" s="8"/>
      <c r="H23" s="15"/>
      <c r="I23" s="3"/>
    </row>
    <row r="24" spans="1:11">
      <c r="A24" s="15" t="s">
        <v>7</v>
      </c>
      <c r="B24" s="11"/>
      <c r="C24" s="15"/>
      <c r="D24" s="15"/>
      <c r="E24" s="15"/>
      <c r="F24" s="15"/>
      <c r="G24" s="15"/>
      <c r="H24" s="12"/>
      <c r="I24" s="3"/>
    </row>
    <row r="25" spans="1:11">
      <c r="A25" t="s">
        <v>8</v>
      </c>
      <c r="B25" s="18" t="s">
        <v>9</v>
      </c>
      <c r="C25" t="s">
        <v>2</v>
      </c>
      <c r="D25" t="s">
        <v>6</v>
      </c>
      <c r="E25" t="s">
        <v>5</v>
      </c>
      <c r="F25" t="s">
        <v>4</v>
      </c>
      <c r="G25" s="1" t="s">
        <v>10</v>
      </c>
      <c r="H25" s="19" t="s">
        <v>11</v>
      </c>
      <c r="I25" s="3"/>
    </row>
    <row r="26" spans="1:11">
      <c r="A26" t="s">
        <v>47</v>
      </c>
      <c r="B26" s="18">
        <v>1</v>
      </c>
      <c r="C26" t="s">
        <v>29</v>
      </c>
      <c r="D26" t="s">
        <v>13</v>
      </c>
      <c r="E26" t="s">
        <v>18</v>
      </c>
      <c r="F26" s="9" t="s">
        <v>26</v>
      </c>
      <c r="G26" s="12"/>
      <c r="I26" s="3"/>
    </row>
    <row r="27" spans="1:11">
      <c r="A27" t="s">
        <v>35</v>
      </c>
      <c r="B27" s="18">
        <f>4.3*28.6</f>
        <v>122.98</v>
      </c>
      <c r="C27" t="s">
        <v>42</v>
      </c>
      <c r="D27" t="s">
        <v>46</v>
      </c>
      <c r="E27" t="s">
        <v>12</v>
      </c>
      <c r="F27" t="s">
        <v>36</v>
      </c>
      <c r="I27" s="3"/>
    </row>
    <row r="28" spans="1:11">
      <c r="A28" t="s">
        <v>35</v>
      </c>
      <c r="B28" s="18">
        <v>1.34</v>
      </c>
      <c r="C28" t="s">
        <v>42</v>
      </c>
      <c r="D28" t="s">
        <v>13</v>
      </c>
      <c r="E28" t="s">
        <v>12</v>
      </c>
      <c r="F28" t="s">
        <v>37</v>
      </c>
      <c r="I28" s="3"/>
    </row>
    <row r="29" spans="1:11">
      <c r="A29" t="s">
        <v>38</v>
      </c>
      <c r="B29" s="18">
        <v>4.03</v>
      </c>
      <c r="C29" t="s">
        <v>22</v>
      </c>
      <c r="D29" t="s">
        <v>13</v>
      </c>
      <c r="E29" t="s">
        <v>12</v>
      </c>
      <c r="F29" t="s">
        <v>39</v>
      </c>
      <c r="I29" s="3"/>
    </row>
    <row r="30" spans="1:11">
      <c r="A30" t="s">
        <v>45</v>
      </c>
      <c r="B30" s="18">
        <v>4.6399999999999997</v>
      </c>
      <c r="C30" t="s">
        <v>29</v>
      </c>
      <c r="D30" t="s">
        <v>19</v>
      </c>
      <c r="E30" t="s">
        <v>12</v>
      </c>
      <c r="F30" t="s">
        <v>43</v>
      </c>
      <c r="I30" s="3"/>
    </row>
    <row r="31" spans="1:11">
      <c r="A31" t="s">
        <v>45</v>
      </c>
      <c r="B31" s="18">
        <v>0.7</v>
      </c>
      <c r="C31" t="s">
        <v>29</v>
      </c>
      <c r="D31" t="s">
        <v>19</v>
      </c>
      <c r="E31" t="s">
        <v>12</v>
      </c>
      <c r="F31" t="s">
        <v>43</v>
      </c>
      <c r="I31" s="3"/>
    </row>
    <row r="33" spans="1:11">
      <c r="A33" s="4" t="s">
        <v>1</v>
      </c>
      <c r="B33" s="11" t="s">
        <v>99</v>
      </c>
      <c r="C33" s="12"/>
      <c r="D33" s="8"/>
      <c r="E33" s="8"/>
      <c r="F33" s="8"/>
      <c r="G33" s="8"/>
      <c r="H33" s="8"/>
      <c r="I33" s="10"/>
      <c r="K33" s="7"/>
    </row>
    <row r="34" spans="1:11">
      <c r="A34" s="6" t="s">
        <v>3</v>
      </c>
      <c r="B34" s="13">
        <v>1</v>
      </c>
      <c r="C34" s="8"/>
      <c r="D34" s="8"/>
      <c r="E34" s="8"/>
      <c r="F34" s="8"/>
      <c r="G34" s="8"/>
      <c r="H34" s="8"/>
      <c r="I34" s="10"/>
      <c r="K34" s="7"/>
    </row>
    <row r="35" spans="1:11">
      <c r="A35" s="6" t="s">
        <v>11</v>
      </c>
      <c r="B35" s="14" t="s">
        <v>50</v>
      </c>
      <c r="C35" s="8"/>
      <c r="D35" s="8"/>
      <c r="E35" s="8"/>
      <c r="F35" s="8"/>
      <c r="G35" s="8"/>
      <c r="H35" s="8"/>
      <c r="I35" s="10"/>
      <c r="K35" s="7"/>
    </row>
    <row r="36" spans="1:11">
      <c r="A36" s="6" t="s">
        <v>4</v>
      </c>
      <c r="B36" s="2" t="s">
        <v>31</v>
      </c>
      <c r="C36" s="8"/>
      <c r="D36" s="8"/>
      <c r="E36" s="8"/>
      <c r="F36" s="8"/>
      <c r="G36" s="8"/>
      <c r="H36" s="8"/>
      <c r="I36" s="10"/>
      <c r="K36" s="7"/>
    </row>
    <row r="37" spans="1:11">
      <c r="A37" s="6" t="s">
        <v>2</v>
      </c>
      <c r="B37" s="14" t="s">
        <v>29</v>
      </c>
      <c r="C37" s="8"/>
      <c r="D37" s="8"/>
      <c r="E37" s="8"/>
      <c r="F37" s="8"/>
      <c r="G37" s="8"/>
      <c r="H37" s="8"/>
      <c r="I37" s="10"/>
      <c r="K37" s="7"/>
    </row>
    <row r="38" spans="1:11">
      <c r="A38" s="6" t="s">
        <v>6</v>
      </c>
      <c r="B38" s="9" t="s">
        <v>19</v>
      </c>
      <c r="C38" s="8"/>
      <c r="D38" s="8"/>
      <c r="E38" s="8"/>
      <c r="F38" s="8"/>
      <c r="G38" s="8"/>
      <c r="H38" s="15"/>
      <c r="I38" s="16"/>
      <c r="K38" s="7"/>
    </row>
    <row r="39" spans="1:11">
      <c r="A39" s="15" t="s">
        <v>7</v>
      </c>
      <c r="B39" s="11"/>
      <c r="C39" s="15"/>
      <c r="D39" s="15"/>
      <c r="E39" s="15"/>
      <c r="F39" s="15"/>
      <c r="G39" s="15"/>
      <c r="H39" s="12"/>
      <c r="I39" s="17"/>
      <c r="K39" s="7"/>
    </row>
    <row r="40" spans="1:11">
      <c r="A40" t="s">
        <v>8</v>
      </c>
      <c r="B40" s="18" t="s">
        <v>9</v>
      </c>
      <c r="C40" t="s">
        <v>2</v>
      </c>
      <c r="D40" t="s">
        <v>6</v>
      </c>
      <c r="E40" t="s">
        <v>5</v>
      </c>
      <c r="F40" t="s">
        <v>4</v>
      </c>
      <c r="G40" t="s">
        <v>10</v>
      </c>
      <c r="H40" s="19" t="s">
        <v>11</v>
      </c>
      <c r="I40" s="3"/>
      <c r="J40" s="1"/>
      <c r="K40" s="7"/>
    </row>
    <row r="41" spans="1:11">
      <c r="A41" s="18" t="str">
        <f>B33</f>
        <v>electricity production, from stationary battery, Tr2050</v>
      </c>
      <c r="B41" s="18">
        <v>1</v>
      </c>
      <c r="C41" t="str">
        <f>B37</f>
        <v>FR</v>
      </c>
      <c r="D41" t="s">
        <v>19</v>
      </c>
      <c r="E41" t="s">
        <v>18</v>
      </c>
      <c r="F41" t="s">
        <v>31</v>
      </c>
      <c r="G41" s="12"/>
      <c r="H41" s="17"/>
      <c r="I41" s="3"/>
      <c r="K41" s="7"/>
    </row>
    <row r="42" spans="1:11">
      <c r="A42" s="6" t="s">
        <v>28</v>
      </c>
      <c r="B42" s="18">
        <f>1*1.19</f>
        <v>1.19</v>
      </c>
      <c r="C42" t="s">
        <v>29</v>
      </c>
      <c r="D42" t="s">
        <v>19</v>
      </c>
      <c r="E42" t="s">
        <v>12</v>
      </c>
      <c r="F42" t="s">
        <v>20</v>
      </c>
      <c r="G42" s="12"/>
      <c r="H42" s="19" t="s">
        <v>51</v>
      </c>
      <c r="I42" s="3"/>
    </row>
    <row r="43" spans="1:11">
      <c r="A43" s="6" t="s">
        <v>28</v>
      </c>
      <c r="B43" s="18">
        <f>((22/1000)*6000*13)/(2500*19.5*0.8)</f>
        <v>4.3999999999999997E-2</v>
      </c>
      <c r="C43" t="s">
        <v>29</v>
      </c>
      <c r="D43" t="s">
        <v>19</v>
      </c>
      <c r="E43" t="s">
        <v>12</v>
      </c>
      <c r="F43" t="s">
        <v>20</v>
      </c>
      <c r="G43" s="12"/>
      <c r="H43" s="19" t="s">
        <v>52</v>
      </c>
      <c r="I43" s="3"/>
    </row>
    <row r="44" spans="1:11">
      <c r="A44" s="6" t="s">
        <v>53</v>
      </c>
      <c r="B44" s="18">
        <f>1/(2500*80%*19.5)</f>
        <v>2.564102564102564E-5</v>
      </c>
      <c r="C44" t="s">
        <v>49</v>
      </c>
      <c r="D44" t="s">
        <v>6</v>
      </c>
      <c r="E44" t="s">
        <v>12</v>
      </c>
      <c r="F44" t="s">
        <v>54</v>
      </c>
      <c r="G44" s="12"/>
      <c r="H44" s="1" t="s">
        <v>55</v>
      </c>
      <c r="I44" s="3"/>
    </row>
    <row r="45" spans="1:11">
      <c r="A45" s="6"/>
      <c r="B45" s="18"/>
      <c r="G45" s="12"/>
      <c r="H45" s="1"/>
      <c r="I45" s="3"/>
    </row>
    <row r="46" spans="1:11">
      <c r="A46" s="18"/>
      <c r="B46" s="18"/>
      <c r="G46" s="12"/>
      <c r="H46" s="12"/>
      <c r="I46" s="3"/>
      <c r="K46" s="7"/>
    </row>
    <row r="47" spans="1:11">
      <c r="A47" s="4" t="s">
        <v>1</v>
      </c>
      <c r="B47" s="11" t="s">
        <v>101</v>
      </c>
      <c r="C47" s="12"/>
      <c r="D47" s="8"/>
      <c r="E47" s="8"/>
      <c r="F47" s="8"/>
      <c r="G47" s="8"/>
      <c r="H47" s="8"/>
      <c r="I47" s="10"/>
      <c r="K47" s="7"/>
    </row>
    <row r="48" spans="1:11">
      <c r="A48" s="6" t="s">
        <v>3</v>
      </c>
      <c r="B48" s="13">
        <v>1</v>
      </c>
      <c r="C48" s="8"/>
      <c r="D48" s="8"/>
      <c r="E48" s="8"/>
      <c r="F48" s="8"/>
      <c r="G48" s="8"/>
      <c r="H48" s="8"/>
      <c r="I48" s="10"/>
      <c r="K48" s="7"/>
    </row>
    <row r="49" spans="1:11">
      <c r="A49" s="6" t="s">
        <v>11</v>
      </c>
      <c r="B49" s="14" t="s">
        <v>34</v>
      </c>
      <c r="C49" s="8"/>
      <c r="D49" s="8"/>
      <c r="E49" s="8"/>
      <c r="F49" s="8"/>
      <c r="G49" s="8"/>
      <c r="H49" s="8"/>
      <c r="I49" s="10"/>
      <c r="K49" s="7"/>
    </row>
    <row r="50" spans="1:11">
      <c r="A50" s="6" t="s">
        <v>4</v>
      </c>
      <c r="B50" s="2" t="s">
        <v>31</v>
      </c>
      <c r="C50" s="8"/>
      <c r="D50" s="8"/>
      <c r="E50" s="8"/>
      <c r="F50" s="8"/>
      <c r="G50" s="8"/>
      <c r="H50" s="8"/>
      <c r="I50" s="10"/>
      <c r="K50" s="7"/>
    </row>
    <row r="51" spans="1:11">
      <c r="A51" s="6" t="s">
        <v>2</v>
      </c>
      <c r="B51" s="14" t="s">
        <v>29</v>
      </c>
      <c r="C51" s="8"/>
      <c r="D51" s="8"/>
      <c r="E51" s="8"/>
      <c r="F51" s="8"/>
      <c r="G51" s="8"/>
      <c r="H51" s="8"/>
      <c r="I51" s="10"/>
      <c r="K51" s="7"/>
    </row>
    <row r="52" spans="1:11">
      <c r="A52" s="6" t="s">
        <v>6</v>
      </c>
      <c r="B52" s="9" t="s">
        <v>19</v>
      </c>
      <c r="C52" s="8"/>
      <c r="D52" s="8"/>
      <c r="E52" s="8"/>
      <c r="F52" s="8"/>
      <c r="G52" s="8"/>
      <c r="H52" s="15"/>
      <c r="I52" s="16"/>
      <c r="K52" s="7"/>
    </row>
    <row r="53" spans="1:11">
      <c r="A53" s="15" t="s">
        <v>7</v>
      </c>
      <c r="B53" s="11"/>
      <c r="C53" s="15"/>
      <c r="D53" s="15"/>
      <c r="E53" s="15"/>
      <c r="F53" s="15"/>
      <c r="G53" s="15"/>
      <c r="H53" s="12"/>
      <c r="I53" s="17"/>
      <c r="K53" s="7"/>
    </row>
    <row r="54" spans="1:11">
      <c r="A54" t="s">
        <v>8</v>
      </c>
      <c r="B54" s="18" t="s">
        <v>9</v>
      </c>
      <c r="C54" t="s">
        <v>2</v>
      </c>
      <c r="D54" t="s">
        <v>6</v>
      </c>
      <c r="E54" t="s">
        <v>5</v>
      </c>
      <c r="F54" t="s">
        <v>4</v>
      </c>
      <c r="G54" t="s">
        <v>10</v>
      </c>
      <c r="H54" s="19" t="s">
        <v>11</v>
      </c>
      <c r="I54" s="3"/>
      <c r="J54" s="1"/>
      <c r="K54" s="7"/>
    </row>
    <row r="55" spans="1:11">
      <c r="A55" s="18" t="s">
        <v>30</v>
      </c>
      <c r="B55" s="18">
        <v>1</v>
      </c>
      <c r="C55" t="str">
        <f>B51</f>
        <v>FR</v>
      </c>
      <c r="D55" t="s">
        <v>19</v>
      </c>
      <c r="E55" t="s">
        <v>18</v>
      </c>
      <c r="F55" t="s">
        <v>31</v>
      </c>
      <c r="G55" s="12"/>
      <c r="H55" s="17"/>
      <c r="I55" s="3"/>
      <c r="K55" s="7"/>
    </row>
    <row r="56" spans="1:11">
      <c r="A56" s="18" t="s">
        <v>32</v>
      </c>
      <c r="B56" s="18">
        <f>1/30000*2</f>
        <v>6.666666666666667E-5</v>
      </c>
      <c r="C56" t="s">
        <v>27</v>
      </c>
      <c r="D56" t="s">
        <v>6</v>
      </c>
      <c r="E56" t="s">
        <v>12</v>
      </c>
      <c r="F56" t="s">
        <v>33</v>
      </c>
      <c r="G56" s="12"/>
      <c r="H56" s="17"/>
      <c r="I56" s="3"/>
      <c r="K56" s="7"/>
    </row>
    <row r="57" spans="1:11" ht="15.75">
      <c r="A57" s="27" t="s">
        <v>73</v>
      </c>
      <c r="B57" s="18">
        <f>3.6/0.5/120</f>
        <v>6.0000000000000005E-2</v>
      </c>
      <c r="C57" t="s">
        <v>29</v>
      </c>
      <c r="D57" t="s">
        <v>13</v>
      </c>
      <c r="E57" t="s">
        <v>12</v>
      </c>
      <c r="F57" s="26" t="s">
        <v>57</v>
      </c>
      <c r="H57" s="12"/>
      <c r="I57" s="17"/>
      <c r="K57" s="7"/>
    </row>
  </sheetData>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2025-06-12T13:26:57Z</dcterms:modified>
</cp:coreProperties>
</file>