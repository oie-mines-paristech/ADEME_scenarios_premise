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https://engie-my.sharepoint.com/personal/db6421_engie_com/Documents/Documents/GitHub/ADEME_scenarios_premise_gas/inventories/"/>
    </mc:Choice>
  </mc:AlternateContent>
  <xr:revisionPtr revIDLastSave="1466" documentId="13_ncr:1_{6A9A1C53-53B4-4DAF-B82F-70FF83AECA95}" xr6:coauthVersionLast="47" xr6:coauthVersionMax="47" xr10:uidLastSave="{B35199D4-FD63-433D-BE0A-728A11FBDF48}"/>
  <bookViews>
    <workbookView xWindow="-120" yWindow="-120" windowWidth="29040" windowHeight="15720" xr2:uid="{00000000-000D-0000-FFFF-FFFF00000000}"/>
  </bookViews>
  <sheets>
    <sheet name="lci" sheetId="1" r:id="rId1"/>
    <sheet name="Feuil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941" i="1" l="1"/>
  <c r="G66" i="1" l="1"/>
  <c r="B507" i="1" l="1"/>
  <c r="B506" i="1"/>
  <c r="B502" i="1"/>
  <c r="B501" i="1"/>
  <c r="B500" i="1"/>
  <c r="B498" i="1"/>
  <c r="B494" i="1"/>
  <c r="B490" i="1"/>
  <c r="B489" i="1"/>
  <c r="B479" i="1"/>
  <c r="G178" i="1"/>
  <c r="D178" i="1"/>
  <c r="A178" i="1"/>
  <c r="C33" i="1" l="1"/>
  <c r="B57" i="2" l="1"/>
  <c r="B56" i="2"/>
  <c r="C55" i="2"/>
  <c r="B44" i="2"/>
  <c r="B43" i="2"/>
  <c r="B42" i="2"/>
  <c r="C41" i="2"/>
  <c r="A41" i="2"/>
  <c r="B27" i="2"/>
  <c r="B12" i="2"/>
  <c r="A15" i="1"/>
  <c r="D15" i="1"/>
  <c r="G15" i="1"/>
  <c r="B17" i="1"/>
  <c r="B18" i="1"/>
  <c r="B19" i="1"/>
  <c r="B20" i="1"/>
  <c r="B21" i="1"/>
  <c r="B22" i="1"/>
  <c r="B66" i="1" l="1"/>
  <c r="B60" i="1"/>
  <c r="B62" i="1" s="1"/>
  <c r="B59" i="1"/>
  <c r="B61" i="1" s="1"/>
  <c r="D58" i="1"/>
  <c r="C58" i="1"/>
</calcChain>
</file>

<file path=xl/sharedStrings.xml><?xml version="1.0" encoding="utf-8"?>
<sst xmlns="http://schemas.openxmlformats.org/spreadsheetml/2006/main" count="4328" uniqueCount="507">
  <si>
    <t>Database</t>
  </si>
  <si>
    <t>Activity</t>
  </si>
  <si>
    <t>location</t>
  </si>
  <si>
    <t>production amount</t>
  </si>
  <si>
    <t>reference product</t>
  </si>
  <si>
    <t>type</t>
  </si>
  <si>
    <t>unit</t>
  </si>
  <si>
    <t>Exchanges</t>
  </si>
  <si>
    <t>name</t>
  </si>
  <si>
    <t>amount</t>
  </si>
  <si>
    <t>categories</t>
  </si>
  <si>
    <t>comment</t>
  </si>
  <si>
    <t>technosphere</t>
  </si>
  <si>
    <t>kilogram</t>
  </si>
  <si>
    <t>cutoff</t>
  </si>
  <si>
    <t>biosphere</t>
  </si>
  <si>
    <t>natural resource::land</t>
  </si>
  <si>
    <t>square meter-year</t>
  </si>
  <si>
    <t>production</t>
  </si>
  <si>
    <t>kilowatt hour</t>
  </si>
  <si>
    <t>electricity, low voltage</t>
  </si>
  <si>
    <t>market for water, deionised</t>
  </si>
  <si>
    <t>Europe without Switzerland</t>
  </si>
  <si>
    <t>water, deionised</t>
  </si>
  <si>
    <t>Oxygen</t>
  </si>
  <si>
    <t>air</t>
  </si>
  <si>
    <t>hydrogen, gaseous</t>
  </si>
  <si>
    <t>CH</t>
  </si>
  <si>
    <t>market for electricity, low voltage</t>
  </si>
  <si>
    <t>FR</t>
  </si>
  <si>
    <t>electricity production, from hydrogen, FE2050</t>
  </si>
  <si>
    <t>electricity, high voltage</t>
  </si>
  <si>
    <t>fuel cell production, stack polymer electrolyte membrane, 2kW electrical, future</t>
  </si>
  <si>
    <t>fuel cell, stack polymer electrolyte membrane, 2kW electrical, future</t>
  </si>
  <si>
    <t>1 kWh of electricity produced using hydrogen through a PEM fuel cell stack, for seasonal storage. Assumes a 90% load factor, 6 years lifetime. A 50% electrical efficiency is assumed in 2020, according to Cigolotti, V.; Genovese, M.; Fragiacomo, P. Comprehensive Review on Fuel Cell Technology for Stationary Applications as Sustainable and Efficient Poly-Generation Energy Systems. Energies 2021, 14, 4963. https://doi.org/10.3390/en14164963.</t>
  </si>
  <si>
    <t>coking</t>
  </si>
  <si>
    <t>coal gas</t>
  </si>
  <si>
    <t>coal tar</t>
  </si>
  <si>
    <t>market for tap water</t>
  </si>
  <si>
    <t>tap water</t>
  </si>
  <si>
    <t>Carbon dioxide, fossil</t>
  </si>
  <si>
    <t>1 kg of hydrogen recovered from coke oven gas. After benzol absorption step, gas stream is being subjected to the reforming technology, which comprises the following process units: coke oven gas reforming
system, oxygen production installation, CO conversion system and the hydrolysis of COS, desulphurization system and CO2 removal system, H2 separation system and other plant. Although not specified, the oxygen and steam requirement is assumed to come from the coking step, hence, not listed as inventory inputs. Adapted to French context. Burmistrz et al., 2016. DOI: 10.1051/e3sconf/20161000023</t>
  </si>
  <si>
    <t>DE</t>
  </si>
  <si>
    <t>electricity, medium voltage</t>
  </si>
  <si>
    <t>hydrogen, recovered from coke oven gas, FE2050</t>
  </si>
  <si>
    <t>market for electricity, medium voltage</t>
  </si>
  <si>
    <t>megajoule</t>
  </si>
  <si>
    <t>hydrogen, recovered from coke oven gas, with carbon capture and storage, FE2050</t>
  </si>
  <si>
    <t>1 kg of hydrogen recovered from coke oven gas. After benzol absorption step, gas stream is being subjected to the reforming technology, which comprises the following process units: coke oven gas reforming
system, oxygen production installation, CO conversion system and the hydrolysis of COS, desulphurization system and CO2 removal system, H2 separation system and other plant. Although not specified, the oxygen and steam requirement is assumed to come from the coking step, hence, not listed as inventory inputs. Carbon dioxide is transported in the liquid phase. The pressure at the inlet to a transport system (pipe) is
120 bar, which allows to transport of CO2 at about 100 - 150 km distance without additional compression Adapted to French context. Burmistrz et al., 2016. DOI: 10.1051/e3sconf/20161000023</t>
  </si>
  <si>
    <t>RER</t>
  </si>
  <si>
    <t>1 kWh of electricity discharged from a stationary battery. Accounts for charge and discharge losses: 19%. The original dataset is a 19.5 kWh home storage system, using NMC811 cells. The system has a stand-by consumption of 22 W over 6000 hours per year. Assumes lifetime of 2500 charge-discharge cycles over 13 years, and a maximum depth of discharge of 80%. IN total, the system delivers 2500 [cycles] x 80% x 19.5 [Wh] = 39000 kWh.</t>
  </si>
  <si>
    <t>Accounts for the round trip efficiency of 81%.</t>
  </si>
  <si>
    <t>Accounts or standby electricity consumption.</t>
  </si>
  <si>
    <t>home electricity storage system, 19.5 kWh, NMC811 battery</t>
  </si>
  <si>
    <t>home electricity storage system</t>
  </si>
  <si>
    <t>Home storage system</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</si>
  <si>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</si>
  <si>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hydrogen, gaseous, 30 bar</t>
  </si>
  <si>
    <t>electrolyzer, 1MWe, PEM, Stack</t>
  </si>
  <si>
    <t>Stack, 5.5 years lifetime.</t>
  </si>
  <si>
    <t>electrolyzer, 1MWe, PEM, Balance of Plant</t>
  </si>
  <si>
    <t>BoP, 20 years lifetime.</t>
  </si>
  <si>
    <t>treatment of fuel cell stack, 1MWe, PEM</t>
  </si>
  <si>
    <t>used fuel cell stack, 1MWe, PEM</t>
  </si>
  <si>
    <t>Stack EoL</t>
  </si>
  <si>
    <t>treatment of fuel cell balance of plant, 1MWe, PEM</t>
  </si>
  <si>
    <t>used fuel cell balance of plant, 1MWe, PEM</t>
  </si>
  <si>
    <t>BoP EoL</t>
  </si>
  <si>
    <t>Electricity consumption with 61.7% eff.</t>
  </si>
  <si>
    <t xml:space="preserve">A perfect reaction of H2O results in 1 kg H2 and 8 kg O2, and needs 9 kg H2O, however, considering some losses we assume 14 kg H2O (Simoes et al., 2021). </t>
  </si>
  <si>
    <t>Occupation, unspecified</t>
  </si>
  <si>
    <t>electrolyzer production, 1MWe, PEM, Stack</t>
  </si>
  <si>
    <t>electrolyzer production, 1MWe, PEM, Balance of Plant</t>
  </si>
  <si>
    <t>hydrogen production, gaseous, 30 bar, from PEM electrolysis, from grid electricity, domestic, FE2050</t>
  </si>
  <si>
    <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</si>
  <si>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lifetimeof the system is 20 years or 8176 cycle-lifes (49,000 MWh).</t>
  </si>
  <si>
    <t>source</t>
  </si>
  <si>
    <t>Life Cycle Assessment of a Vanadium Redox Flow Battery, Selina Weber, Jens F. Peters, Manuel Baumann, and Marcel Weil, Environ. Sci. Technol. 2018, 52, 10864−10873, DOI: 10.1021/acs.est.8b02073</t>
  </si>
  <si>
    <t>process</t>
  </si>
  <si>
    <t>Electricity input plus losses</t>
  </si>
  <si>
    <t>vanadium-redox flow battery system assembly, 8.3 megawatt hour</t>
  </si>
  <si>
    <t>vanadium-redox flow battery system</t>
  </si>
  <si>
    <t>Infrastructure requirements 1/49000 MWh</t>
  </si>
  <si>
    <t>vanadium-redox flow battery stack assembly</t>
  </si>
  <si>
    <t>vanadium-redox flow battery stack</t>
  </si>
  <si>
    <t>Replacement stack</t>
  </si>
  <si>
    <t>treatment of stack, for VRFB system</t>
  </si>
  <si>
    <t>used stack, for VRFB system</t>
  </si>
  <si>
    <t>EoL of both stack</t>
  </si>
  <si>
    <t>treatment of electrolyte tank, for VRFB system</t>
  </si>
  <si>
    <t>used electrolyte tank, for VRFB system</t>
  </si>
  <si>
    <t>Electrolyte tank EoL</t>
  </si>
  <si>
    <t>treatment of electrolyte solution, for VRFB system</t>
  </si>
  <si>
    <t>used electrolyte solution, for VRFB system</t>
  </si>
  <si>
    <t>Electrolyte EoL</t>
  </si>
  <si>
    <t>treatment of periphericals, for VRFB system</t>
  </si>
  <si>
    <t>used periphericals, for VRFB system</t>
  </si>
  <si>
    <t>Peripherals EoL</t>
  </si>
  <si>
    <t>market for electricity, high voltage</t>
  </si>
  <si>
    <t>electricity production, from stationary battery, Tr2050</t>
  </si>
  <si>
    <t>Tr2050</t>
  </si>
  <si>
    <t>electricity production, from hydrogen, Tr2050</t>
  </si>
  <si>
    <t>hydrogen production, steam methane reforming of natural gas, 25 bar</t>
  </si>
  <si>
    <t>Total energy input to reformer</t>
  </si>
  <si>
    <t>hydrogen, gaseous, 25 bar</t>
  </si>
  <si>
    <t>Natural gas:  0.735 kg/m3 at standard condition @ 15°C, 1.0325 bar. LHV by mass: 46.5 MJ/kg. LHV by volume at standard condition: 36.0 MJ/Nm3.</t>
  </si>
  <si>
    <t>database</t>
  </si>
  <si>
    <t>Car db</t>
  </si>
  <si>
    <t>Acetaldehyde</t>
  </si>
  <si>
    <t>biosphere3</t>
  </si>
  <si>
    <t>Acetic acid</t>
  </si>
  <si>
    <t>Benzene</t>
  </si>
  <si>
    <t>Benzo(a)pyrene</t>
  </si>
  <si>
    <t>Butane</t>
  </si>
  <si>
    <t>Carbon monoxide, fossil</t>
  </si>
  <si>
    <t>Dinitrogen monoxide</t>
  </si>
  <si>
    <t>Formaldehyde</t>
  </si>
  <si>
    <t>Mercury</t>
  </si>
  <si>
    <t>Methane, fossil</t>
  </si>
  <si>
    <t>Nitrogen oxides</t>
  </si>
  <si>
    <t>PAH, polycyclic aromatic hydrocarbons</t>
  </si>
  <si>
    <t>Particulates, &lt; 2.5 um</t>
  </si>
  <si>
    <t>Pentane</t>
  </si>
  <si>
    <t>Propane</t>
  </si>
  <si>
    <t>Propionic acid</t>
  </si>
  <si>
    <t>Sulfur dioxide</t>
  </si>
  <si>
    <t>Toluene</t>
  </si>
  <si>
    <t>Water, cooling, unspecified natural origin</t>
  </si>
  <si>
    <t>cubic meter</t>
  </si>
  <si>
    <t>natural resource::in water</t>
  </si>
  <si>
    <t>Water</t>
  </si>
  <si>
    <t>water</t>
  </si>
  <si>
    <t>Assumed 2.4 gallons (9.1 liters) of evaporated water per kg H2, according to https://www.hydrogen.energy.gov/docs/hydrogenprogramlibraries/pdfs/review16/sa039_elgowainy_2016_o.pdf?Status=Master</t>
  </si>
  <si>
    <t>chemical factory construction, organics</t>
  </si>
  <si>
    <t>ecoinvent 3.5 cutoff</t>
  </si>
  <si>
    <t>chemical factory, organics</t>
  </si>
  <si>
    <t>market for aluminium oxide, metallurgical</t>
  </si>
  <si>
    <t>IAI Area, EU27 &amp; EFTA</t>
  </si>
  <si>
    <t>aluminium oxide, metallurgical</t>
  </si>
  <si>
    <t>market for chromium oxide, flakes</t>
  </si>
  <si>
    <t>GLO</t>
  </si>
  <si>
    <t>chromium oxide, flakes</t>
  </si>
  <si>
    <t>market for copper oxide</t>
  </si>
  <si>
    <t>copper oxide</t>
  </si>
  <si>
    <t>market for liquid storage tank, chemicals, organics</t>
  </si>
  <si>
    <t>liquid storage tank, chemicals, organics</t>
  </si>
  <si>
    <t>market for magnesium oxide</t>
  </si>
  <si>
    <t>magnesium oxide</t>
  </si>
  <si>
    <t>market for molybdenum trioxide</t>
  </si>
  <si>
    <t>molybdenum trioxide</t>
  </si>
  <si>
    <t>market for nickel, class 1</t>
  </si>
  <si>
    <t>nickel, class 1</t>
  </si>
  <si>
    <t>market for portafer</t>
  </si>
  <si>
    <t>portafer</t>
  </si>
  <si>
    <t>market for quicklime, milled, packed</t>
  </si>
  <si>
    <t>quicklime, milled, packed</t>
  </si>
  <si>
    <t>market for silica sand</t>
  </si>
  <si>
    <t>silica sand</t>
  </si>
  <si>
    <t>market for zeolite, powder</t>
  </si>
  <si>
    <t>zeolite, powder</t>
  </si>
  <si>
    <t>market for zinc oxide</t>
  </si>
  <si>
    <t>zinc oxide</t>
  </si>
  <si>
    <t>natural gas, high pressure</t>
  </si>
  <si>
    <t>hydrogen production, steam methane reforming of natural gas, with CCS (MDEA, 98% eff.), 25 bar</t>
  </si>
  <si>
    <t>Assumed 2.9 gallons (11 liters) of evaporated water per kg H2, according to https://www.hydrogen.energy.gov/docs/hydrogenprogramlibraries/pdfs/review16/sa039_elgowainy_2016_o.pdf?Status=Master</t>
  </si>
  <si>
    <t>carbon dioxide, captured at hydrogen production plant, pre, pipeline 200km, storage 1000m</t>
  </si>
  <si>
    <t>ecoinvent 3.6 cutoff</t>
  </si>
  <si>
    <t>market for diethanolamine</t>
  </si>
  <si>
    <t>diethanolamine</t>
  </si>
  <si>
    <t>hydrogen, recovered from coke oven gas, with carbon capture and storage</t>
  </si>
  <si>
    <t>hydrogen, recovered from coke oven gas</t>
  </si>
  <si>
    <t>hydrogen production, gaseous, 30 bar, from PEM electrolysis, from grid electricity, domestic, Tr2050</t>
  </si>
  <si>
    <t>electricity supply, high voltage, from vanadium-redox flow battery system, Tr2050</t>
  </si>
  <si>
    <t>skip</t>
  </si>
  <si>
    <t>hydrogen production, steam methane reforming of natural gas, 25 bar, Tr2050</t>
  </si>
  <si>
    <t>hydrogen production, steam methane reforming of natural gas, with CCS (MDEA, 98% eff.), 25 bar, Tr2050</t>
  </si>
  <si>
    <t>Activity adapted from the similar inventory provided by premise: change of the location of the electricity input &gt; FR</t>
  </si>
  <si>
    <t>hydropower plant construction, reservoir, alpine region</t>
  </si>
  <si>
    <t>hydropower plant, reservoir, alpine region</t>
  </si>
  <si>
    <t>market for lubricating oil</t>
  </si>
  <si>
    <t>lubricating oil</t>
  </si>
  <si>
    <t>market for waste mineral oil</t>
  </si>
  <si>
    <t>waste mineral oil</t>
  </si>
  <si>
    <t>air::non-urban air or from high stacks</t>
  </si>
  <si>
    <t>Methane, non-fossil</t>
  </si>
  <si>
    <t>Occupation, lake, artificial</t>
  </si>
  <si>
    <t>Transformation, from unspecified</t>
  </si>
  <si>
    <t>square meter</t>
  </si>
  <si>
    <t>Transformation, to industrial area</t>
  </si>
  <si>
    <t>Transformation, to lake, artificial</t>
  </si>
  <si>
    <t>Volume occupied, reservoir</t>
  </si>
  <si>
    <t>cubic meter-year</t>
  </si>
  <si>
    <t>Water, turbine use, unspecified natural origin</t>
  </si>
  <si>
    <t>electricity production, hydro, pumped storage, Tr2050</t>
  </si>
  <si>
    <t>treatment of biowaste by anaerobic digestion, cut-off with biogenic carbon uptake</t>
  </si>
  <si>
    <t>biogas</t>
  </si>
  <si>
    <t>biogas_inventories</t>
  </si>
  <si>
    <t>Carbon dioxide, in air</t>
  </si>
  <si>
    <t>natural resource::in air</t>
  </si>
  <si>
    <t>treatment of industrial wastewater by anaerobic digestion, cut-off with biogenic carbon uptake</t>
  </si>
  <si>
    <t>treatment of sewage sludge by anaerobic digestion, cut-off with biogenic carbon uptake</t>
  </si>
  <si>
    <t>anaerobic digestion of animal manure, with biogenic carbon uptake</t>
  </si>
  <si>
    <t>animal manure collection</t>
  </si>
  <si>
    <t>animal manure</t>
  </si>
  <si>
    <t>amount of wet feedstock required to supply 1 cubic meter of biogas (considering biogas leakage and internal use)</t>
  </si>
  <si>
    <t>eco 3.9.1_coff</t>
  </si>
  <si>
    <t>anaerobic digestion plant construction, agriculture, with methane recovery</t>
  </si>
  <si>
    <t>anaerobic digestion plant, agriculture, with methane recovery</t>
  </si>
  <si>
    <t>RoW</t>
  </si>
  <si>
    <t>market for gas boiler</t>
  </si>
  <si>
    <t>gas boiler</t>
  </si>
  <si>
    <t>mass of carbon (as CO2) contained in the produced biogas (i.e., considering losses and internal use) that has been removed from the atmosphere during biomass growth</t>
  </si>
  <si>
    <t>Carbon dioxide, non-fossil</t>
  </si>
  <si>
    <t>biogas leakage + biogas combustion in boiler + biogas flaring</t>
  </si>
  <si>
    <t>Carbon monoxide, non-fossil</t>
  </si>
  <si>
    <t>biogas combustion in boiler + biogas flaring</t>
  </si>
  <si>
    <t>NMVOC, non-methane volatile organic compounds</t>
  </si>
  <si>
    <t>Platinum</t>
  </si>
  <si>
    <t>anaerobic digestion of agricultural residues, with biogenic carbon uptake</t>
  </si>
  <si>
    <t>agricultural residues collection</t>
  </si>
  <si>
    <t>agricultural residues</t>
  </si>
  <si>
    <t>amount of wet feedstock required to supply 1 cubic meter of biogas (considering losses and internal use)</t>
  </si>
  <si>
    <t>calculated based on heat requirements and ecoinvent data from ''heat production, biomethane, at boiler condensing modulating &lt;100kW Europe without Switzerland''</t>
  </si>
  <si>
    <t>anaerobic digestion of sequential crops, with biogenic carbon uptake</t>
  </si>
  <si>
    <t>anaerobic digestion of dedicated crops, with biogenic carbon uptake</t>
  </si>
  <si>
    <t>dedicated crops collection</t>
  </si>
  <si>
    <t>dedicated crops</t>
  </si>
  <si>
    <t>anaerobic digestion of grass and pastures, with biogenic carbon uptake</t>
  </si>
  <si>
    <t>grass collection</t>
  </si>
  <si>
    <t>grass</t>
  </si>
  <si>
    <t>market for transport, freight, lorry, unspecified</t>
  </si>
  <si>
    <t>transport, freight, lorry, unspecified</t>
  </si>
  <si>
    <t>ton kilometer</t>
  </si>
  <si>
    <t xml:space="preserve">grass </t>
  </si>
  <si>
    <t>inorganic nitrogen fertiliser, as N</t>
  </si>
  <si>
    <t>oat forage as sequential crop requires 80 kg N fertilizer/ha (Lodato et al., 2022)</t>
  </si>
  <si>
    <t>market for combine harvesting</t>
  </si>
  <si>
    <t>combine harvesting</t>
  </si>
  <si>
    <t>hectare</t>
  </si>
  <si>
    <t>process considered for harvesting of the sequential crop (Lodato et al., 2022)</t>
  </si>
  <si>
    <t>Nitrate</t>
  </si>
  <si>
    <t>water::ground-</t>
  </si>
  <si>
    <t>nitrate percolation of 88 kg NO3- per ha (Lodato et al., 2022)</t>
  </si>
  <si>
    <t>market for inorganic nitrogen fertiliser, as N</t>
  </si>
  <si>
    <t>biomethane, high pressure</t>
  </si>
  <si>
    <t>Heat, waste</t>
  </si>
  <si>
    <t>Hydrogen sulfide</t>
  </si>
  <si>
    <t>Nitrogen</t>
  </si>
  <si>
    <t>air::urban air close to ground</t>
  </si>
  <si>
    <t>market for activated carbon, granular</t>
  </si>
  <si>
    <t>activated carbon, granular</t>
  </si>
  <si>
    <t>market for chemical factory, organics</t>
  </si>
  <si>
    <t>market for steel, chromium steel 18/8</t>
  </si>
  <si>
    <t>steel, chromium steel 18/8</t>
  </si>
  <si>
    <t>empty activity, for market that does not exist any more in 2050, Tr2050</t>
  </si>
  <si>
    <t>used for market for hydrogen, for fossil fuel refinery in 2050 as this market does not exist anymore in 2050</t>
  </si>
  <si>
    <t>nothing</t>
  </si>
  <si>
    <t>biogas purification to biomethane by chemical scrubbing, Tr2050</t>
  </si>
  <si>
    <t>market for monoethanolamine</t>
  </si>
  <si>
    <t>monoethanolamine</t>
  </si>
  <si>
    <t>market for charcoal</t>
  </si>
  <si>
    <t>charcoal</t>
  </si>
  <si>
    <t>market for chemical, organic</t>
  </si>
  <si>
    <t>chemical, organic</t>
  </si>
  <si>
    <t>market for potassium hydroxide</t>
  </si>
  <si>
    <t>potassium hydroxide</t>
  </si>
  <si>
    <t>market for sodium chloride, powder</t>
  </si>
  <si>
    <t>sodium chloride, powder</t>
  </si>
  <si>
    <t>Ammonia</t>
  </si>
  <si>
    <t>biogas purification to biomethane by membrane, Tr2050</t>
  </si>
  <si>
    <t>biogas purification to biomethane by water scrubbing, Tr2050</t>
  </si>
  <si>
    <t>biogas purification to biomethane by PSA, Tr2050</t>
  </si>
  <si>
    <t>biogas purification to biomethane by cryogenic separation, Tr2050</t>
  </si>
  <si>
    <t>Agribalyse</t>
  </si>
  <si>
    <t>biowaste collection</t>
  </si>
  <si>
    <t>treated biowaste</t>
  </si>
  <si>
    <t>municipal waste collection service by 21 metric ton lorry</t>
  </si>
  <si>
    <t>steel, low-alloyed</t>
  </si>
  <si>
    <t>steel production, converter, low-alloyed</t>
  </si>
  <si>
    <t>Shreeding operation based on inventory provided by Agribalyse</t>
  </si>
  <si>
    <t>Distance considered by Agribalyse</t>
  </si>
  <si>
    <t>Istrate et al. (2025) and Mano Esteves et al. (2019)</t>
  </si>
  <si>
    <t>Atrazine</t>
  </si>
  <si>
    <t>soil::agricultural</t>
  </si>
  <si>
    <t>water::surface water</t>
  </si>
  <si>
    <t>Energy, gross calorific value, in biomass</t>
  </si>
  <si>
    <t>natural resource::biotic</t>
  </si>
  <si>
    <t>Glyphosate</t>
  </si>
  <si>
    <t>Metolachlor</t>
  </si>
  <si>
    <t>Occupation, annual crop, non-irrigated, intensive</t>
  </si>
  <si>
    <t>Phosphate</t>
  </si>
  <si>
    <t>Phosphorus</t>
  </si>
  <si>
    <t>Transformation, to annual crop, non-irrigated, intensive</t>
  </si>
  <si>
    <t>market for inorganic phosphorus fertiliser, as P2O5</t>
  </si>
  <si>
    <t>inorganic phosphorus fertiliser, as P2O5</t>
  </si>
  <si>
    <t>market for pesticide, unspecified</t>
  </si>
  <si>
    <t>pesticide, unspecified</t>
  </si>
  <si>
    <t>INRAE Transfert (2021)</t>
  </si>
  <si>
    <t>corn, harvested, at ethanol plant</t>
  </si>
  <si>
    <t>LHV [MJ/kg dry]</t>
  </si>
  <si>
    <t>Moisture content [% wt]</t>
  </si>
  <si>
    <t>Francesco TH::BioEthanol::corn to EtOH</t>
  </si>
  <si>
    <t>Field EmissionsEdwards, R., Padella, M., Giuntoli, J., Koeble, R., OÂConnell, A., Bulgheroni, C., Marelli, L., Definition of input data to assess GHG default emissions from biofuels in EU legislation, Version 1c Â July 2017, EUR 28349 EN, Publications Office of the European Union, Luxembourg, 2017, ISBN 978-92-79-64617-1, doi:10.2790/658143, JRC104483</t>
  </si>
  <si>
    <t>Farming machines emissionsEMEP/EEA air pollutant emission inventory guidebook - 2013</t>
  </si>
  <si>
    <t>market for maize seed, for sowing</t>
  </si>
  <si>
    <t>Materials/fuels</t>
  </si>
  <si>
    <t>49 kg per ha per yearFaostat data accessed in October 2016</t>
  </si>
  <si>
    <t>maize seed, for sowing</t>
  </si>
  <si>
    <t>market for natural gas, medium pressure, vehicle grade</t>
  </si>
  <si>
    <t>DryingDrying data calculated in CAPRI by Markus Kempen of Bonn University, October 2016 Kraus, K.; Niklas, G.; Tappe, M.; Umweltbundesamt (UBA), Deutschland: Aktuelle Bewertung des Einsatzes von RapsÃ¶l/RME im Vergleich zu DK; Texte79/99; ISSN 0722-186X</t>
  </si>
  <si>
    <t>natural gas, medium pressure, vehicle grade</t>
  </si>
  <si>
    <t>Edwards, R., Padella, M., Giuntoli, J., Koeble, R., OÂConnell, A., Bulgheroni, C., Marelli, L., Definition of input data to assess GHG default emissions from biofuels in EU legislation, Version 1c Â July 2017, EUR 28349 EN, Publications Office of the European Union, Luxembourg, 2017, ISBN 978-92-79-64617-1, doi:10.2790/658143, JRC104483</t>
  </si>
  <si>
    <t>7 kg per ha per yearCAPRI database, Energy use data extracted by Markus Kempen of Bonn University, March 2012, converted to JEC format</t>
  </si>
  <si>
    <t>market for bipyridylium-compound</t>
  </si>
  <si>
    <t>herbicide. From RED II.</t>
  </si>
  <si>
    <t>bipyridylium-compound</t>
  </si>
  <si>
    <t>4.1 kg P / ton wet biomassInternational fertilizer Association: fertilizer use by crop http://www.fertilizer.org/ifa/Home-Page/STATISTICS acessed 2013</t>
  </si>
  <si>
    <t>market for inorganic potassium fertiliser, as K2O</t>
  </si>
  <si>
    <t>4.8 kg K / ton wet biomassInternational fertilizer Association: fertilizer use by crop http://www.fertilizer.org/ifa/Home-Page/STATISTICS acessed 2013</t>
  </si>
  <si>
    <t>inorganic potassium fertiliser, as K2O</t>
  </si>
  <si>
    <t>market for soil pH raising agent, as CaCO3</t>
  </si>
  <si>
    <t>soil pH raising agent, as CaCO3</t>
  </si>
  <si>
    <t>market for diesel, burned in agricultural machinery</t>
  </si>
  <si>
    <t>CAPRI database, Energy use data extracted by Markus Kempen of Bonn University, March 2012, converted to JEC format</t>
  </si>
  <si>
    <t>diesel, burned in agricultural machinery</t>
  </si>
  <si>
    <t>market group for electricity, medium voltage</t>
  </si>
  <si>
    <t>Electricity/heat</t>
  </si>
  <si>
    <t>Handling &amp; StorageKaltschmitt, M.; Reinhardt, G., A.: Nachwachsende EnergietrÃ¤ger: Grundlagen, Verfahren, Ã¶kologische Bilanzierung; Vieweg 1997; ISBN 3-528-06778-0</t>
  </si>
  <si>
    <t>market group for light fuel oil</t>
  </si>
  <si>
    <t>light fuel oil</t>
  </si>
  <si>
    <t>To account for primary energy in oil</t>
  </si>
  <si>
    <t>Based on an annual production of 7.129 t/ha. Assumes 1-year rotation.</t>
  </si>
  <si>
    <t>Transformation, from annual crop, non-irrigated</t>
  </si>
  <si>
    <t>Based on an annual production of 7.129 t/ha</t>
  </si>
  <si>
    <t>from "maize grain production, US" from ecoinvent</t>
  </si>
  <si>
    <t>Transformation, from annual crop</t>
  </si>
  <si>
    <t>Originally 166 bushel/acre. Assumes two yields per year.</t>
  </si>
  <si>
    <t>Transformation, to annual crop</t>
  </si>
  <si>
    <t>Occupation, annual crop</t>
  </si>
  <si>
    <t>Assumes two yields per year.</t>
  </si>
  <si>
    <t>Acetamide</t>
  </si>
  <si>
    <t>Paraquat</t>
  </si>
  <si>
    <t>Imazapyr</t>
  </si>
  <si>
    <t>Bromoxynil</t>
  </si>
  <si>
    <t>Copper</t>
  </si>
  <si>
    <t>Rimsulfuron</t>
  </si>
  <si>
    <t>Pendimethalin</t>
  </si>
  <si>
    <t>Permethrin</t>
  </si>
  <si>
    <t>Tebupirimphos</t>
  </si>
  <si>
    <t>Lambda-cyhalothrin</t>
  </si>
  <si>
    <t>Nickel</t>
  </si>
  <si>
    <t>Tefluthrin</t>
  </si>
  <si>
    <t>Alachlor</t>
  </si>
  <si>
    <t>Cyfluthrin</t>
  </si>
  <si>
    <t>Zinc</t>
  </si>
  <si>
    <t>Mesotrione</t>
  </si>
  <si>
    <t>Terbufos</t>
  </si>
  <si>
    <t>Chromium</t>
  </si>
  <si>
    <t>Foramsulfuron</t>
  </si>
  <si>
    <t>Bifenthrin</t>
  </si>
  <si>
    <t>Cadmium</t>
  </si>
  <si>
    <t>Dimethenamid</t>
  </si>
  <si>
    <t>Simazine</t>
  </si>
  <si>
    <t>Dicamba</t>
  </si>
  <si>
    <t>Fipronil</t>
  </si>
  <si>
    <t>Glufosinate</t>
  </si>
  <si>
    <t>Diflufenzopyr-sodium</t>
  </si>
  <si>
    <t>2,4-D</t>
  </si>
  <si>
    <t>Chlorpyrifos</t>
  </si>
  <si>
    <t>Acetochlor</t>
  </si>
  <si>
    <t>Flumetsulam</t>
  </si>
  <si>
    <t>Imazethapyr</t>
  </si>
  <si>
    <t>Isoxaflutole</t>
  </si>
  <si>
    <t>Prosulfuron</t>
  </si>
  <si>
    <t>Cypermethrin</t>
  </si>
  <si>
    <t>Nicosulfuron</t>
  </si>
  <si>
    <t>Primisulfuron</t>
  </si>
  <si>
    <t>Lead</t>
  </si>
  <si>
    <t>Water, unspecified natural origin</t>
  </si>
  <si>
    <t>WF for corn from https://doi.org/10.1016/j.jclepro.2017.02.032</t>
  </si>
  <si>
    <t>Already considered in the biogas production stage</t>
  </si>
  <si>
    <t>Farming of corn</t>
  </si>
  <si>
    <t>Life Cycle Assessment of Biofuels in EU/CH, F. Cozzolini 2018, PSI. Herbicide input from RED II. Taken from additional lci provided by premise</t>
  </si>
  <si>
    <t>methane, from electrochemical methanation</t>
  </si>
  <si>
    <t>Life cycle assessment of power-to-gas with biogas as the carbon source. Xiaojin Zhang, Julia Witte, Tilman Schildhauer and Christian Bauer. https://doi.org/10.1039/C9SE00986H</t>
  </si>
  <si>
    <t>uncertainty type</t>
  </si>
  <si>
    <t>loc</t>
  </si>
  <si>
    <t>u1</t>
  </si>
  <si>
    <t>u2</t>
  </si>
  <si>
    <t>u3</t>
  </si>
  <si>
    <t>u4</t>
  </si>
  <si>
    <t>u5</t>
  </si>
  <si>
    <t>u6</t>
  </si>
  <si>
    <t>ub</t>
  </si>
  <si>
    <t>scale</t>
  </si>
  <si>
    <t>negative</t>
  </si>
  <si>
    <t>simapro category</t>
  </si>
  <si>
    <t>Material/Fuels/Synthetic/Transformation</t>
  </si>
  <si>
    <t>Sabatier reaction methanation unit construction</t>
  </si>
  <si>
    <t>Sabatier reaction methanation unit</t>
  </si>
  <si>
    <t>production of nickel-based catalyst for methanation</t>
  </si>
  <si>
    <t>nickel-based catalyst for methanation</t>
  </si>
  <si>
    <t>methane, from electrochemical methanation, with carbon from anaerobic digestion</t>
  </si>
  <si>
    <t>Calculated based on Sabatier chemical reaction, considering the density of CH4 (0.717 kg/Nm3)</t>
  </si>
  <si>
    <t>Calculated based on Sabatier chemical reaction, considering the reaction enthalpy. More details in Zhang et al. (2019)</t>
  </si>
  <si>
    <t>Scaled from the inventory in premise, based on the same source. Considering 1kg methane = 1.39 Nm3</t>
  </si>
  <si>
    <t>market for sodium hydroxide, without water, in 50% solution state</t>
  </si>
  <si>
    <t>sodium hydroxide, without water, in 50% solution state</t>
  </si>
  <si>
    <t>heat pump production, heat and power co-generation unit, 160kW electrical</t>
  </si>
  <si>
    <t>heat pump, heat and power co-generation unit, 160kW electrical</t>
  </si>
  <si>
    <t>market for absorption chiller, 100kW</t>
  </si>
  <si>
    <t>absorption chiller, 100kW</t>
  </si>
  <si>
    <t>market for gas turbine, 10MW electrical</t>
  </si>
  <si>
    <t>gas turbine, 10MW electrical</t>
  </si>
  <si>
    <t>market for pump, 40W</t>
  </si>
  <si>
    <t>pump, 40W</t>
  </si>
  <si>
    <t>treatment of spent solvent mixture, hazardous waste incineration</t>
  </si>
  <si>
    <t>spent solvent mixture</t>
  </si>
  <si>
    <t>Monoethanolamine</t>
  </si>
  <si>
    <t>Life cycle assessment of carbon capture and storage in power generation and industry in Europe, Volkart et al., 2013, International Journal of Greenhouse Gas Control</t>
  </si>
  <si>
    <t>biogas purification to biomethane by membrane with CCS, Tr2050</t>
  </si>
  <si>
    <t>biogas purification to biomethane by chemical scrubbing with CCS, Tr2050</t>
  </si>
  <si>
    <t>biogas purification to biomethane by water scrubbing with CCS, Tr2050</t>
  </si>
  <si>
    <t>biogas purification to biomethane by PSA with CCS, Tr2050</t>
  </si>
  <si>
    <t>biogas purification to biomethane by cryogenic separation with CCS, Tr2050</t>
  </si>
  <si>
    <t>carbon dioxide capture and storage, chemical absorption</t>
  </si>
  <si>
    <t>This activity represents post-combustion CO2 capture using chemical absorption with MEA. The transport has been removed from the original activity since methanation units are assumed to be coupled on-site with anaerobic digestion installations.</t>
  </si>
  <si>
    <t>carbon dioxide storage in plant</t>
  </si>
  <si>
    <t>CO2 storage at 22 bar in steel tank. No electricity is included for compression since the methanation process is assumed to be ran at 20 bar with CO2 capture happening on-site.</t>
  </si>
  <si>
    <t>Based on 8322 operating hours and 20 years of lifetime, considering theorethical CO2 for methanation. Factor = 5.23E-07</t>
  </si>
  <si>
    <t>CO2 storage at 22 bar</t>
  </si>
  <si>
    <t>biomethane AD transport</t>
  </si>
  <si>
    <t>market for heat, central or small-scale, biomethane</t>
  </si>
  <si>
    <t>heat, central or small-scale, biomethane</t>
  </si>
  <si>
    <t>methane, from electrochemical methanation, transport</t>
  </si>
  <si>
    <t>Average transportation of methane from electrochemical methanation in France.</t>
  </si>
  <si>
    <t>Collection and supply of dedicated crops</t>
  </si>
  <si>
    <t>Collection and supply of grass</t>
  </si>
  <si>
    <t>Collection and supply of animal manure</t>
  </si>
  <si>
    <t>Collection and supply of agricultural residues</t>
  </si>
  <si>
    <t>Collection and supply of biowaste</t>
  </si>
  <si>
    <t>sequential crop</t>
  </si>
  <si>
    <t>sequential crop production and supply</t>
  </si>
  <si>
    <t>sweet sorghum grain</t>
  </si>
  <si>
    <t>sweet sorghum production</t>
  </si>
  <si>
    <t>barley production</t>
  </si>
  <si>
    <t>barley grain</t>
  </si>
  <si>
    <t>oat sequential crop production</t>
  </si>
  <si>
    <t>oat sequential crop</t>
  </si>
  <si>
    <t>Taken from Istrate et al. (2024). Based on Lodato et al. (2022): Towards sustainable methane supply from local bioresources: Anaerobic digestion, gasification, and gas upgrading. Applied Energy 323 (2022) 119568; Vassilev et al. (2010). An overview of the chemical composition of biomass. Fuel 89 (2010) 913–933</t>
  </si>
  <si>
    <t>Production of oat forage as sequential crop. Inventory taken from Istrate et al. (2024): One-tenth of EU’s biomethane potential combined with carbon capture and storage can shift the region’s ammonia production to net-zero. One Earth</t>
  </si>
  <si>
    <t>rye production</t>
  </si>
  <si>
    <t>rye grain</t>
  </si>
  <si>
    <t>fodder beet production, Swiss integrated production, intensive</t>
  </si>
  <si>
    <t>fodder beet, Swiss integrated production</t>
  </si>
  <si>
    <t>market for ryegrass-red&amp;Egyptian clover-mixture silage</t>
  </si>
  <si>
    <t>ryegrass-red&amp;Egyptian clover-mixture silage</t>
  </si>
  <si>
    <t>Considers ryegrass and legume cover crops (clover) together</t>
  </si>
  <si>
    <t>Production and supply os sequential crops. Eight types of sequential crops were considered, following the crops included to determine theoretical methane production, except for triticale. A dataset fro triticale is available in Agribalyse if the practitioners has this database installed</t>
  </si>
  <si>
    <t>Based on ecoinvent, and Istrate et al. (2024) for oat</t>
  </si>
  <si>
    <t>natural gas, imports</t>
  </si>
  <si>
    <t>Imports of natural gas in France</t>
  </si>
  <si>
    <t>natural gas, burned in gas turbine</t>
  </si>
  <si>
    <t>natural gas, high pressure, import from QA</t>
  </si>
  <si>
    <t>natural gas, high pressure, import from DZ</t>
  </si>
  <si>
    <t>natural gas, high pressure, import from NG</t>
  </si>
  <si>
    <t>natural gas, high pressure, import from NL</t>
  </si>
  <si>
    <t>natural gas, high pressure, import from NO</t>
  </si>
  <si>
    <t>natural gas, high pressure, import from RU</t>
  </si>
  <si>
    <t>natural gas, high pressure, import from US</t>
  </si>
  <si>
    <t>Ethane</t>
  </si>
  <si>
    <t>0.49%/MJ supplied (Bussa et al., 2022)</t>
  </si>
  <si>
    <t>market for natural gas, high pressure</t>
  </si>
  <si>
    <t>biomethane import</t>
  </si>
  <si>
    <t>market for biomethane, high pressure</t>
  </si>
  <si>
    <t>Imports of renewable gas in France</t>
  </si>
  <si>
    <t>biomethane, imports</t>
  </si>
  <si>
    <t>Import of biomethane (anaerobic digestion and gasification of wood)</t>
  </si>
  <si>
    <t>5.93e-03 MJ heat/MJ natural gas high pressure (Faist Emmenegger et al., 2017). Biomethane LHV = 34.72 MJ considering a constant upgrading mix</t>
  </si>
  <si>
    <t>Scaled to reference product based on ecoinvent Faist Emmenegger M., Del Duce A., Moreno Ruiz E., Brunner F., (2017). Update of the European natural gas supply chains. Ecoinvent, Zürich, Switzerland</t>
  </si>
  <si>
    <t>market for biogas</t>
  </si>
  <si>
    <t>5.93e-03 MJ heat/MJ natural gas high pressure (Faist Emmenegger et al., 2017).LHV = 35</t>
  </si>
  <si>
    <t>1.5% of losses (ADEME Transition 2050)</t>
  </si>
  <si>
    <t>1.5% ADEME Transition 2050. Calculated from the estimated composition of biomethane from AD in the French mix after upgrading</t>
  </si>
  <si>
    <t>Average transportation of biomethane from anaerobic digestion (AD) in France. Leaks are calcualted considering the average market for upgrading technologies, which remains constant over time and scenarios. While correctly representing leaks for the upgrading mix, it can underestimate or overestimate transportation losses of individual upgrading technologies due to the different methane purities. Transportation is added to the individual AD production pathways because of implementation easiness in the user-defined scenario markets.</t>
  </si>
  <si>
    <t>Losses 1.5% ADEME Transition 2050</t>
  </si>
  <si>
    <t>Production of biogas from the treatment of biowaste. Absorbed biogenic carbon is included to ensure carbon balance.</t>
  </si>
  <si>
    <t>Production of biogas from the treatment of industrial wastewater. Absorbed biogenic carbon is included to ensure carbon balance.</t>
  </si>
  <si>
    <t>Production of biogas from the treatment of sewage sludge. Absorbed biogenic carbon is included to ensure carbon balance.</t>
  </si>
  <si>
    <t>Production of biogas from animal manure. Absorbed biogenic carbon is included to ensure carbon balance.</t>
  </si>
  <si>
    <t>Production of biogas from agricultural residues.Absorbed biogenic carbon is included to ensure carbon balance.</t>
  </si>
  <si>
    <t>Production of biogas from sequential crops. Absorbed biogenic carbon is included to ensure carbon balance.</t>
  </si>
  <si>
    <t>Production of biogas from dedicated crops. Absorbed biogenic carbon is included to ensure carbon balance.</t>
  </si>
  <si>
    <t>Production of biogas from grass and pastures. Absorbed biogenic carbon is included to ensure carbon balance.</t>
  </si>
  <si>
    <t>maize silage production</t>
  </si>
  <si>
    <t>maize silage</t>
  </si>
  <si>
    <t>Purification of biogas to biomethane using membrane technology.</t>
  </si>
  <si>
    <t>Purification of biogas to biomethane using chemical scrubbing technology.</t>
  </si>
  <si>
    <t>Purification of biogas to biomethane using water scrubbing technology.</t>
  </si>
  <si>
    <t>Purification of biogas to biomethane using PSA technology.</t>
  </si>
  <si>
    <t>Purification of biogas to biomethane using cryogenic separation technology.</t>
  </si>
  <si>
    <t>Purification of biogas to biomethane using membrane with CCS technology.</t>
  </si>
  <si>
    <t>Purification of biogas to biomethane using chemical scrubbing with CCS technology.</t>
  </si>
  <si>
    <t>Purification of biogas to biomethane using water scrubbing with CCS technology.</t>
  </si>
  <si>
    <t>Purification of biogas to biomethane using PSA with CCS technology.</t>
  </si>
  <si>
    <t>Purification of biogas to biomethane using cryogenic separation with CCS technology.</t>
  </si>
  <si>
    <t>Methane production from methanation. Hydrogen is taken from the hydrogen market derived from ADEME Transtion 2050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</si>
</sst>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E+00"/>
    <numFmt numFmtId="165" formatCode="0.000"/>
    <numFmt numFmtId="166" formatCode="0.0000000000"/>
    <numFmt numFmtId="167" formatCode="0.0000"/>
    <numFmt numFmtId="168" formatCode="0.000%"/>
    <numFmt numFmtId="169" formatCode="0.00000"/>
  </numFmts>
  <fonts count="20">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scheme val="minor"/>
    </font>
    <font>
      <b/>
      <sz val="11"/>
      <color indexed="8"/>
      <name val="Calibri"/>
      <family val="2"/>
      <scheme val="minor"/>
    </font>
    <font>
      <sz val="10"/>
      <color theme="1"/>
      <name val="Arial"/>
      <family val="2"/>
    </font>
    <font>
      <sz val="11"/>
      <color rgb="FF9C5700"/>
      <name val="Calibri"/>
      <family val="2"/>
      <scheme val="minor"/>
    </font>
    <font>
      <b/>
      <sz val="12"/>
      <color theme="1"/>
      <name val="Calibri"/>
      <family val="2"/>
      <scheme val="minor"/>
    </font>
    <font>
      <b/>
      <sz val="12"/>
      <name val="Calibri (Body)"/>
    </font>
    <font>
      <sz val="12"/>
      <name val="Calibri (Body)"/>
    </font>
    <font>
      <i/>
      <sz val="11"/>
      <color theme="1"/>
      <name val="Calibri"/>
      <family val="2"/>
      <scheme val="minor"/>
    </font>
    <font>
      <b/>
      <sz val="12"/>
      <color rgb="FF000000"/>
      <name val="Calibri"/>
      <family val="2"/>
      <scheme val="minor"/>
    </font>
    <font>
      <sz val="11"/>
      <color rgb="FF000000"/>
      <name val="Calibri"/>
      <family val="2"/>
      <scheme val="minor"/>
    </font>
    <font>
      <sz val="11"/>
      <color rgb="FFFF0000"/>
      <name val="Calibri"/>
      <family val="2"/>
      <scheme val="minor"/>
    </font>
    <font>
      <sz val="11"/>
      <name val="Calibri"/>
      <family val="2"/>
      <scheme val="minor"/>
    </font>
    <font>
      <b/>
      <sz val="11"/>
      <name val="Calibri"/>
      <family val="2"/>
      <scheme val="minor"/>
    </font>
    <font>
      <b/>
      <sz val="11"/>
      <color rgb="FF000000"/>
      <name val="Calibri"/>
      <family val="2"/>
      <scheme val="minor"/>
    </font>
    <font>
      <u/>
      <sz val="11"/>
      <color theme="10"/>
      <name val="Calibri"/>
      <family val="2"/>
      <scheme val="minor"/>
    </font>
    <font>
      <sz val="12"/>
      <color theme="1"/>
      <name val="Calibri"/>
      <family val="2"/>
      <scheme val="minor"/>
    </font>
    <font>
      <sz val="8"/>
      <name val="Calibri"/>
      <family val="2"/>
      <scheme val="minor"/>
    </font>
  </fonts>
  <fills count="6">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9" tint="0.59999389629810485"/>
        <bgColor indexed="64"/>
      </patternFill>
    </fill>
    <fill>
      <patternFill patternType="solid">
        <fgColor rgb="FFC00000"/>
        <bgColor indexed="64"/>
      </patternFill>
    </fill>
  </fills>
  <borders count="2">
    <border>
      <left/>
      <right/>
      <top/>
      <bottom/>
      <diagonal/>
    </border>
    <border>
      <left/>
      <right style="thin">
        <color indexed="64"/>
      </right>
      <top/>
      <bottom/>
      <diagonal/>
    </border>
  </borders>
  <cellStyleXfs count="7">
    <xf numFmtId="0" fontId="0" fillId="0" borderId="0"/>
    <xf numFmtId="0" fontId="1" fillId="0" borderId="0"/>
    <xf numFmtId="0" fontId="1" fillId="0" borderId="0"/>
    <xf numFmtId="0" fontId="5" fillId="0" borderId="0"/>
    <xf numFmtId="0" fontId="6" fillId="2" borderId="0" applyNumberFormat="0" applyBorder="0" applyAlignment="0" applyProtection="0"/>
    <xf numFmtId="9" fontId="1" fillId="0" borderId="0" applyFont="0" applyFill="0" applyBorder="0" applyAlignment="0" applyProtection="0"/>
    <xf numFmtId="0" fontId="17" fillId="0" borderId="0" applyNumberFormat="0" applyFill="0" applyBorder="0" applyAlignment="0" applyProtection="0"/>
  </cellStyleXfs>
  <cellXfs count="84">
    <xf numFmtId="0" fontId="0" fillId="0" borderId="0" xfId="0"/>
    <xf numFmtId="0" fontId="0" fillId="0" borderId="0" xfId="2" applyFont="1"/>
    <xf numFmtId="11" fontId="1" fillId="0" borderId="0" xfId="4" applyNumberFormat="1" applyFont="1" applyFill="1"/>
    <xf numFmtId="0" fontId="0" fillId="0" borderId="1" xfId="0" applyBorder="1"/>
    <xf numFmtId="0" fontId="2" fillId="0" borderId="0" xfId="1" applyFont="1"/>
    <xf numFmtId="11" fontId="2" fillId="0" borderId="0" xfId="1" applyNumberFormat="1" applyFont="1"/>
    <xf numFmtId="0" fontId="1" fillId="0" borderId="0" xfId="1"/>
    <xf numFmtId="0" fontId="1" fillId="0" borderId="0" xfId="0" applyFont="1"/>
    <xf numFmtId="0" fontId="3" fillId="0" borderId="0" xfId="0" applyFont="1"/>
    <xf numFmtId="11" fontId="3" fillId="0" borderId="0" xfId="0" applyNumberFormat="1" applyFont="1"/>
    <xf numFmtId="0" fontId="3" fillId="0" borderId="1" xfId="0" applyFont="1" applyBorder="1"/>
    <xf numFmtId="11" fontId="4" fillId="0" borderId="0" xfId="0" applyNumberFormat="1" applyFont="1"/>
    <xf numFmtId="0" fontId="1" fillId="0" borderId="0" xfId="2"/>
    <xf numFmtId="11" fontId="1" fillId="0" borderId="0" xfId="1" applyNumberFormat="1" applyAlignment="1">
      <alignment horizontal="left"/>
    </xf>
    <xf numFmtId="11" fontId="0" fillId="0" borderId="0" xfId="1" applyNumberFormat="1" applyFont="1" applyAlignment="1">
      <alignment horizontal="left"/>
    </xf>
    <xf numFmtId="0" fontId="4" fillId="0" borderId="0" xfId="0" applyFont="1"/>
    <xf numFmtId="0" fontId="4" fillId="0" borderId="1" xfId="0" applyFont="1" applyBorder="1"/>
    <xf numFmtId="0" fontId="1" fillId="0" borderId="1" xfId="2" applyBorder="1"/>
    <xf numFmtId="11" fontId="0" fillId="0" borderId="0" xfId="0" applyNumberFormat="1"/>
    <xf numFmtId="0" fontId="0" fillId="0" borderId="1" xfId="2" applyFont="1" applyBorder="1"/>
    <xf numFmtId="0" fontId="0" fillId="0" borderId="0" xfId="1" applyFont="1" applyAlignment="1">
      <alignment wrapText="1"/>
    </xf>
    <xf numFmtId="0" fontId="0" fillId="0" borderId="0" xfId="2" quotePrefix="1" applyFont="1"/>
    <xf numFmtId="11" fontId="0" fillId="0" borderId="0" xfId="1" applyNumberFormat="1" applyFont="1" applyAlignment="1">
      <alignment horizontal="left" vertical="top"/>
    </xf>
    <xf numFmtId="0" fontId="9" fillId="0" borderId="0" xfId="2" applyFont="1"/>
    <xf numFmtId="0" fontId="9" fillId="0" borderId="0" xfId="0" applyFont="1"/>
    <xf numFmtId="2" fontId="9" fillId="0" borderId="0" xfId="0" applyNumberFormat="1" applyFont="1"/>
    <xf numFmtId="11" fontId="9" fillId="0" borderId="0" xfId="4" applyNumberFormat="1" applyFont="1" applyFill="1"/>
    <xf numFmtId="11" fontId="9" fillId="0" borderId="0" xfId="0" applyNumberFormat="1" applyFont="1"/>
    <xf numFmtId="0" fontId="8" fillId="0" borderId="0" xfId="0" applyFont="1"/>
    <xf numFmtId="0" fontId="7" fillId="0" borderId="0" xfId="0" applyFont="1"/>
    <xf numFmtId="2" fontId="7" fillId="0" borderId="0" xfId="0" applyNumberFormat="1" applyFont="1"/>
    <xf numFmtId="2" fontId="0" fillId="0" borderId="0" xfId="0" applyNumberFormat="1"/>
    <xf numFmtId="164" fontId="0" fillId="0" borderId="0" xfId="0" applyNumberFormat="1"/>
    <xf numFmtId="0" fontId="11" fillId="0" borderId="0" xfId="0" applyFont="1"/>
    <xf numFmtId="0" fontId="12" fillId="0" borderId="0" xfId="0" applyFont="1"/>
    <xf numFmtId="11" fontId="12" fillId="0" borderId="0" xfId="0" applyNumberFormat="1" applyFont="1"/>
    <xf numFmtId="11" fontId="2" fillId="0" borderId="0" xfId="0" applyNumberFormat="1" applyFont="1"/>
    <xf numFmtId="0" fontId="0" fillId="3" borderId="0" xfId="0" applyFill="1"/>
    <xf numFmtId="0" fontId="15" fillId="0" borderId="0" xfId="0" applyFont="1"/>
    <xf numFmtId="11" fontId="14" fillId="0" borderId="0" xfId="0" applyNumberFormat="1" applyFont="1" applyAlignment="1">
      <alignment horizontal="left"/>
    </xf>
    <xf numFmtId="0" fontId="14" fillId="0" borderId="0" xfId="0" applyFont="1"/>
    <xf numFmtId="0" fontId="2" fillId="0" borderId="0" xfId="0" applyFont="1"/>
    <xf numFmtId="0" fontId="14" fillId="0" borderId="0" xfId="0" applyFont="1" applyAlignment="1">
      <alignment horizontal="left"/>
    </xf>
    <xf numFmtId="11" fontId="14" fillId="0" borderId="0" xfId="0" applyNumberFormat="1" applyFont="1"/>
    <xf numFmtId="11" fontId="15" fillId="0" borderId="0" xfId="0" applyNumberFormat="1" applyFont="1" applyAlignment="1">
      <alignment horizontal="left"/>
    </xf>
    <xf numFmtId="0" fontId="14" fillId="0" borderId="0" xfId="1" applyFont="1"/>
    <xf numFmtId="165" fontId="14" fillId="0" borderId="0" xfId="0" applyNumberFormat="1" applyFont="1" applyAlignment="1">
      <alignment horizontal="left"/>
    </xf>
    <xf numFmtId="10" fontId="14" fillId="0" borderId="0" xfId="0" applyNumberFormat="1" applyFont="1"/>
    <xf numFmtId="165" fontId="14" fillId="0" borderId="0" xfId="1" applyNumberFormat="1" applyFont="1"/>
    <xf numFmtId="0" fontId="16" fillId="0" borderId="0" xfId="0" applyFont="1"/>
    <xf numFmtId="166" fontId="0" fillId="0" borderId="0" xfId="0" applyNumberFormat="1"/>
    <xf numFmtId="1" fontId="0" fillId="0" borderId="0" xfId="0" applyNumberFormat="1"/>
    <xf numFmtId="11" fontId="0" fillId="0" borderId="0" xfId="0" applyNumberFormat="1" applyAlignment="1">
      <alignment horizontal="left"/>
    </xf>
    <xf numFmtId="0" fontId="10" fillId="0" borderId="0" xfId="0" applyFont="1"/>
    <xf numFmtId="0" fontId="13" fillId="0" borderId="0" xfId="1" applyFont="1"/>
    <xf numFmtId="165" fontId="14" fillId="0" borderId="0" xfId="0" applyNumberFormat="1" applyFont="1"/>
    <xf numFmtId="165" fontId="0" fillId="0" borderId="0" xfId="0" applyNumberFormat="1"/>
    <xf numFmtId="167" fontId="14" fillId="0" borderId="0" xfId="0" applyNumberFormat="1" applyFont="1"/>
    <xf numFmtId="0" fontId="15" fillId="0" borderId="0" xfId="1" applyFont="1"/>
    <xf numFmtId="11" fontId="14" fillId="0" borderId="0" xfId="0" applyNumberFormat="1" applyFont="1" applyAlignment="1">
      <alignment horizontal="right"/>
    </xf>
    <xf numFmtId="167" fontId="14" fillId="0" borderId="0" xfId="0" applyNumberFormat="1" applyFont="1" applyAlignment="1">
      <alignment horizontal="right"/>
    </xf>
    <xf numFmtId="167" fontId="0" fillId="0" borderId="0" xfId="0" applyNumberFormat="1" applyAlignment="1">
      <alignment horizontal="right"/>
    </xf>
    <xf numFmtId="0" fontId="14" fillId="4" borderId="0" xfId="0" applyFont="1" applyFill="1"/>
    <xf numFmtId="0" fontId="14" fillId="4" borderId="0" xfId="0" applyFont="1" applyFill="1" applyAlignment="1">
      <alignment horizontal="left"/>
    </xf>
    <xf numFmtId="0" fontId="0" fillId="4" borderId="0" xfId="0" applyFill="1"/>
    <xf numFmtId="11" fontId="0" fillId="4" borderId="0" xfId="0" applyNumberFormat="1" applyFill="1"/>
    <xf numFmtId="0" fontId="14" fillId="0" borderId="0" xfId="0" applyFont="1" applyAlignment="1">
      <alignment horizontal="left" vertical="top"/>
    </xf>
    <xf numFmtId="168" fontId="14" fillId="0" borderId="0" xfId="5" applyNumberFormat="1" applyFont="1"/>
    <xf numFmtId="169" fontId="0" fillId="0" borderId="0" xfId="0" applyNumberFormat="1"/>
    <xf numFmtId="165" fontId="14" fillId="0" borderId="0" xfId="5" applyNumberFormat="1" applyFont="1"/>
    <xf numFmtId="0" fontId="0" fillId="0" borderId="0" xfId="0" applyFill="1"/>
    <xf numFmtId="0" fontId="12" fillId="0" borderId="0" xfId="0" applyFont="1" applyFill="1"/>
    <xf numFmtId="0" fontId="14" fillId="5" borderId="0" xfId="0" applyFont="1" applyFill="1"/>
    <xf numFmtId="0" fontId="14" fillId="5" borderId="0" xfId="0" applyFont="1" applyFill="1" applyAlignment="1">
      <alignment horizontal="left"/>
    </xf>
    <xf numFmtId="0" fontId="0" fillId="5" borderId="0" xfId="0" applyFill="1"/>
    <xf numFmtId="0" fontId="2" fillId="5" borderId="0" xfId="0" applyFont="1" applyFill="1"/>
    <xf numFmtId="11" fontId="2" fillId="5" borderId="0" xfId="0" applyNumberFormat="1" applyFont="1" applyFill="1"/>
    <xf numFmtId="11" fontId="0" fillId="5" borderId="0" xfId="0" applyNumberFormat="1" applyFill="1"/>
    <xf numFmtId="0" fontId="18" fillId="5" borderId="0" xfId="0" applyFont="1" applyFill="1"/>
    <xf numFmtId="2" fontId="0" fillId="5" borderId="0" xfId="0" applyNumberFormat="1" applyFill="1"/>
    <xf numFmtId="11" fontId="0" fillId="5" borderId="0" xfId="5" applyNumberFormat="1" applyFont="1" applyFill="1"/>
    <xf numFmtId="0" fontId="7" fillId="5" borderId="0" xfId="0" applyFont="1" applyFill="1"/>
    <xf numFmtId="0" fontId="15" fillId="5" borderId="0" xfId="0" applyFont="1" applyFill="1"/>
    <xf numFmtId="0" fontId="17" fillId="5" borderId="0" xfId="6" applyFill="1"/>
  </cellXfs>
  <cellStyles count="7">
    <cellStyle name="Hyperlink" xfId="6" builtinId="8"/>
    <cellStyle name="Neutral" xfId="4" builtinId="28"/>
    <cellStyle name="Normal" xfId="0" builtinId="0"/>
    <cellStyle name="Normal 11 3" xfId="1" xr:uid="{00000000-0005-0000-0000-000002000000}"/>
    <cellStyle name="Normal 2" xfId="2" xr:uid="{00000000-0005-0000-0000-000003000000}"/>
    <cellStyle name="Normal 3" xfId="3" xr:uid="{00000000-0005-0000-0000-00000400000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16/j.jclepro.2017.02.0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81"/>
  <sheetViews>
    <sheetView tabSelected="1" topLeftCell="A414" zoomScaleNormal="100" workbookViewId="0">
      <selection activeCell="B388" sqref="B388"/>
    </sheetView>
  </sheetViews>
  <sheetFormatPr defaultColWidth="8.85546875" defaultRowHeight="15"/>
  <cols>
    <col min="1" max="1" width="73.140625" customWidth="1"/>
    <col min="2" max="2" width="18.5703125" style="18" customWidth="1"/>
    <col min="3" max="3" width="17.140625" customWidth="1"/>
    <col min="4" max="4" width="24.42578125" bestFit="1" customWidth="1"/>
    <col min="5" max="5" width="11.42578125" customWidth="1"/>
    <col min="6" max="6" width="14.85546875" bestFit="1" customWidth="1"/>
    <col min="7" max="7" width="33.42578125" bestFit="1" customWidth="1"/>
    <col min="8" max="8" width="19.5703125" bestFit="1" customWidth="1"/>
    <col min="9" max="9" width="109.7109375" customWidth="1"/>
    <col min="10" max="10" width="31" customWidth="1"/>
  </cols>
  <sheetData>
    <row r="1" spans="1:14">
      <c r="A1" t="s">
        <v>14</v>
      </c>
      <c r="B1">
        <v>9</v>
      </c>
    </row>
    <row r="2" spans="1:14">
      <c r="A2" s="4" t="s">
        <v>0</v>
      </c>
      <c r="B2" s="5" t="s">
        <v>100</v>
      </c>
      <c r="C2" s="6"/>
      <c r="D2" s="6"/>
      <c r="E2" s="6"/>
      <c r="F2" s="6"/>
      <c r="G2" s="6"/>
      <c r="H2" s="6"/>
      <c r="I2" s="6"/>
      <c r="K2" s="7"/>
    </row>
    <row r="3" spans="1:14">
      <c r="A3" s="4"/>
      <c r="B3" s="5"/>
      <c r="C3" s="6"/>
      <c r="D3" s="6"/>
      <c r="E3" s="6"/>
      <c r="F3" s="6"/>
      <c r="G3" s="6"/>
      <c r="H3" s="6"/>
      <c r="I3" s="6"/>
      <c r="K3" s="7"/>
    </row>
    <row r="4" spans="1:14">
      <c r="A4" s="8"/>
      <c r="B4" s="9"/>
      <c r="C4" s="8"/>
      <c r="D4" s="8"/>
      <c r="E4" s="8"/>
      <c r="F4" s="8"/>
      <c r="G4" s="8"/>
      <c r="H4" s="8"/>
      <c r="I4" s="8"/>
      <c r="K4" s="7"/>
    </row>
    <row r="5" spans="1:14" ht="15.75">
      <c r="A5" s="29" t="s">
        <v>1</v>
      </c>
      <c r="B5" s="29" t="s">
        <v>172</v>
      </c>
      <c r="M5" t="s">
        <v>74</v>
      </c>
    </row>
    <row r="6" spans="1:14">
      <c r="A6" t="s">
        <v>2</v>
      </c>
      <c r="B6" t="s">
        <v>29</v>
      </c>
      <c r="M6" t="s">
        <v>74</v>
      </c>
    </row>
    <row r="7" spans="1:14">
      <c r="A7" t="s">
        <v>11</v>
      </c>
      <c r="B7" t="s">
        <v>75</v>
      </c>
    </row>
    <row r="8" spans="1:14">
      <c r="A8" t="s">
        <v>3</v>
      </c>
      <c r="B8">
        <v>1</v>
      </c>
      <c r="M8" t="s">
        <v>74</v>
      </c>
    </row>
    <row r="9" spans="1:14">
      <c r="A9" t="s">
        <v>76</v>
      </c>
      <c r="B9" t="s">
        <v>77</v>
      </c>
    </row>
    <row r="10" spans="1:14">
      <c r="A10" t="s">
        <v>4</v>
      </c>
      <c r="B10" t="s">
        <v>31</v>
      </c>
      <c r="M10" t="s">
        <v>74</v>
      </c>
    </row>
    <row r="11" spans="1:14">
      <c r="A11" t="s">
        <v>5</v>
      </c>
      <c r="B11" t="s">
        <v>78</v>
      </c>
      <c r="M11" t="s">
        <v>74</v>
      </c>
    </row>
    <row r="12" spans="1:14">
      <c r="A12" t="s">
        <v>6</v>
      </c>
      <c r="B12" t="s">
        <v>19</v>
      </c>
      <c r="M12" t="s">
        <v>74</v>
      </c>
    </row>
    <row r="13" spans="1:14" ht="15.75">
      <c r="A13" s="29" t="s">
        <v>7</v>
      </c>
      <c r="B13"/>
      <c r="M13" t="s">
        <v>74</v>
      </c>
    </row>
    <row r="14" spans="1:14" ht="15.75">
      <c r="A14" s="29" t="s">
        <v>8</v>
      </c>
      <c r="B14" s="29" t="s">
        <v>9</v>
      </c>
      <c r="C14" s="29" t="s">
        <v>2</v>
      </c>
      <c r="D14" s="29" t="s">
        <v>6</v>
      </c>
      <c r="E14" s="29" t="s">
        <v>10</v>
      </c>
      <c r="F14" s="29" t="s">
        <v>5</v>
      </c>
      <c r="G14" s="29" t="s">
        <v>4</v>
      </c>
      <c r="H14" s="29" t="s">
        <v>11</v>
      </c>
      <c r="I14" s="53"/>
    </row>
    <row r="15" spans="1:14">
      <c r="A15" t="str">
        <f>B5</f>
        <v>electricity supply, high voltage, from vanadium-redox flow battery system, Tr2050</v>
      </c>
      <c r="B15">
        <v>1</v>
      </c>
      <c r="C15" t="s">
        <v>29</v>
      </c>
      <c r="D15" t="str">
        <f>B12</f>
        <v>kilowatt hour</v>
      </c>
      <c r="F15" t="s">
        <v>18</v>
      </c>
      <c r="G15" t="str">
        <f>B10</f>
        <v>electricity, high voltage</v>
      </c>
      <c r="I15" s="7"/>
      <c r="J15" s="7"/>
      <c r="K15" s="7"/>
      <c r="L15" s="7"/>
      <c r="M15" s="7"/>
      <c r="N15" s="7"/>
    </row>
    <row r="16" spans="1:14">
      <c r="A16" t="s">
        <v>98</v>
      </c>
      <c r="B16">
        <v>1.33</v>
      </c>
      <c r="C16" t="s">
        <v>29</v>
      </c>
      <c r="D16" t="s">
        <v>19</v>
      </c>
      <c r="F16" t="s">
        <v>12</v>
      </c>
      <c r="G16" t="s">
        <v>31</v>
      </c>
      <c r="H16" t="s">
        <v>79</v>
      </c>
      <c r="I16" s="7"/>
      <c r="J16" s="7"/>
      <c r="K16" s="7"/>
      <c r="L16" s="7"/>
      <c r="M16" s="7"/>
      <c r="N16" s="7"/>
    </row>
    <row r="17" spans="1:11">
      <c r="A17" t="s">
        <v>80</v>
      </c>
      <c r="B17" s="32">
        <f>1/(49000000)</f>
        <v>2.0408163265306123E-8</v>
      </c>
      <c r="C17" t="s">
        <v>49</v>
      </c>
      <c r="D17" t="s">
        <v>6</v>
      </c>
      <c r="F17" t="s">
        <v>12</v>
      </c>
      <c r="G17" t="s">
        <v>81</v>
      </c>
      <c r="H17" t="s">
        <v>82</v>
      </c>
    </row>
    <row r="18" spans="1:11">
      <c r="A18" t="s">
        <v>83</v>
      </c>
      <c r="B18" s="32">
        <f>1/(49000000)</f>
        <v>2.0408163265306123E-8</v>
      </c>
      <c r="C18" t="s">
        <v>49</v>
      </c>
      <c r="D18" t="s">
        <v>6</v>
      </c>
      <c r="F18" t="s">
        <v>12</v>
      </c>
      <c r="G18" t="s">
        <v>84</v>
      </c>
      <c r="H18" t="s">
        <v>85</v>
      </c>
    </row>
    <row r="19" spans="1:11">
      <c r="A19" t="s">
        <v>86</v>
      </c>
      <c r="B19" s="32">
        <f>-0.41/1000</f>
        <v>-4.0999999999999999E-4</v>
      </c>
      <c r="C19" t="s">
        <v>49</v>
      </c>
      <c r="D19" t="s">
        <v>13</v>
      </c>
      <c r="F19" t="s">
        <v>12</v>
      </c>
      <c r="G19" t="s">
        <v>87</v>
      </c>
      <c r="H19" t="s">
        <v>88</v>
      </c>
    </row>
    <row r="20" spans="1:11">
      <c r="A20" t="s">
        <v>89</v>
      </c>
      <c r="B20">
        <f>-0.66/1000</f>
        <v>-6.6E-4</v>
      </c>
      <c r="C20" t="s">
        <v>49</v>
      </c>
      <c r="D20" t="s">
        <v>13</v>
      </c>
      <c r="F20" t="s">
        <v>12</v>
      </c>
      <c r="G20" t="s">
        <v>90</v>
      </c>
      <c r="H20" t="s">
        <v>91</v>
      </c>
    </row>
    <row r="21" spans="1:11">
      <c r="A21" t="s">
        <v>92</v>
      </c>
      <c r="B21">
        <f>-5.55/1000</f>
        <v>-5.5500000000000002E-3</v>
      </c>
      <c r="C21" t="s">
        <v>49</v>
      </c>
      <c r="D21" t="s">
        <v>13</v>
      </c>
      <c r="F21" t="s">
        <v>12</v>
      </c>
      <c r="G21" t="s">
        <v>93</v>
      </c>
      <c r="H21" t="s">
        <v>94</v>
      </c>
    </row>
    <row r="22" spans="1:11">
      <c r="A22" t="s">
        <v>95</v>
      </c>
      <c r="B22">
        <f>-0.1/1000</f>
        <v>-1E-4</v>
      </c>
      <c r="C22" t="s">
        <v>49</v>
      </c>
      <c r="D22" t="s">
        <v>13</v>
      </c>
      <c r="F22" t="s">
        <v>12</v>
      </c>
      <c r="G22" t="s">
        <v>96</v>
      </c>
      <c r="H22" t="s">
        <v>97</v>
      </c>
    </row>
    <row r="23" spans="1:11">
      <c r="B23"/>
    </row>
    <row r="24" spans="1:11">
      <c r="B24"/>
    </row>
    <row r="25" spans="1:11">
      <c r="A25" s="4" t="s">
        <v>1</v>
      </c>
      <c r="B25" s="36" t="s">
        <v>193</v>
      </c>
      <c r="C25" s="12"/>
      <c r="D25" s="8"/>
      <c r="E25" s="8"/>
      <c r="F25" s="8"/>
      <c r="G25" s="8"/>
      <c r="H25" s="8"/>
      <c r="I25" s="8"/>
      <c r="K25" s="7"/>
    </row>
    <row r="26" spans="1:11">
      <c r="A26" s="6" t="s">
        <v>3</v>
      </c>
      <c r="B26" s="13">
        <v>1</v>
      </c>
      <c r="C26" s="8"/>
      <c r="D26" s="8"/>
      <c r="E26" s="8"/>
      <c r="F26" s="8"/>
      <c r="G26" s="8"/>
      <c r="H26" s="8"/>
      <c r="I26" s="8"/>
      <c r="K26" s="7"/>
    </row>
    <row r="27" spans="1:11">
      <c r="A27" s="6" t="s">
        <v>11</v>
      </c>
      <c r="B27" s="14" t="s">
        <v>176</v>
      </c>
      <c r="C27" s="8"/>
      <c r="D27" s="8"/>
      <c r="E27" s="8"/>
      <c r="F27" s="8"/>
      <c r="G27" s="8"/>
      <c r="H27" s="8"/>
      <c r="I27" s="8"/>
      <c r="K27" s="7"/>
    </row>
    <row r="28" spans="1:11">
      <c r="A28" s="6" t="s">
        <v>4</v>
      </c>
      <c r="B28" t="s">
        <v>31</v>
      </c>
      <c r="C28" s="8"/>
      <c r="D28" s="8"/>
      <c r="E28" s="8"/>
      <c r="F28" s="8"/>
      <c r="G28" s="8"/>
      <c r="H28" s="8"/>
      <c r="I28" s="8"/>
      <c r="K28" s="7"/>
    </row>
    <row r="29" spans="1:11">
      <c r="A29" s="6" t="s">
        <v>2</v>
      </c>
      <c r="B29" s="14" t="s">
        <v>29</v>
      </c>
      <c r="C29" s="8"/>
      <c r="D29" s="8"/>
      <c r="E29" s="8"/>
      <c r="F29" s="8"/>
      <c r="G29" s="8"/>
      <c r="H29" s="8"/>
      <c r="I29" s="8"/>
      <c r="K29" s="7"/>
    </row>
    <row r="30" spans="1:11">
      <c r="A30" s="6" t="s">
        <v>6</v>
      </c>
      <c r="B30" s="9" t="s">
        <v>19</v>
      </c>
      <c r="C30" s="8"/>
      <c r="D30" s="8"/>
      <c r="E30" s="8"/>
      <c r="F30" s="8"/>
      <c r="G30" s="8"/>
      <c r="H30" s="15"/>
      <c r="I30" s="15"/>
      <c r="K30" s="7"/>
    </row>
    <row r="31" spans="1:11">
      <c r="A31" s="15" t="s">
        <v>7</v>
      </c>
      <c r="B31" s="11"/>
      <c r="C31" s="15"/>
      <c r="D31" s="15"/>
      <c r="E31" s="15"/>
      <c r="F31" s="15"/>
      <c r="G31" s="15"/>
      <c r="H31" s="12"/>
      <c r="I31" s="12"/>
      <c r="K31" s="7"/>
    </row>
    <row r="32" spans="1:11">
      <c r="A32" t="s">
        <v>8</v>
      </c>
      <c r="B32" s="18" t="s">
        <v>9</v>
      </c>
      <c r="C32" t="s">
        <v>2</v>
      </c>
      <c r="D32" t="s">
        <v>6</v>
      </c>
      <c r="E32" t="s">
        <v>5</v>
      </c>
      <c r="F32" t="s">
        <v>4</v>
      </c>
      <c r="G32" t="s">
        <v>10</v>
      </c>
      <c r="H32" s="1" t="s">
        <v>11</v>
      </c>
      <c r="J32" s="1"/>
      <c r="K32" s="7"/>
    </row>
    <row r="33" spans="1:11">
      <c r="A33" s="18" t="s">
        <v>193</v>
      </c>
      <c r="B33" s="18">
        <v>1</v>
      </c>
      <c r="C33" t="str">
        <f>B29</f>
        <v>FR</v>
      </c>
      <c r="D33" s="9" t="s">
        <v>19</v>
      </c>
      <c r="E33" t="s">
        <v>18</v>
      </c>
      <c r="F33" t="s">
        <v>31</v>
      </c>
      <c r="G33" s="12"/>
      <c r="H33" s="12"/>
      <c r="K33" s="7"/>
    </row>
    <row r="34" spans="1:11">
      <c r="A34" t="s">
        <v>177</v>
      </c>
      <c r="B34" s="18">
        <v>4.0404040404040398E-13</v>
      </c>
      <c r="C34" t="s">
        <v>49</v>
      </c>
      <c r="D34" t="s">
        <v>6</v>
      </c>
      <c r="E34" t="s">
        <v>12</v>
      </c>
      <c r="F34" t="s">
        <v>178</v>
      </c>
    </row>
    <row r="35" spans="1:11">
      <c r="A35" t="s">
        <v>179</v>
      </c>
      <c r="B35" s="18">
        <v>7.5599999999999996E-6</v>
      </c>
      <c r="C35" t="s">
        <v>49</v>
      </c>
      <c r="D35" t="s">
        <v>13</v>
      </c>
      <c r="E35" t="s">
        <v>12</v>
      </c>
      <c r="F35" t="s">
        <v>180</v>
      </c>
    </row>
    <row r="36" spans="1:11">
      <c r="A36" t="s">
        <v>181</v>
      </c>
      <c r="B36" s="18">
        <v>-7.5599999999999996E-6</v>
      </c>
      <c r="C36" t="s">
        <v>22</v>
      </c>
      <c r="D36" t="s">
        <v>13</v>
      </c>
      <c r="E36" t="s">
        <v>12</v>
      </c>
      <c r="F36" t="s">
        <v>182</v>
      </c>
    </row>
    <row r="37" spans="1:11">
      <c r="A37" t="s">
        <v>98</v>
      </c>
      <c r="B37" s="18">
        <v>1.25125</v>
      </c>
      <c r="C37" s="70" t="s">
        <v>29</v>
      </c>
      <c r="D37" t="s">
        <v>19</v>
      </c>
      <c r="E37" t="s">
        <v>12</v>
      </c>
      <c r="F37" t="s">
        <v>31</v>
      </c>
    </row>
    <row r="38" spans="1:11">
      <c r="A38" t="s">
        <v>115</v>
      </c>
      <c r="B38" s="18">
        <v>7.7000000000000001E-8</v>
      </c>
      <c r="D38" t="s">
        <v>13</v>
      </c>
      <c r="E38" t="s">
        <v>15</v>
      </c>
      <c r="G38" t="s">
        <v>183</v>
      </c>
    </row>
    <row r="39" spans="1:11">
      <c r="A39" t="s">
        <v>184</v>
      </c>
      <c r="B39" s="18">
        <v>1.4E-5</v>
      </c>
      <c r="D39" t="s">
        <v>13</v>
      </c>
      <c r="E39" t="s">
        <v>15</v>
      </c>
      <c r="G39" t="s">
        <v>183</v>
      </c>
    </row>
    <row r="40" spans="1:11">
      <c r="A40" t="s">
        <v>130</v>
      </c>
      <c r="B40" s="18">
        <v>2.49876858810916E-4</v>
      </c>
      <c r="D40" t="s">
        <v>128</v>
      </c>
      <c r="E40" t="s">
        <v>15</v>
      </c>
      <c r="G40" t="s">
        <v>25</v>
      </c>
    </row>
    <row r="41" spans="1:11">
      <c r="A41" t="s">
        <v>130</v>
      </c>
      <c r="B41" s="18">
        <v>1.1580501231411899</v>
      </c>
      <c r="D41" t="s">
        <v>128</v>
      </c>
      <c r="E41" t="s">
        <v>15</v>
      </c>
      <c r="G41" t="s">
        <v>131</v>
      </c>
    </row>
    <row r="42" spans="1:11">
      <c r="A42" t="s">
        <v>185</v>
      </c>
      <c r="B42" s="18">
        <v>3.4499999999999999E-3</v>
      </c>
      <c r="D42" t="s">
        <v>17</v>
      </c>
      <c r="E42" t="s">
        <v>15</v>
      </c>
      <c r="G42" t="s">
        <v>16</v>
      </c>
    </row>
    <row r="43" spans="1:11">
      <c r="A43" t="s">
        <v>186</v>
      </c>
      <c r="B43" s="18">
        <v>2.3E-5</v>
      </c>
      <c r="D43" t="s">
        <v>187</v>
      </c>
      <c r="E43" t="s">
        <v>15</v>
      </c>
      <c r="G43" t="s">
        <v>16</v>
      </c>
    </row>
    <row r="44" spans="1:11">
      <c r="A44" t="s">
        <v>188</v>
      </c>
      <c r="B44" s="18">
        <v>2.2999999999999999E-7</v>
      </c>
      <c r="D44" t="s">
        <v>187</v>
      </c>
      <c r="E44" t="s">
        <v>15</v>
      </c>
      <c r="G44" t="s">
        <v>16</v>
      </c>
    </row>
    <row r="45" spans="1:11">
      <c r="A45" t="s">
        <v>189</v>
      </c>
      <c r="B45" s="18">
        <v>2.2770000000000001E-5</v>
      </c>
      <c r="D45" t="s">
        <v>187</v>
      </c>
      <c r="E45" t="s">
        <v>15</v>
      </c>
      <c r="G45" t="s">
        <v>16</v>
      </c>
    </row>
    <row r="46" spans="1:11">
      <c r="A46" t="s">
        <v>190</v>
      </c>
      <c r="B46" s="18">
        <v>0.15</v>
      </c>
      <c r="D46" t="s">
        <v>191</v>
      </c>
      <c r="E46" t="s">
        <v>15</v>
      </c>
      <c r="G46" t="s">
        <v>129</v>
      </c>
    </row>
    <row r="47" spans="1:11">
      <c r="A47" t="s">
        <v>192</v>
      </c>
      <c r="B47" s="18">
        <v>1.1583000000000001</v>
      </c>
      <c r="D47" t="s">
        <v>128</v>
      </c>
      <c r="E47" t="s">
        <v>15</v>
      </c>
      <c r="G47" t="s">
        <v>129</v>
      </c>
    </row>
    <row r="48" spans="1:11">
      <c r="B48"/>
    </row>
    <row r="49" spans="1:20">
      <c r="B49"/>
    </row>
    <row r="50" spans="1:20" s="24" customFormat="1" ht="15.75">
      <c r="A50" s="4" t="s">
        <v>1</v>
      </c>
      <c r="B50" s="36" t="s">
        <v>171</v>
      </c>
      <c r="C50" s="4"/>
      <c r="D50" s="36"/>
      <c r="E50" s="4"/>
      <c r="F50" s="36"/>
      <c r="G50" s="4"/>
      <c r="H50" s="36"/>
      <c r="K50" s="25"/>
      <c r="L50" s="25"/>
      <c r="M50" s="25"/>
      <c r="N50" s="25"/>
      <c r="O50" s="25"/>
      <c r="P50" s="25"/>
    </row>
    <row r="51" spans="1:20" s="24" customFormat="1" ht="15.75">
      <c r="A51" s="4" t="s">
        <v>3</v>
      </c>
      <c r="B51">
        <v>1</v>
      </c>
      <c r="C51" s="4"/>
      <c r="D51" s="36"/>
      <c r="E51" s="4"/>
      <c r="F51" s="36"/>
      <c r="G51" s="4"/>
      <c r="H51" s="36"/>
      <c r="K51" s="25"/>
      <c r="L51" s="25"/>
      <c r="M51" s="25"/>
      <c r="N51" s="25"/>
      <c r="O51" s="25"/>
      <c r="P51" s="25"/>
    </row>
    <row r="52" spans="1:20" s="24" customFormat="1" ht="15.75">
      <c r="A52" s="4" t="s">
        <v>11</v>
      </c>
      <c r="B52" t="s">
        <v>56</v>
      </c>
      <c r="C52" s="4"/>
      <c r="D52" s="36"/>
      <c r="E52" s="4"/>
      <c r="F52" s="36"/>
      <c r="G52" s="4"/>
      <c r="H52" s="36"/>
      <c r="K52" s="25"/>
      <c r="L52" s="25"/>
      <c r="M52" s="25"/>
      <c r="N52" s="25"/>
      <c r="O52" s="25"/>
      <c r="P52" s="25"/>
    </row>
    <row r="53" spans="1:20" s="24" customFormat="1" ht="15.75">
      <c r="A53" s="4" t="s">
        <v>4</v>
      </c>
      <c r="B53" t="s">
        <v>57</v>
      </c>
      <c r="C53" s="4"/>
      <c r="D53" s="36"/>
      <c r="E53" s="4"/>
      <c r="F53" s="36"/>
      <c r="G53" s="4"/>
      <c r="H53" s="36"/>
      <c r="K53" s="25"/>
      <c r="L53" s="25"/>
      <c r="M53" s="25"/>
      <c r="N53" s="25"/>
      <c r="O53" s="25"/>
      <c r="P53" s="25"/>
    </row>
    <row r="54" spans="1:20" s="24" customFormat="1" ht="15.75">
      <c r="A54" s="4" t="s">
        <v>2</v>
      </c>
      <c r="B54" t="s">
        <v>29</v>
      </c>
      <c r="C54" s="4"/>
      <c r="D54" s="36"/>
      <c r="E54" s="4"/>
      <c r="F54" s="36"/>
      <c r="G54" s="4"/>
      <c r="H54" s="36"/>
      <c r="K54" s="25"/>
      <c r="L54" s="25"/>
      <c r="M54" s="25"/>
      <c r="N54" s="25"/>
      <c r="O54" s="25"/>
      <c r="P54" s="25"/>
    </row>
    <row r="55" spans="1:20" s="24" customFormat="1" ht="15.75">
      <c r="A55" s="4" t="s">
        <v>6</v>
      </c>
      <c r="B55" t="s">
        <v>13</v>
      </c>
      <c r="C55" s="4"/>
      <c r="D55" s="36"/>
      <c r="E55" s="4"/>
      <c r="F55" s="36"/>
      <c r="G55" s="4"/>
      <c r="H55" s="36"/>
      <c r="I55" s="28"/>
      <c r="J55" s="28"/>
      <c r="K55" s="25"/>
      <c r="L55" s="25"/>
      <c r="M55" s="25"/>
      <c r="N55" s="25"/>
      <c r="O55" s="25"/>
      <c r="P55" s="25"/>
    </row>
    <row r="56" spans="1:20" s="24" customFormat="1" ht="15.75">
      <c r="A56" s="4" t="s">
        <v>7</v>
      </c>
      <c r="B56" s="36"/>
      <c r="C56" s="4"/>
      <c r="D56" s="36"/>
      <c r="E56" s="4"/>
      <c r="F56" s="36"/>
      <c r="G56" s="4"/>
      <c r="H56" s="36"/>
      <c r="I56" s="23"/>
      <c r="J56" s="23"/>
      <c r="K56" s="25"/>
      <c r="L56" s="25"/>
      <c r="M56" s="25"/>
      <c r="N56" s="25"/>
      <c r="O56" s="25"/>
      <c r="P56" s="25"/>
    </row>
    <row r="57" spans="1:20" s="24" customFormat="1" ht="15.75">
      <c r="A57" s="4" t="s">
        <v>8</v>
      </c>
      <c r="B57" s="36" t="s">
        <v>9</v>
      </c>
      <c r="C57" s="4" t="s">
        <v>2</v>
      </c>
      <c r="D57" s="36" t="s">
        <v>6</v>
      </c>
      <c r="E57" s="4" t="s">
        <v>10</v>
      </c>
      <c r="F57" s="36" t="s">
        <v>5</v>
      </c>
      <c r="G57" s="4" t="s">
        <v>4</v>
      </c>
      <c r="H57" s="36" t="s">
        <v>11</v>
      </c>
      <c r="I57" s="28"/>
      <c r="J57" s="29"/>
      <c r="K57" s="30"/>
      <c r="L57" s="30"/>
      <c r="M57" s="30"/>
      <c r="N57" s="30"/>
      <c r="O57" s="30"/>
      <c r="P57" s="30"/>
      <c r="Q57" s="29"/>
      <c r="R57" s="29"/>
      <c r="S57" s="28"/>
      <c r="T57" s="29"/>
    </row>
    <row r="58" spans="1:20" s="24" customFormat="1" ht="15.75">
      <c r="A58" t="s">
        <v>73</v>
      </c>
      <c r="B58">
        <v>1</v>
      </c>
      <c r="C58" t="str">
        <f>B54</f>
        <v>FR</v>
      </c>
      <c r="D58" t="str">
        <f>B55</f>
        <v>kilogram</v>
      </c>
      <c r="E58"/>
      <c r="F58" t="s">
        <v>18</v>
      </c>
      <c r="G58" t="s">
        <v>57</v>
      </c>
      <c r="H58"/>
      <c r="I58" s="23"/>
      <c r="K58" s="25"/>
      <c r="L58" s="25"/>
      <c r="M58" s="25"/>
      <c r="N58" s="25"/>
      <c r="O58" s="25"/>
      <c r="P58" s="25"/>
      <c r="T58"/>
    </row>
    <row r="59" spans="1:20" s="24" customFormat="1" ht="15.75">
      <c r="A59" t="s">
        <v>71</v>
      </c>
      <c r="B59">
        <f>(1/2963200)*4</f>
        <v>1.3498920086393089E-6</v>
      </c>
      <c r="C59" t="s">
        <v>49</v>
      </c>
      <c r="D59" t="s">
        <v>6</v>
      </c>
      <c r="E59"/>
      <c r="F59" t="s">
        <v>12</v>
      </c>
      <c r="G59" t="s">
        <v>58</v>
      </c>
      <c r="H59" t="s">
        <v>59</v>
      </c>
      <c r="J59"/>
      <c r="K59" s="31"/>
      <c r="L59" s="31"/>
      <c r="M59" s="31"/>
      <c r="N59" s="31"/>
      <c r="O59" s="31"/>
      <c r="P59" s="31"/>
      <c r="Q59"/>
      <c r="R59"/>
    </row>
    <row r="60" spans="1:20" s="24" customFormat="1" ht="15.75">
      <c r="A60" t="s">
        <v>72</v>
      </c>
      <c r="B60">
        <f>1/2963200</f>
        <v>3.3747300215982723E-7</v>
      </c>
      <c r="C60" t="s">
        <v>49</v>
      </c>
      <c r="D60" t="s">
        <v>6</v>
      </c>
      <c r="E60"/>
      <c r="F60" t="s">
        <v>12</v>
      </c>
      <c r="G60" t="s">
        <v>60</v>
      </c>
      <c r="H60" t="s">
        <v>61</v>
      </c>
      <c r="J60"/>
      <c r="K60" s="31"/>
      <c r="L60" s="31"/>
      <c r="M60" s="31"/>
      <c r="N60" s="31"/>
      <c r="O60" s="31"/>
      <c r="P60" s="31"/>
      <c r="Q60"/>
      <c r="R60"/>
    </row>
    <row r="61" spans="1:20" s="24" customFormat="1" ht="15.75">
      <c r="A61" t="s">
        <v>62</v>
      </c>
      <c r="B61">
        <f>B59*-1</f>
        <v>-1.3498920086393089E-6</v>
      </c>
      <c r="C61" t="s">
        <v>49</v>
      </c>
      <c r="D61" t="s">
        <v>6</v>
      </c>
      <c r="E61"/>
      <c r="F61" t="s">
        <v>12</v>
      </c>
      <c r="G61" t="s">
        <v>63</v>
      </c>
      <c r="H61" t="s">
        <v>64</v>
      </c>
      <c r="J61"/>
      <c r="K61" s="31"/>
      <c r="L61" s="31"/>
      <c r="M61" s="31"/>
      <c r="N61" s="31"/>
      <c r="O61" s="31"/>
      <c r="P61" s="31"/>
      <c r="Q61"/>
      <c r="R61"/>
    </row>
    <row r="62" spans="1:20" s="24" customFormat="1" ht="15.75">
      <c r="A62" t="s">
        <v>65</v>
      </c>
      <c r="B62">
        <f>-1*B60</f>
        <v>-3.3747300215982723E-7</v>
      </c>
      <c r="C62" t="s">
        <v>49</v>
      </c>
      <c r="D62" t="s">
        <v>6</v>
      </c>
      <c r="E62"/>
      <c r="F62" t="s">
        <v>12</v>
      </c>
      <c r="G62" t="s">
        <v>66</v>
      </c>
      <c r="H62" t="s">
        <v>67</v>
      </c>
      <c r="J62"/>
      <c r="K62" s="31"/>
      <c r="L62" s="31"/>
      <c r="M62" s="31"/>
      <c r="N62" s="31"/>
      <c r="O62" s="31"/>
      <c r="P62" s="31"/>
      <c r="Q62"/>
      <c r="R62"/>
    </row>
    <row r="63" spans="1:20" s="24" customFormat="1" ht="15.75">
      <c r="A63" t="s">
        <v>28</v>
      </c>
      <c r="B63">
        <v>54</v>
      </c>
      <c r="C63" t="s">
        <v>29</v>
      </c>
      <c r="D63" t="s">
        <v>19</v>
      </c>
      <c r="E63"/>
      <c r="F63" t="s">
        <v>12</v>
      </c>
      <c r="G63" t="s">
        <v>20</v>
      </c>
      <c r="H63" t="s">
        <v>68</v>
      </c>
      <c r="J63"/>
      <c r="K63" s="31"/>
      <c r="L63" s="31"/>
      <c r="M63" s="31"/>
      <c r="N63" s="31"/>
      <c r="O63" s="31"/>
      <c r="P63" s="31"/>
      <c r="Q63"/>
      <c r="R63"/>
    </row>
    <row r="64" spans="1:20" s="24" customFormat="1" ht="15.75">
      <c r="A64" t="s">
        <v>21</v>
      </c>
      <c r="B64">
        <v>14</v>
      </c>
      <c r="C64" t="s">
        <v>22</v>
      </c>
      <c r="D64" t="s">
        <v>13</v>
      </c>
      <c r="E64"/>
      <c r="F64" t="s">
        <v>12</v>
      </c>
      <c r="G64" t="s">
        <v>23</v>
      </c>
      <c r="H64" t="s">
        <v>69</v>
      </c>
      <c r="J64"/>
      <c r="K64" s="31"/>
      <c r="L64" s="31"/>
      <c r="M64" s="31"/>
      <c r="N64" s="31"/>
      <c r="O64" s="31"/>
      <c r="P64" s="31"/>
      <c r="Q64"/>
      <c r="R64"/>
    </row>
    <row r="65" spans="1:18" s="24" customFormat="1" ht="15.75">
      <c r="A65" t="s">
        <v>24</v>
      </c>
      <c r="B65">
        <v>8</v>
      </c>
      <c r="C65"/>
      <c r="D65" t="s">
        <v>13</v>
      </c>
      <c r="E65" t="s">
        <v>25</v>
      </c>
      <c r="F65" t="s">
        <v>15</v>
      </c>
      <c r="G65"/>
      <c r="H65"/>
      <c r="J65"/>
      <c r="K65" s="31"/>
      <c r="L65" s="31"/>
      <c r="M65" s="31"/>
      <c r="N65" s="31"/>
      <c r="O65" s="31"/>
      <c r="P65" s="31"/>
      <c r="Q65" s="31"/>
      <c r="R65"/>
    </row>
    <row r="66" spans="1:18" s="24" customFormat="1" ht="15.75">
      <c r="A66" t="s">
        <v>70</v>
      </c>
      <c r="B66">
        <f>(0.09*1000*20)/2963200</f>
        <v>6.0745140388768898E-4</v>
      </c>
      <c r="C66"/>
      <c r="D66" t="s">
        <v>17</v>
      </c>
      <c r="E66" t="s">
        <v>16</v>
      </c>
      <c r="F66" t="s">
        <v>15</v>
      </c>
      <c r="G66">
        <f>120/3.6/0.72</f>
        <v>46.296296296296305</v>
      </c>
      <c r="H66"/>
      <c r="J66"/>
      <c r="K66" s="31"/>
      <c r="L66" s="31"/>
      <c r="M66" s="31"/>
      <c r="N66" s="31"/>
      <c r="O66" s="31"/>
      <c r="P66" s="31"/>
      <c r="Q66" s="31"/>
      <c r="R66"/>
    </row>
    <row r="67" spans="1:18" s="24" customFormat="1">
      <c r="K67" s="25"/>
      <c r="L67" s="25"/>
      <c r="M67" s="25"/>
      <c r="N67" s="25"/>
      <c r="O67" s="25"/>
      <c r="P67" s="25"/>
    </row>
    <row r="70" spans="1:18" ht="15.75">
      <c r="A70" s="33" t="s">
        <v>1</v>
      </c>
      <c r="B70" s="33" t="s">
        <v>174</v>
      </c>
      <c r="C70" s="34"/>
      <c r="D70" s="34"/>
      <c r="E70" s="34"/>
      <c r="F70" s="34"/>
      <c r="G70" s="34"/>
      <c r="H70" s="34"/>
      <c r="I70" s="34"/>
    </row>
    <row r="71" spans="1:18">
      <c r="A71" s="34" t="s">
        <v>103</v>
      </c>
      <c r="B71" s="34">
        <v>1.310870633</v>
      </c>
      <c r="C71" s="34"/>
      <c r="D71" s="34"/>
      <c r="E71" s="34"/>
      <c r="F71" s="34"/>
      <c r="G71" s="34"/>
      <c r="H71" s="34"/>
      <c r="I71" s="34"/>
    </row>
    <row r="72" spans="1:18">
      <c r="A72" s="34" t="s">
        <v>2</v>
      </c>
      <c r="B72" s="34" t="s">
        <v>29</v>
      </c>
      <c r="C72" s="34"/>
      <c r="D72" s="34"/>
      <c r="E72" s="34"/>
      <c r="F72" s="34"/>
      <c r="G72" s="34"/>
      <c r="H72" s="34"/>
      <c r="I72" s="34"/>
    </row>
    <row r="73" spans="1:18">
      <c r="A73" s="34" t="s">
        <v>4</v>
      </c>
      <c r="B73" s="34" t="s">
        <v>104</v>
      </c>
      <c r="C73" s="34"/>
      <c r="D73" s="34"/>
      <c r="E73" s="34"/>
      <c r="F73" s="34"/>
      <c r="G73" s="34"/>
      <c r="H73" s="34"/>
      <c r="I73" s="34"/>
    </row>
    <row r="74" spans="1:18">
      <c r="A74" s="34" t="s">
        <v>6</v>
      </c>
      <c r="B74" s="34" t="s">
        <v>13</v>
      </c>
      <c r="C74" s="34"/>
      <c r="D74" s="34"/>
      <c r="E74" s="34"/>
      <c r="F74" s="34"/>
      <c r="G74" s="34"/>
      <c r="H74" s="34"/>
      <c r="I74" s="34"/>
    </row>
    <row r="75" spans="1:18">
      <c r="A75" s="34" t="s">
        <v>11</v>
      </c>
      <c r="B75" s="34" t="s">
        <v>105</v>
      </c>
      <c r="C75" s="34"/>
      <c r="D75" s="34"/>
      <c r="E75" s="34"/>
      <c r="F75" s="34"/>
      <c r="G75" s="34"/>
      <c r="H75" s="34"/>
      <c r="I75" s="34"/>
    </row>
    <row r="76" spans="1:18" ht="15.75">
      <c r="A76" s="33" t="s">
        <v>7</v>
      </c>
      <c r="B76" s="34"/>
      <c r="C76" s="34"/>
      <c r="D76" s="34"/>
      <c r="E76" s="34"/>
      <c r="F76" s="34"/>
      <c r="G76" s="34"/>
      <c r="H76" s="34"/>
      <c r="I76" s="34"/>
    </row>
    <row r="77" spans="1:18">
      <c r="A77" s="34" t="s">
        <v>8</v>
      </c>
      <c r="B77" s="34" t="s">
        <v>9</v>
      </c>
      <c r="C77" s="34" t="s">
        <v>106</v>
      </c>
      <c r="D77" s="34" t="s">
        <v>2</v>
      </c>
      <c r="E77" s="34" t="s">
        <v>6</v>
      </c>
      <c r="F77" s="34" t="s">
        <v>10</v>
      </c>
      <c r="G77" s="34" t="s">
        <v>5</v>
      </c>
      <c r="H77" s="34" t="s">
        <v>4</v>
      </c>
      <c r="I77" s="34" t="s">
        <v>11</v>
      </c>
    </row>
    <row r="78" spans="1:18">
      <c r="A78" s="34" t="s">
        <v>102</v>
      </c>
      <c r="B78" s="34">
        <v>1</v>
      </c>
      <c r="C78" s="34" t="s">
        <v>107</v>
      </c>
      <c r="D78" s="34" t="s">
        <v>29</v>
      </c>
      <c r="E78" s="34" t="s">
        <v>13</v>
      </c>
      <c r="F78" s="34"/>
      <c r="G78" s="34" t="s">
        <v>18</v>
      </c>
      <c r="H78" s="34" t="s">
        <v>104</v>
      </c>
      <c r="I78" s="34"/>
    </row>
    <row r="79" spans="1:18">
      <c r="A79" s="34" t="s">
        <v>108</v>
      </c>
      <c r="B79" s="35">
        <v>3.0676600000000002E-8</v>
      </c>
      <c r="C79" s="34" t="s">
        <v>109</v>
      </c>
      <c r="D79" s="34"/>
      <c r="E79" s="34" t="s">
        <v>13</v>
      </c>
      <c r="F79" s="34" t="s">
        <v>25</v>
      </c>
      <c r="G79" s="34" t="s">
        <v>15</v>
      </c>
      <c r="H79" s="34"/>
      <c r="I79" s="34"/>
    </row>
    <row r="80" spans="1:18">
      <c r="A80" s="34" t="s">
        <v>110</v>
      </c>
      <c r="B80" s="35">
        <v>4.6014800000000002E-6</v>
      </c>
      <c r="C80" s="34" t="s">
        <v>109</v>
      </c>
      <c r="D80" s="34"/>
      <c r="E80" s="34" t="s">
        <v>13</v>
      </c>
      <c r="F80" s="34" t="s">
        <v>25</v>
      </c>
      <c r="G80" s="34" t="s">
        <v>15</v>
      </c>
      <c r="H80" s="34"/>
      <c r="I80" s="34"/>
    </row>
    <row r="81" spans="1:9">
      <c r="A81" s="34" t="s">
        <v>111</v>
      </c>
      <c r="B81" s="35">
        <v>1.22709E-5</v>
      </c>
      <c r="C81" s="34" t="s">
        <v>109</v>
      </c>
      <c r="D81" s="34"/>
      <c r="E81" s="34" t="s">
        <v>13</v>
      </c>
      <c r="F81" s="34" t="s">
        <v>25</v>
      </c>
      <c r="G81" s="34" t="s">
        <v>15</v>
      </c>
      <c r="H81" s="34"/>
      <c r="I81" s="34"/>
    </row>
    <row r="82" spans="1:9">
      <c r="A82" s="34" t="s">
        <v>112</v>
      </c>
      <c r="B82" s="35">
        <v>3.0676599999999998E-10</v>
      </c>
      <c r="C82" s="34" t="s">
        <v>109</v>
      </c>
      <c r="D82" s="34"/>
      <c r="E82" s="34" t="s">
        <v>13</v>
      </c>
      <c r="F82" s="34" t="s">
        <v>25</v>
      </c>
      <c r="G82" s="34" t="s">
        <v>15</v>
      </c>
      <c r="H82" s="34"/>
      <c r="I82" s="34"/>
    </row>
    <row r="83" spans="1:9">
      <c r="A83" s="34" t="s">
        <v>113</v>
      </c>
      <c r="B83" s="35">
        <v>2.1474199999999998E-5</v>
      </c>
      <c r="C83" s="34" t="s">
        <v>109</v>
      </c>
      <c r="D83" s="34"/>
      <c r="E83" s="34" t="s">
        <v>13</v>
      </c>
      <c r="F83" s="34" t="s">
        <v>25</v>
      </c>
      <c r="G83" s="34" t="s">
        <v>15</v>
      </c>
      <c r="H83" s="34"/>
      <c r="I83" s="34"/>
    </row>
    <row r="84" spans="1:9">
      <c r="A84" s="34" t="s">
        <v>40</v>
      </c>
      <c r="B84" s="34">
        <v>8.9222937859999991</v>
      </c>
      <c r="C84" s="34" t="s">
        <v>109</v>
      </c>
      <c r="D84" s="34"/>
      <c r="E84" s="34" t="s">
        <v>13</v>
      </c>
      <c r="F84" s="34" t="s">
        <v>25</v>
      </c>
      <c r="G84" s="34" t="s">
        <v>15</v>
      </c>
      <c r="H84" s="34"/>
      <c r="I84" s="34"/>
    </row>
    <row r="85" spans="1:9">
      <c r="A85" s="34" t="s">
        <v>114</v>
      </c>
      <c r="B85" s="35">
        <v>6.4421899999999994E-5</v>
      </c>
      <c r="C85" s="34" t="s">
        <v>109</v>
      </c>
      <c r="D85" s="34"/>
      <c r="E85" s="34" t="s">
        <v>13</v>
      </c>
      <c r="F85" s="34" t="s">
        <v>25</v>
      </c>
      <c r="G85" s="34" t="s">
        <v>15</v>
      </c>
      <c r="H85" s="34"/>
      <c r="I85" s="34"/>
    </row>
    <row r="86" spans="1:9">
      <c r="A86" s="34" t="s">
        <v>115</v>
      </c>
      <c r="B86" s="35">
        <v>3.06766E-6</v>
      </c>
      <c r="C86" s="34" t="s">
        <v>109</v>
      </c>
      <c r="D86" s="34"/>
      <c r="E86" s="34" t="s">
        <v>13</v>
      </c>
      <c r="F86" s="34" t="s">
        <v>25</v>
      </c>
      <c r="G86" s="34" t="s">
        <v>15</v>
      </c>
      <c r="H86" s="34"/>
      <c r="I86" s="34"/>
    </row>
    <row r="87" spans="1:9">
      <c r="A87" s="34" t="s">
        <v>116</v>
      </c>
      <c r="B87" s="35">
        <v>3.06766E-6</v>
      </c>
      <c r="C87" s="34" t="s">
        <v>109</v>
      </c>
      <c r="D87" s="34"/>
      <c r="E87" s="34" t="s">
        <v>13</v>
      </c>
      <c r="F87" s="34" t="s">
        <v>25</v>
      </c>
      <c r="G87" s="34" t="s">
        <v>15</v>
      </c>
      <c r="H87" s="34"/>
      <c r="I87" s="34"/>
    </row>
    <row r="88" spans="1:9">
      <c r="A88" s="34" t="s">
        <v>117</v>
      </c>
      <c r="B88" s="35">
        <v>9.2032600000000003E-10</v>
      </c>
      <c r="C88" s="34" t="s">
        <v>109</v>
      </c>
      <c r="D88" s="34"/>
      <c r="E88" s="34" t="s">
        <v>13</v>
      </c>
      <c r="F88" s="34" t="s">
        <v>25</v>
      </c>
      <c r="G88" s="34" t="s">
        <v>15</v>
      </c>
      <c r="H88" s="34"/>
      <c r="I88" s="34"/>
    </row>
    <row r="89" spans="1:9">
      <c r="A89" s="34" t="s">
        <v>118</v>
      </c>
      <c r="B89" s="35">
        <v>6.1356E-5</v>
      </c>
      <c r="C89" s="34" t="s">
        <v>109</v>
      </c>
      <c r="D89" s="34"/>
      <c r="E89" s="34" t="s">
        <v>13</v>
      </c>
      <c r="F89" s="34" t="s">
        <v>25</v>
      </c>
      <c r="G89" s="34" t="s">
        <v>15</v>
      </c>
      <c r="H89" s="34"/>
      <c r="I89" s="34"/>
    </row>
    <row r="90" spans="1:9">
      <c r="A90" s="34" t="s">
        <v>119</v>
      </c>
      <c r="B90" s="34">
        <v>5.4912400000000001E-4</v>
      </c>
      <c r="C90" s="34" t="s">
        <v>109</v>
      </c>
      <c r="D90" s="34"/>
      <c r="E90" s="34" t="s">
        <v>13</v>
      </c>
      <c r="F90" s="34" t="s">
        <v>25</v>
      </c>
      <c r="G90" s="34" t="s">
        <v>15</v>
      </c>
      <c r="H90" s="34"/>
      <c r="I90" s="34"/>
    </row>
    <row r="91" spans="1:9">
      <c r="A91" s="34" t="s">
        <v>120</v>
      </c>
      <c r="B91" s="35">
        <v>3.0676599999999998E-7</v>
      </c>
      <c r="C91" s="34" t="s">
        <v>109</v>
      </c>
      <c r="D91" s="34"/>
      <c r="E91" s="34" t="s">
        <v>13</v>
      </c>
      <c r="F91" s="34" t="s">
        <v>25</v>
      </c>
      <c r="G91" s="34" t="s">
        <v>15</v>
      </c>
      <c r="H91" s="34"/>
      <c r="I91" s="34"/>
    </row>
    <row r="92" spans="1:9">
      <c r="A92" s="34" t="s">
        <v>121</v>
      </c>
      <c r="B92" s="35">
        <v>6.1356000000000002E-6</v>
      </c>
      <c r="C92" s="34" t="s">
        <v>109</v>
      </c>
      <c r="D92" s="34"/>
      <c r="E92" s="34" t="s">
        <v>13</v>
      </c>
      <c r="F92" s="34" t="s">
        <v>25</v>
      </c>
      <c r="G92" s="34" t="s">
        <v>15</v>
      </c>
      <c r="H92" s="34"/>
      <c r="I92" s="34"/>
    </row>
    <row r="93" spans="1:9">
      <c r="A93" s="34" t="s">
        <v>122</v>
      </c>
      <c r="B93" s="35">
        <v>3.6814199999999997E-5</v>
      </c>
      <c r="C93" s="34" t="s">
        <v>109</v>
      </c>
      <c r="D93" s="34"/>
      <c r="E93" s="34" t="s">
        <v>13</v>
      </c>
      <c r="F93" s="34" t="s">
        <v>25</v>
      </c>
      <c r="G93" s="34" t="s">
        <v>15</v>
      </c>
      <c r="H93" s="34"/>
      <c r="I93" s="34"/>
    </row>
    <row r="94" spans="1:9">
      <c r="A94" s="34" t="s">
        <v>123</v>
      </c>
      <c r="B94" s="35">
        <v>6.1356000000000002E-6</v>
      </c>
      <c r="C94" s="34" t="s">
        <v>109</v>
      </c>
      <c r="D94" s="34"/>
      <c r="E94" s="34" t="s">
        <v>13</v>
      </c>
      <c r="F94" s="34" t="s">
        <v>25</v>
      </c>
      <c r="G94" s="34" t="s">
        <v>15</v>
      </c>
      <c r="H94" s="34"/>
      <c r="I94" s="34"/>
    </row>
    <row r="95" spans="1:9">
      <c r="A95" s="34" t="s">
        <v>124</v>
      </c>
      <c r="B95" s="35">
        <v>6.1356E-7</v>
      </c>
      <c r="C95" s="34" t="s">
        <v>109</v>
      </c>
      <c r="D95" s="34"/>
      <c r="E95" s="34" t="s">
        <v>13</v>
      </c>
      <c r="F95" s="34" t="s">
        <v>25</v>
      </c>
      <c r="G95" s="34" t="s">
        <v>15</v>
      </c>
      <c r="H95" s="34"/>
      <c r="I95" s="34"/>
    </row>
    <row r="96" spans="1:9">
      <c r="A96" s="34" t="s">
        <v>125</v>
      </c>
      <c r="B96" s="35">
        <v>1.6872699999999999E-5</v>
      </c>
      <c r="C96" s="34" t="s">
        <v>109</v>
      </c>
      <c r="D96" s="34"/>
      <c r="E96" s="34" t="s">
        <v>13</v>
      </c>
      <c r="F96" s="34" t="s">
        <v>25</v>
      </c>
      <c r="G96" s="34" t="s">
        <v>15</v>
      </c>
      <c r="H96" s="34"/>
      <c r="I96" s="34"/>
    </row>
    <row r="97" spans="1:9">
      <c r="A97" s="34" t="s">
        <v>126</v>
      </c>
      <c r="B97" s="35">
        <v>6.1356000000000002E-6</v>
      </c>
      <c r="C97" s="34" t="s">
        <v>109</v>
      </c>
      <c r="D97" s="34"/>
      <c r="E97" s="34" t="s">
        <v>13</v>
      </c>
      <c r="F97" s="34" t="s">
        <v>25</v>
      </c>
      <c r="G97" s="34" t="s">
        <v>15</v>
      </c>
      <c r="H97" s="34"/>
      <c r="I97" s="34"/>
    </row>
    <row r="98" spans="1:9">
      <c r="A98" s="34" t="s">
        <v>127</v>
      </c>
      <c r="B98" s="34">
        <v>0.38040000000000002</v>
      </c>
      <c r="C98" s="34" t="s">
        <v>109</v>
      </c>
      <c r="D98" s="34"/>
      <c r="E98" s="34" t="s">
        <v>128</v>
      </c>
      <c r="F98" s="34" t="s">
        <v>129</v>
      </c>
      <c r="G98" s="34" t="s">
        <v>15</v>
      </c>
      <c r="H98" s="34"/>
      <c r="I98" s="34"/>
    </row>
    <row r="99" spans="1:9">
      <c r="A99" s="34" t="s">
        <v>130</v>
      </c>
      <c r="B99" s="34">
        <v>0.37130000000000002</v>
      </c>
      <c r="C99" s="34" t="s">
        <v>109</v>
      </c>
      <c r="D99" s="34"/>
      <c r="E99" s="34" t="s">
        <v>128</v>
      </c>
      <c r="F99" s="34" t="s">
        <v>131</v>
      </c>
      <c r="G99" s="34" t="s">
        <v>15</v>
      </c>
      <c r="H99" s="34"/>
      <c r="I99" s="34"/>
    </row>
    <row r="100" spans="1:9">
      <c r="A100" s="34" t="s">
        <v>130</v>
      </c>
      <c r="B100" s="34">
        <v>9.1000000000000004E-3</v>
      </c>
      <c r="C100" s="34" t="s">
        <v>109</v>
      </c>
      <c r="D100" s="34"/>
      <c r="E100" s="34" t="s">
        <v>128</v>
      </c>
      <c r="F100" s="34" t="s">
        <v>25</v>
      </c>
      <c r="G100" s="34" t="s">
        <v>15</v>
      </c>
      <c r="H100" s="34"/>
      <c r="I100" s="34" t="s">
        <v>132</v>
      </c>
    </row>
    <row r="101" spans="1:9">
      <c r="A101" s="34" t="s">
        <v>133</v>
      </c>
      <c r="B101" s="35">
        <v>5.3483200000000002E-10</v>
      </c>
      <c r="C101" s="34" t="s">
        <v>134</v>
      </c>
      <c r="D101" s="34" t="s">
        <v>49</v>
      </c>
      <c r="E101" s="34" t="s">
        <v>6</v>
      </c>
      <c r="F101" s="34"/>
      <c r="G101" s="34" t="s">
        <v>12</v>
      </c>
      <c r="H101" s="34" t="s">
        <v>135</v>
      </c>
      <c r="I101" s="34"/>
    </row>
    <row r="102" spans="1:9">
      <c r="A102" s="34" t="s">
        <v>136</v>
      </c>
      <c r="B102" s="34">
        <v>5.32728E-4</v>
      </c>
      <c r="C102" s="34" t="s">
        <v>134</v>
      </c>
      <c r="D102" s="34" t="s">
        <v>137</v>
      </c>
      <c r="E102" s="34" t="s">
        <v>13</v>
      </c>
      <c r="F102" s="34"/>
      <c r="G102" s="34" t="s">
        <v>12</v>
      </c>
      <c r="H102" s="34" t="s">
        <v>138</v>
      </c>
      <c r="I102" s="34"/>
    </row>
    <row r="103" spans="1:9">
      <c r="A103" s="34" t="s">
        <v>139</v>
      </c>
      <c r="B103" s="34">
        <v>3.6000000000000001E-5</v>
      </c>
      <c r="C103" s="34" t="s">
        <v>134</v>
      </c>
      <c r="D103" s="34" t="s">
        <v>140</v>
      </c>
      <c r="E103" s="34" t="s">
        <v>13</v>
      </c>
      <c r="F103" s="34"/>
      <c r="G103" s="34" t="s">
        <v>12</v>
      </c>
      <c r="H103" s="34" t="s">
        <v>141</v>
      </c>
      <c r="I103" s="34"/>
    </row>
    <row r="104" spans="1:9">
      <c r="A104" s="34" t="s">
        <v>142</v>
      </c>
      <c r="B104" s="34">
        <v>3.6240000000000003E-4</v>
      </c>
      <c r="C104" s="34" t="s">
        <v>134</v>
      </c>
      <c r="D104" s="34" t="s">
        <v>140</v>
      </c>
      <c r="E104" s="34" t="s">
        <v>13</v>
      </c>
      <c r="F104" s="34"/>
      <c r="G104" s="34" t="s">
        <v>12</v>
      </c>
      <c r="H104" s="34" t="s">
        <v>143</v>
      </c>
      <c r="I104" s="34"/>
    </row>
    <row r="105" spans="1:9">
      <c r="A105" s="34" t="s">
        <v>144</v>
      </c>
      <c r="B105" s="35">
        <v>2.54628E-9</v>
      </c>
      <c r="C105" s="34" t="s">
        <v>134</v>
      </c>
      <c r="D105" s="34" t="s">
        <v>140</v>
      </c>
      <c r="E105" s="34" t="s">
        <v>6</v>
      </c>
      <c r="F105" s="34"/>
      <c r="G105" s="34" t="s">
        <v>12</v>
      </c>
      <c r="H105" s="34" t="s">
        <v>145</v>
      </c>
      <c r="I105" s="34"/>
    </row>
    <row r="106" spans="1:9">
      <c r="A106" s="34" t="s">
        <v>146</v>
      </c>
      <c r="B106" s="34">
        <v>2.796E-5</v>
      </c>
      <c r="C106" s="34" t="s">
        <v>134</v>
      </c>
      <c r="D106" s="34" t="s">
        <v>140</v>
      </c>
      <c r="E106" s="34" t="s">
        <v>13</v>
      </c>
      <c r="F106" s="34"/>
      <c r="G106" s="34" t="s">
        <v>12</v>
      </c>
      <c r="H106" s="34" t="s">
        <v>147</v>
      </c>
      <c r="I106" s="34"/>
    </row>
    <row r="107" spans="1:9">
      <c r="A107" s="34" t="s">
        <v>148</v>
      </c>
      <c r="B107" s="34">
        <v>1.668E-5</v>
      </c>
      <c r="C107" s="34" t="s">
        <v>134</v>
      </c>
      <c r="D107" s="34" t="s">
        <v>140</v>
      </c>
      <c r="E107" s="34" t="s">
        <v>13</v>
      </c>
      <c r="F107" s="34"/>
      <c r="G107" s="34" t="s">
        <v>12</v>
      </c>
      <c r="H107" s="34" t="s">
        <v>149</v>
      </c>
      <c r="I107" s="34"/>
    </row>
    <row r="108" spans="1:9">
      <c r="A108" s="34" t="s">
        <v>150</v>
      </c>
      <c r="B108" s="34">
        <v>2.0291999999999999E-4</v>
      </c>
      <c r="C108" s="34" t="s">
        <v>134</v>
      </c>
      <c r="D108" s="34" t="s">
        <v>140</v>
      </c>
      <c r="E108" s="34" t="s">
        <v>13</v>
      </c>
      <c r="F108" s="34"/>
      <c r="G108" s="34" t="s">
        <v>12</v>
      </c>
      <c r="H108" s="34" t="s">
        <v>151</v>
      </c>
      <c r="I108" s="34"/>
    </row>
    <row r="109" spans="1:9">
      <c r="A109" s="34" t="s">
        <v>152</v>
      </c>
      <c r="B109" s="34">
        <v>3.1236000000000002E-4</v>
      </c>
      <c r="C109" s="34" t="s">
        <v>134</v>
      </c>
      <c r="D109" s="34" t="s">
        <v>140</v>
      </c>
      <c r="E109" s="34" t="s">
        <v>13</v>
      </c>
      <c r="F109" s="34"/>
      <c r="G109" s="34" t="s">
        <v>12</v>
      </c>
      <c r="H109" s="34" t="s">
        <v>153</v>
      </c>
      <c r="I109" s="34"/>
    </row>
    <row r="110" spans="1:9">
      <c r="A110" s="34" t="s">
        <v>154</v>
      </c>
      <c r="B110" s="34">
        <v>4.8000000000000001E-5</v>
      </c>
      <c r="C110" s="34" t="s">
        <v>134</v>
      </c>
      <c r="D110" s="34" t="s">
        <v>49</v>
      </c>
      <c r="E110" s="34" t="s">
        <v>13</v>
      </c>
      <c r="F110" s="34"/>
      <c r="G110" s="34" t="s">
        <v>12</v>
      </c>
      <c r="H110" s="34" t="s">
        <v>155</v>
      </c>
      <c r="I110" s="34"/>
    </row>
    <row r="111" spans="1:9">
      <c r="A111" s="34" t="s">
        <v>156</v>
      </c>
      <c r="B111" s="34">
        <v>1.1592E-5</v>
      </c>
      <c r="C111" s="34" t="s">
        <v>134</v>
      </c>
      <c r="D111" s="34" t="s">
        <v>140</v>
      </c>
      <c r="E111" s="34" t="s">
        <v>13</v>
      </c>
      <c r="F111" s="34"/>
      <c r="G111" s="34" t="s">
        <v>12</v>
      </c>
      <c r="H111" s="34" t="s">
        <v>157</v>
      </c>
      <c r="I111" s="34"/>
    </row>
    <row r="112" spans="1:9">
      <c r="A112" s="34" t="s">
        <v>21</v>
      </c>
      <c r="B112" s="34">
        <v>7.538413555</v>
      </c>
      <c r="C112" s="34" t="s">
        <v>134</v>
      </c>
      <c r="D112" s="34" t="s">
        <v>22</v>
      </c>
      <c r="E112" s="34" t="s">
        <v>13</v>
      </c>
      <c r="F112" s="34"/>
      <c r="G112" s="34" t="s">
        <v>12</v>
      </c>
      <c r="H112" s="34" t="s">
        <v>23</v>
      </c>
      <c r="I112" s="34"/>
    </row>
    <row r="113" spans="1:9">
      <c r="A113" s="34" t="s">
        <v>158</v>
      </c>
      <c r="B113" s="34">
        <v>8.8290199999999997E-4</v>
      </c>
      <c r="C113" s="34" t="s">
        <v>134</v>
      </c>
      <c r="D113" s="34" t="s">
        <v>140</v>
      </c>
      <c r="E113" s="34" t="s">
        <v>13</v>
      </c>
      <c r="F113" s="34"/>
      <c r="G113" s="34" t="s">
        <v>12</v>
      </c>
      <c r="H113" s="34" t="s">
        <v>159</v>
      </c>
      <c r="I113" s="34"/>
    </row>
    <row r="114" spans="1:9">
      <c r="A114" s="34" t="s">
        <v>160</v>
      </c>
      <c r="B114" s="34">
        <v>3.7139999999999997E-4</v>
      </c>
      <c r="C114" s="34" t="s">
        <v>134</v>
      </c>
      <c r="D114" s="34" t="s">
        <v>140</v>
      </c>
      <c r="E114" s="34" t="s">
        <v>13</v>
      </c>
      <c r="F114" s="34"/>
      <c r="G114" s="34" t="s">
        <v>12</v>
      </c>
      <c r="H114" s="34" t="s">
        <v>161</v>
      </c>
      <c r="I114" s="34"/>
    </row>
    <row r="115" spans="1:9">
      <c r="A115" s="34" t="s">
        <v>98</v>
      </c>
      <c r="B115" s="34">
        <v>0</v>
      </c>
      <c r="C115" s="34" t="s">
        <v>134</v>
      </c>
      <c r="D115" s="34" t="s">
        <v>29</v>
      </c>
      <c r="E115" s="34" t="s">
        <v>19</v>
      </c>
      <c r="F115" s="34"/>
      <c r="G115" s="34" t="s">
        <v>12</v>
      </c>
      <c r="H115" s="34" t="s">
        <v>31</v>
      </c>
      <c r="I115" s="34"/>
    </row>
    <row r="116" spans="1:9">
      <c r="A116" s="71" t="s">
        <v>472</v>
      </c>
      <c r="B116" s="34">
        <v>4.3695687769999996</v>
      </c>
      <c r="C116" s="34" t="s">
        <v>134</v>
      </c>
      <c r="D116" s="34" t="s">
        <v>29</v>
      </c>
      <c r="E116" s="34" t="s">
        <v>128</v>
      </c>
      <c r="F116" s="34"/>
      <c r="G116" s="34" t="s">
        <v>12</v>
      </c>
      <c r="H116" s="34" t="s">
        <v>162</v>
      </c>
      <c r="I116" s="34"/>
    </row>
    <row r="117" spans="1:9">
      <c r="A117" s="34"/>
      <c r="B117" s="34"/>
      <c r="C117" s="34"/>
      <c r="D117" s="34"/>
      <c r="E117" s="34"/>
      <c r="F117" s="34"/>
      <c r="G117" s="34"/>
      <c r="H117" s="34"/>
      <c r="I117" s="34"/>
    </row>
    <row r="118" spans="1:9">
      <c r="A118" s="49" t="s">
        <v>1</v>
      </c>
      <c r="B118" s="49" t="s">
        <v>175</v>
      </c>
      <c r="C118" s="34"/>
      <c r="D118" s="34"/>
      <c r="E118" s="34"/>
      <c r="F118" s="34"/>
      <c r="G118" s="34"/>
      <c r="H118" s="34"/>
      <c r="I118" s="34"/>
    </row>
    <row r="119" spans="1:9">
      <c r="A119" s="34" t="s">
        <v>103</v>
      </c>
      <c r="B119" s="34">
        <v>1.290350439</v>
      </c>
      <c r="C119" s="34"/>
      <c r="D119" s="34"/>
      <c r="E119" s="34"/>
      <c r="F119" s="34"/>
      <c r="G119" s="34"/>
      <c r="H119" s="34"/>
      <c r="I119" s="34"/>
    </row>
    <row r="120" spans="1:9">
      <c r="A120" s="34" t="s">
        <v>2</v>
      </c>
      <c r="B120" s="34" t="s">
        <v>29</v>
      </c>
      <c r="C120" s="34"/>
      <c r="D120" s="34"/>
      <c r="E120" s="34"/>
      <c r="F120" s="34"/>
      <c r="G120" s="34"/>
      <c r="H120" s="34"/>
      <c r="I120" s="34"/>
    </row>
    <row r="121" spans="1:9">
      <c r="A121" s="34" t="s">
        <v>4</v>
      </c>
      <c r="B121" s="34" t="s">
        <v>104</v>
      </c>
      <c r="C121" s="34"/>
      <c r="D121" s="34"/>
      <c r="E121" s="34"/>
      <c r="F121" s="34"/>
      <c r="G121" s="34"/>
      <c r="H121" s="34"/>
      <c r="I121" s="34"/>
    </row>
    <row r="122" spans="1:9">
      <c r="A122" s="34" t="s">
        <v>6</v>
      </c>
      <c r="B122" s="34" t="s">
        <v>13</v>
      </c>
      <c r="C122" s="34"/>
      <c r="D122" s="34"/>
      <c r="E122" s="34"/>
      <c r="F122" s="34"/>
      <c r="G122" s="34"/>
      <c r="H122" s="34"/>
      <c r="I122" s="34"/>
    </row>
    <row r="123" spans="1:9">
      <c r="A123" s="34" t="s">
        <v>11</v>
      </c>
      <c r="B123" s="34" t="s">
        <v>105</v>
      </c>
      <c r="C123" s="34"/>
      <c r="D123" s="34"/>
      <c r="E123" s="34"/>
      <c r="F123" s="34"/>
      <c r="G123" s="34"/>
      <c r="H123" s="34"/>
      <c r="I123" s="34"/>
    </row>
    <row r="124" spans="1:9">
      <c r="A124" s="49" t="s">
        <v>7</v>
      </c>
      <c r="B124" s="34"/>
      <c r="C124" s="34"/>
      <c r="D124" s="34"/>
      <c r="E124" s="34"/>
      <c r="F124" s="34"/>
      <c r="G124" s="34"/>
      <c r="H124" s="34"/>
      <c r="I124" s="34"/>
    </row>
    <row r="125" spans="1:9">
      <c r="A125" s="34" t="s">
        <v>8</v>
      </c>
      <c r="B125" s="34" t="s">
        <v>9</v>
      </c>
      <c r="C125" s="34" t="s">
        <v>106</v>
      </c>
      <c r="D125" s="34" t="s">
        <v>2</v>
      </c>
      <c r="E125" s="34" t="s">
        <v>6</v>
      </c>
      <c r="F125" s="34" t="s">
        <v>10</v>
      </c>
      <c r="G125" s="34" t="s">
        <v>5</v>
      </c>
      <c r="H125" s="34" t="s">
        <v>4</v>
      </c>
      <c r="I125" s="34" t="s">
        <v>11</v>
      </c>
    </row>
    <row r="126" spans="1:9">
      <c r="A126" s="34" t="s">
        <v>163</v>
      </c>
      <c r="B126" s="34">
        <v>1</v>
      </c>
      <c r="C126" s="34" t="s">
        <v>107</v>
      </c>
      <c r="D126" s="34" t="s">
        <v>29</v>
      </c>
      <c r="E126" s="34" t="s">
        <v>13</v>
      </c>
      <c r="F126" s="34"/>
      <c r="G126" s="34" t="s">
        <v>18</v>
      </c>
      <c r="H126" s="34" t="s">
        <v>104</v>
      </c>
      <c r="I126" s="34"/>
    </row>
    <row r="127" spans="1:9">
      <c r="A127" s="34" t="s">
        <v>108</v>
      </c>
      <c r="B127" s="35">
        <v>2.8033E-8</v>
      </c>
      <c r="C127" s="34" t="s">
        <v>109</v>
      </c>
      <c r="D127" s="34"/>
      <c r="E127" s="34" t="s">
        <v>13</v>
      </c>
      <c r="F127" s="34" t="s">
        <v>25</v>
      </c>
      <c r="G127" s="34" t="s">
        <v>15</v>
      </c>
      <c r="H127" s="34"/>
      <c r="I127" s="34"/>
    </row>
    <row r="128" spans="1:9">
      <c r="A128" s="34" t="s">
        <v>110</v>
      </c>
      <c r="B128" s="35">
        <v>4.2049500000000003E-6</v>
      </c>
      <c r="C128" s="34" t="s">
        <v>109</v>
      </c>
      <c r="D128" s="34"/>
      <c r="E128" s="34" t="s">
        <v>13</v>
      </c>
      <c r="F128" s="34" t="s">
        <v>25</v>
      </c>
      <c r="G128" s="34" t="s">
        <v>15</v>
      </c>
      <c r="H128" s="34"/>
      <c r="I128" s="34"/>
    </row>
    <row r="129" spans="1:9">
      <c r="A129" s="34" t="s">
        <v>111</v>
      </c>
      <c r="B129" s="35">
        <v>1.12135E-5</v>
      </c>
      <c r="C129" s="34" t="s">
        <v>109</v>
      </c>
      <c r="D129" s="34"/>
      <c r="E129" s="34" t="s">
        <v>13</v>
      </c>
      <c r="F129" s="34" t="s">
        <v>25</v>
      </c>
      <c r="G129" s="34" t="s">
        <v>15</v>
      </c>
      <c r="H129" s="34"/>
      <c r="I129" s="34"/>
    </row>
    <row r="130" spans="1:9">
      <c r="A130" s="34" t="s">
        <v>112</v>
      </c>
      <c r="B130" s="35">
        <v>2.8033E-10</v>
      </c>
      <c r="C130" s="34" t="s">
        <v>109</v>
      </c>
      <c r="D130" s="34"/>
      <c r="E130" s="34" t="s">
        <v>13</v>
      </c>
      <c r="F130" s="34" t="s">
        <v>25</v>
      </c>
      <c r="G130" s="34" t="s">
        <v>15</v>
      </c>
      <c r="H130" s="34"/>
      <c r="I130" s="34"/>
    </row>
    <row r="131" spans="1:9">
      <c r="A131" s="34" t="s">
        <v>113</v>
      </c>
      <c r="B131" s="35">
        <v>1.96236E-5</v>
      </c>
      <c r="C131" s="34" t="s">
        <v>109</v>
      </c>
      <c r="D131" s="34"/>
      <c r="E131" s="34" t="s">
        <v>13</v>
      </c>
      <c r="F131" s="34" t="s">
        <v>25</v>
      </c>
      <c r="G131" s="34" t="s">
        <v>15</v>
      </c>
      <c r="H131" s="34"/>
      <c r="I131" s="34"/>
    </row>
    <row r="132" spans="1:9">
      <c r="A132" s="34" t="s">
        <v>40</v>
      </c>
      <c r="B132" s="34">
        <v>2.6104586730000001</v>
      </c>
      <c r="C132" s="34" t="s">
        <v>109</v>
      </c>
      <c r="D132" s="34"/>
      <c r="E132" s="34" t="s">
        <v>13</v>
      </c>
      <c r="F132" s="34" t="s">
        <v>25</v>
      </c>
      <c r="G132" s="34" t="s">
        <v>15</v>
      </c>
      <c r="H132" s="34"/>
      <c r="I132" s="34"/>
    </row>
    <row r="133" spans="1:9">
      <c r="A133" s="34" t="s">
        <v>114</v>
      </c>
      <c r="B133" s="35">
        <v>5.8870399999999998E-5</v>
      </c>
      <c r="C133" s="34" t="s">
        <v>109</v>
      </c>
      <c r="D133" s="34"/>
      <c r="E133" s="34" t="s">
        <v>13</v>
      </c>
      <c r="F133" s="34" t="s">
        <v>25</v>
      </c>
      <c r="G133" s="34" t="s">
        <v>15</v>
      </c>
      <c r="H133" s="34"/>
      <c r="I133" s="34"/>
    </row>
    <row r="134" spans="1:9">
      <c r="A134" s="34" t="s">
        <v>115</v>
      </c>
      <c r="B134" s="35">
        <v>2.8032999999999999E-6</v>
      </c>
      <c r="C134" s="34" t="s">
        <v>109</v>
      </c>
      <c r="D134" s="34"/>
      <c r="E134" s="34" t="s">
        <v>13</v>
      </c>
      <c r="F134" s="34" t="s">
        <v>25</v>
      </c>
      <c r="G134" s="34" t="s">
        <v>15</v>
      </c>
      <c r="H134" s="34"/>
      <c r="I134" s="34"/>
    </row>
    <row r="135" spans="1:9">
      <c r="A135" s="34" t="s">
        <v>116</v>
      </c>
      <c r="B135" s="35">
        <v>2.8032999999999999E-6</v>
      </c>
      <c r="C135" s="34" t="s">
        <v>109</v>
      </c>
      <c r="D135" s="34"/>
      <c r="E135" s="34" t="s">
        <v>13</v>
      </c>
      <c r="F135" s="34" t="s">
        <v>25</v>
      </c>
      <c r="G135" s="34" t="s">
        <v>15</v>
      </c>
      <c r="H135" s="34"/>
      <c r="I135" s="34"/>
    </row>
    <row r="136" spans="1:9">
      <c r="A136" s="34" t="s">
        <v>117</v>
      </c>
      <c r="B136" s="35">
        <v>8.4101700000000003E-10</v>
      </c>
      <c r="C136" s="34" t="s">
        <v>109</v>
      </c>
      <c r="D136" s="34"/>
      <c r="E136" s="34" t="s">
        <v>13</v>
      </c>
      <c r="F136" s="34" t="s">
        <v>25</v>
      </c>
      <c r="G136" s="34" t="s">
        <v>15</v>
      </c>
      <c r="H136" s="34"/>
      <c r="I136" s="34"/>
    </row>
    <row r="137" spans="1:9">
      <c r="A137" s="34" t="s">
        <v>118</v>
      </c>
      <c r="B137" s="35">
        <v>5.6068700000000001E-5</v>
      </c>
      <c r="C137" s="34" t="s">
        <v>109</v>
      </c>
      <c r="D137" s="34"/>
      <c r="E137" s="34" t="s">
        <v>13</v>
      </c>
      <c r="F137" s="34" t="s">
        <v>25</v>
      </c>
      <c r="G137" s="34" t="s">
        <v>15</v>
      </c>
      <c r="H137" s="34"/>
      <c r="I137" s="34"/>
    </row>
    <row r="138" spans="1:9">
      <c r="A138" s="34" t="s">
        <v>119</v>
      </c>
      <c r="B138" s="34">
        <v>5.0180299999999999E-4</v>
      </c>
      <c r="C138" s="34" t="s">
        <v>109</v>
      </c>
      <c r="D138" s="34"/>
      <c r="E138" s="34" t="s">
        <v>13</v>
      </c>
      <c r="F138" s="34" t="s">
        <v>25</v>
      </c>
      <c r="G138" s="34" t="s">
        <v>15</v>
      </c>
      <c r="H138" s="34"/>
      <c r="I138" s="34"/>
    </row>
    <row r="139" spans="1:9">
      <c r="A139" s="34" t="s">
        <v>120</v>
      </c>
      <c r="B139" s="35">
        <v>2.8033000000000002E-7</v>
      </c>
      <c r="C139" s="34" t="s">
        <v>109</v>
      </c>
      <c r="D139" s="34"/>
      <c r="E139" s="34" t="s">
        <v>13</v>
      </c>
      <c r="F139" s="34" t="s">
        <v>25</v>
      </c>
      <c r="G139" s="34" t="s">
        <v>15</v>
      </c>
      <c r="H139" s="34"/>
      <c r="I139" s="34"/>
    </row>
    <row r="140" spans="1:9">
      <c r="A140" s="34" t="s">
        <v>121</v>
      </c>
      <c r="B140" s="35">
        <v>5.6068700000000001E-6</v>
      </c>
      <c r="C140" s="34" t="s">
        <v>109</v>
      </c>
      <c r="D140" s="34"/>
      <c r="E140" s="34" t="s">
        <v>13</v>
      </c>
      <c r="F140" s="34" t="s">
        <v>25</v>
      </c>
      <c r="G140" s="34" t="s">
        <v>15</v>
      </c>
      <c r="H140" s="34"/>
      <c r="I140" s="34"/>
    </row>
    <row r="141" spans="1:9">
      <c r="A141" s="34" t="s">
        <v>122</v>
      </c>
      <c r="B141" s="35">
        <v>3.36417E-5</v>
      </c>
      <c r="C141" s="34" t="s">
        <v>109</v>
      </c>
      <c r="D141" s="34"/>
      <c r="E141" s="34" t="s">
        <v>13</v>
      </c>
      <c r="F141" s="34" t="s">
        <v>25</v>
      </c>
      <c r="G141" s="34" t="s">
        <v>15</v>
      </c>
      <c r="H141" s="34"/>
      <c r="I141" s="34"/>
    </row>
    <row r="142" spans="1:9">
      <c r="A142" s="34" t="s">
        <v>123</v>
      </c>
      <c r="B142" s="35">
        <v>5.6068700000000001E-6</v>
      </c>
      <c r="C142" s="34" t="s">
        <v>109</v>
      </c>
      <c r="D142" s="34"/>
      <c r="E142" s="34" t="s">
        <v>13</v>
      </c>
      <c r="F142" s="34" t="s">
        <v>25</v>
      </c>
      <c r="G142" s="34" t="s">
        <v>15</v>
      </c>
      <c r="H142" s="34"/>
      <c r="I142" s="34"/>
    </row>
    <row r="143" spans="1:9">
      <c r="A143" s="34" t="s">
        <v>124</v>
      </c>
      <c r="B143" s="35">
        <v>5.6068700000000005E-7</v>
      </c>
      <c r="C143" s="34" t="s">
        <v>109</v>
      </c>
      <c r="D143" s="34"/>
      <c r="E143" s="34" t="s">
        <v>13</v>
      </c>
      <c r="F143" s="34" t="s">
        <v>25</v>
      </c>
      <c r="G143" s="34" t="s">
        <v>15</v>
      </c>
      <c r="H143" s="34"/>
      <c r="I143" s="34"/>
    </row>
    <row r="144" spans="1:9">
      <c r="A144" s="34" t="s">
        <v>125</v>
      </c>
      <c r="B144" s="35">
        <v>1.5418699999999999E-5</v>
      </c>
      <c r="C144" s="34" t="s">
        <v>109</v>
      </c>
      <c r="D144" s="34"/>
      <c r="E144" s="34" t="s">
        <v>13</v>
      </c>
      <c r="F144" s="34" t="s">
        <v>25</v>
      </c>
      <c r="G144" s="34" t="s">
        <v>15</v>
      </c>
      <c r="H144" s="34"/>
      <c r="I144" s="34"/>
    </row>
    <row r="145" spans="1:9">
      <c r="A145" s="34" t="s">
        <v>126</v>
      </c>
      <c r="B145" s="35">
        <v>5.6068700000000001E-6</v>
      </c>
      <c r="C145" s="34" t="s">
        <v>109</v>
      </c>
      <c r="D145" s="34"/>
      <c r="E145" s="34" t="s">
        <v>13</v>
      </c>
      <c r="F145" s="34" t="s">
        <v>25</v>
      </c>
      <c r="G145" s="34" t="s">
        <v>15</v>
      </c>
      <c r="H145" s="34"/>
      <c r="I145" s="34"/>
    </row>
    <row r="146" spans="1:9">
      <c r="A146" s="34" t="s">
        <v>127</v>
      </c>
      <c r="B146" s="34">
        <v>0.38033800800000001</v>
      </c>
      <c r="C146" s="34" t="s">
        <v>109</v>
      </c>
      <c r="D146" s="34"/>
      <c r="E146" s="34" t="s">
        <v>128</v>
      </c>
      <c r="F146" s="34" t="s">
        <v>129</v>
      </c>
      <c r="G146" s="34" t="s">
        <v>15</v>
      </c>
      <c r="H146" s="34"/>
      <c r="I146" s="34"/>
    </row>
    <row r="147" spans="1:9">
      <c r="A147" s="34" t="s">
        <v>130</v>
      </c>
      <c r="B147" s="34">
        <v>0.36940000000000001</v>
      </c>
      <c r="C147" s="34" t="s">
        <v>109</v>
      </c>
      <c r="D147" s="34"/>
      <c r="E147" s="34" t="s">
        <v>128</v>
      </c>
      <c r="F147" s="34" t="s">
        <v>131</v>
      </c>
      <c r="G147" s="34" t="s">
        <v>15</v>
      </c>
      <c r="H147" s="34"/>
      <c r="I147" s="34"/>
    </row>
    <row r="148" spans="1:9">
      <c r="A148" s="34" t="s">
        <v>130</v>
      </c>
      <c r="B148" s="34">
        <v>1.0999999999999999E-2</v>
      </c>
      <c r="C148" s="34" t="s">
        <v>109</v>
      </c>
      <c r="D148" s="34"/>
      <c r="E148" s="34" t="s">
        <v>128</v>
      </c>
      <c r="F148" s="34" t="s">
        <v>25</v>
      </c>
      <c r="G148" s="34" t="s">
        <v>15</v>
      </c>
      <c r="H148" s="34"/>
      <c r="I148" s="34" t="s">
        <v>164</v>
      </c>
    </row>
    <row r="149" spans="1:9">
      <c r="A149" s="34" t="s">
        <v>165</v>
      </c>
      <c r="B149" s="34">
        <v>6.1611670199999997</v>
      </c>
      <c r="C149" s="34" t="s">
        <v>166</v>
      </c>
      <c r="D149" s="34" t="s">
        <v>49</v>
      </c>
      <c r="E149" s="34" t="s">
        <v>13</v>
      </c>
      <c r="F149" s="34"/>
      <c r="G149" s="34" t="s">
        <v>12</v>
      </c>
      <c r="H149" s="34" t="s">
        <v>165</v>
      </c>
      <c r="I149" s="34"/>
    </row>
    <row r="150" spans="1:9">
      <c r="A150" s="34" t="s">
        <v>133</v>
      </c>
      <c r="B150" s="35">
        <v>5.3477100000000001E-10</v>
      </c>
      <c r="C150" s="34" t="s">
        <v>166</v>
      </c>
      <c r="D150" s="34" t="s">
        <v>49</v>
      </c>
      <c r="E150" s="34" t="s">
        <v>6</v>
      </c>
      <c r="F150" s="34"/>
      <c r="G150" s="34" t="s">
        <v>12</v>
      </c>
      <c r="H150" s="34" t="s">
        <v>135</v>
      </c>
      <c r="I150" s="34"/>
    </row>
    <row r="151" spans="1:9">
      <c r="A151" s="34" t="s">
        <v>136</v>
      </c>
      <c r="B151" s="34">
        <v>5.32728E-4</v>
      </c>
      <c r="C151" s="34" t="s">
        <v>166</v>
      </c>
      <c r="D151" s="34" t="s">
        <v>137</v>
      </c>
      <c r="E151" s="34" t="s">
        <v>13</v>
      </c>
      <c r="F151" s="34"/>
      <c r="G151" s="34" t="s">
        <v>12</v>
      </c>
      <c r="H151" s="34" t="s">
        <v>138</v>
      </c>
      <c r="I151" s="34"/>
    </row>
    <row r="152" spans="1:9">
      <c r="A152" s="34" t="s">
        <v>139</v>
      </c>
      <c r="B152" s="34">
        <v>3.6000000000000001E-5</v>
      </c>
      <c r="C152" s="34" t="s">
        <v>166</v>
      </c>
      <c r="D152" s="34" t="s">
        <v>140</v>
      </c>
      <c r="E152" s="34" t="s">
        <v>13</v>
      </c>
      <c r="F152" s="34"/>
      <c r="G152" s="34" t="s">
        <v>12</v>
      </c>
      <c r="H152" s="34" t="s">
        <v>141</v>
      </c>
      <c r="I152" s="34"/>
    </row>
    <row r="153" spans="1:9">
      <c r="A153" s="34" t="s">
        <v>142</v>
      </c>
      <c r="B153" s="34">
        <v>3.6240000000000003E-4</v>
      </c>
      <c r="C153" s="34" t="s">
        <v>166</v>
      </c>
      <c r="D153" s="34" t="s">
        <v>140</v>
      </c>
      <c r="E153" s="34" t="s">
        <v>13</v>
      </c>
      <c r="F153" s="34"/>
      <c r="G153" s="34" t="s">
        <v>12</v>
      </c>
      <c r="H153" s="34" t="s">
        <v>143</v>
      </c>
      <c r="I153" s="34"/>
    </row>
    <row r="154" spans="1:9">
      <c r="A154" s="34" t="s">
        <v>167</v>
      </c>
      <c r="B154" s="34">
        <v>2.0948000000000001E-4</v>
      </c>
      <c r="C154" s="34" t="s">
        <v>166</v>
      </c>
      <c r="D154" s="34" t="s">
        <v>140</v>
      </c>
      <c r="E154" s="34" t="s">
        <v>13</v>
      </c>
      <c r="F154" s="34"/>
      <c r="G154" s="34" t="s">
        <v>12</v>
      </c>
      <c r="H154" s="34" t="s">
        <v>168</v>
      </c>
      <c r="I154" s="34"/>
    </row>
    <row r="155" spans="1:9">
      <c r="A155" s="34" t="s">
        <v>144</v>
      </c>
      <c r="B155" s="35">
        <v>2.54628E-9</v>
      </c>
      <c r="C155" s="34" t="s">
        <v>166</v>
      </c>
      <c r="D155" s="34" t="s">
        <v>140</v>
      </c>
      <c r="E155" s="34" t="s">
        <v>6</v>
      </c>
      <c r="F155" s="34"/>
      <c r="G155" s="34" t="s">
        <v>12</v>
      </c>
      <c r="H155" s="34" t="s">
        <v>145</v>
      </c>
      <c r="I155" s="34"/>
    </row>
    <row r="156" spans="1:9">
      <c r="A156" s="34" t="s">
        <v>146</v>
      </c>
      <c r="B156" s="34">
        <v>2.796E-5</v>
      </c>
      <c r="C156" s="34" t="s">
        <v>166</v>
      </c>
      <c r="D156" s="34" t="s">
        <v>140</v>
      </c>
      <c r="E156" s="34" t="s">
        <v>13</v>
      </c>
      <c r="F156" s="34"/>
      <c r="G156" s="34" t="s">
        <v>12</v>
      </c>
      <c r="H156" s="34" t="s">
        <v>147</v>
      </c>
      <c r="I156" s="34"/>
    </row>
    <row r="157" spans="1:9">
      <c r="A157" s="34" t="s">
        <v>148</v>
      </c>
      <c r="B157" s="34">
        <v>1.668E-5</v>
      </c>
      <c r="C157" s="34" t="s">
        <v>166</v>
      </c>
      <c r="D157" s="34" t="s">
        <v>140</v>
      </c>
      <c r="E157" s="34" t="s">
        <v>13</v>
      </c>
      <c r="F157" s="34"/>
      <c r="G157" s="34" t="s">
        <v>12</v>
      </c>
      <c r="H157" s="34" t="s">
        <v>149</v>
      </c>
      <c r="I157" s="34"/>
    </row>
    <row r="158" spans="1:9">
      <c r="A158" s="34" t="s">
        <v>150</v>
      </c>
      <c r="B158" s="34">
        <v>2.0291999999999999E-4</v>
      </c>
      <c r="C158" s="34" t="s">
        <v>166</v>
      </c>
      <c r="D158" s="34" t="s">
        <v>140</v>
      </c>
      <c r="E158" s="34" t="s">
        <v>13</v>
      </c>
      <c r="F158" s="34"/>
      <c r="G158" s="34" t="s">
        <v>12</v>
      </c>
      <c r="H158" s="34" t="s">
        <v>151</v>
      </c>
      <c r="I158" s="34"/>
    </row>
    <row r="159" spans="1:9">
      <c r="A159" s="34" t="s">
        <v>152</v>
      </c>
      <c r="B159" s="34">
        <v>3.1236000000000002E-4</v>
      </c>
      <c r="C159" s="34" t="s">
        <v>166</v>
      </c>
      <c r="D159" s="34" t="s">
        <v>140</v>
      </c>
      <c r="E159" s="34" t="s">
        <v>13</v>
      </c>
      <c r="F159" s="34"/>
      <c r="G159" s="34" t="s">
        <v>12</v>
      </c>
      <c r="H159" s="34" t="s">
        <v>153</v>
      </c>
      <c r="I159" s="34"/>
    </row>
    <row r="160" spans="1:9">
      <c r="A160" s="34" t="s">
        <v>154</v>
      </c>
      <c r="B160" s="34">
        <v>4.8000000000000001E-5</v>
      </c>
      <c r="C160" s="34" t="s">
        <v>166</v>
      </c>
      <c r="D160" s="34" t="s">
        <v>49</v>
      </c>
      <c r="E160" s="34" t="s">
        <v>13</v>
      </c>
      <c r="F160" s="34"/>
      <c r="G160" s="34" t="s">
        <v>12</v>
      </c>
      <c r="H160" s="34" t="s">
        <v>155</v>
      </c>
      <c r="I160" s="34"/>
    </row>
    <row r="161" spans="1:9">
      <c r="A161" s="34" t="s">
        <v>156</v>
      </c>
      <c r="B161" s="34">
        <v>1.1592E-5</v>
      </c>
      <c r="C161" s="34" t="s">
        <v>166</v>
      </c>
      <c r="D161" s="34" t="s">
        <v>140</v>
      </c>
      <c r="E161" s="34" t="s">
        <v>13</v>
      </c>
      <c r="F161" s="34"/>
      <c r="G161" s="34" t="s">
        <v>12</v>
      </c>
      <c r="H161" s="34" t="s">
        <v>157</v>
      </c>
      <c r="I161" s="34"/>
    </row>
    <row r="162" spans="1:9">
      <c r="A162" s="34" t="s">
        <v>21</v>
      </c>
      <c r="B162" s="34">
        <v>7.5375498600000004</v>
      </c>
      <c r="C162" s="34" t="s">
        <v>166</v>
      </c>
      <c r="D162" s="34" t="s">
        <v>22</v>
      </c>
      <c r="E162" s="34" t="s">
        <v>13</v>
      </c>
      <c r="F162" s="34"/>
      <c r="G162" s="34" t="s">
        <v>12</v>
      </c>
      <c r="H162" s="34" t="s">
        <v>23</v>
      </c>
      <c r="I162" s="34"/>
    </row>
    <row r="163" spans="1:9">
      <c r="A163" s="34" t="s">
        <v>158</v>
      </c>
      <c r="B163" s="34">
        <v>8.8290199999999997E-4</v>
      </c>
      <c r="C163" s="34" t="s">
        <v>166</v>
      </c>
      <c r="D163" s="34" t="s">
        <v>140</v>
      </c>
      <c r="E163" s="34" t="s">
        <v>13</v>
      </c>
      <c r="F163" s="34"/>
      <c r="G163" s="34" t="s">
        <v>12</v>
      </c>
      <c r="H163" s="34" t="s">
        <v>159</v>
      </c>
      <c r="I163" s="34"/>
    </row>
    <row r="164" spans="1:9">
      <c r="A164" s="34" t="s">
        <v>160</v>
      </c>
      <c r="B164" s="34">
        <v>3.7139999999999997E-4</v>
      </c>
      <c r="C164" s="34" t="s">
        <v>166</v>
      </c>
      <c r="D164" s="34" t="s">
        <v>140</v>
      </c>
      <c r="E164" s="34" t="s">
        <v>13</v>
      </c>
      <c r="F164" s="34"/>
      <c r="G164" s="34" t="s">
        <v>12</v>
      </c>
      <c r="H164" s="34" t="s">
        <v>161</v>
      </c>
      <c r="I164" s="34"/>
    </row>
    <row r="165" spans="1:9">
      <c r="A165" s="34" t="s">
        <v>98</v>
      </c>
      <c r="B165" s="34">
        <v>0</v>
      </c>
      <c r="C165" s="34" t="s">
        <v>166</v>
      </c>
      <c r="D165" s="34" t="s">
        <v>29</v>
      </c>
      <c r="E165" s="34" t="s">
        <v>19</v>
      </c>
      <c r="F165" s="34"/>
      <c r="G165" s="34" t="s">
        <v>12</v>
      </c>
      <c r="H165" s="34" t="s">
        <v>31</v>
      </c>
      <c r="I165" s="34"/>
    </row>
    <row r="166" spans="1:9">
      <c r="A166" s="71" t="s">
        <v>472</v>
      </c>
      <c r="B166" s="34">
        <v>4.3011681309999998</v>
      </c>
      <c r="C166" s="34" t="s">
        <v>166</v>
      </c>
      <c r="D166" s="34" t="s">
        <v>29</v>
      </c>
      <c r="E166" s="34" t="s">
        <v>128</v>
      </c>
      <c r="F166" s="34"/>
      <c r="G166" s="34" t="s">
        <v>12</v>
      </c>
      <c r="H166" s="34" t="s">
        <v>162</v>
      </c>
      <c r="I166" s="34"/>
    </row>
    <row r="167" spans="1:9">
      <c r="A167" s="34"/>
      <c r="B167" s="34"/>
      <c r="C167" s="34"/>
      <c r="D167" s="34"/>
      <c r="E167" s="34"/>
      <c r="F167" s="34"/>
      <c r="G167" s="34"/>
      <c r="H167" s="34"/>
      <c r="I167" s="34"/>
    </row>
    <row r="168" spans="1:9" ht="15.75">
      <c r="A168" s="29" t="s">
        <v>1</v>
      </c>
      <c r="B168" s="29" t="s">
        <v>254</v>
      </c>
    </row>
    <row r="169" spans="1:9">
      <c r="A169" t="s">
        <v>2</v>
      </c>
      <c r="B169" t="s">
        <v>29</v>
      </c>
    </row>
    <row r="170" spans="1:9">
      <c r="A170" t="s">
        <v>11</v>
      </c>
      <c r="B170" t="s">
        <v>255</v>
      </c>
    </row>
    <row r="171" spans="1:9">
      <c r="A171" t="s">
        <v>3</v>
      </c>
      <c r="B171">
        <v>1</v>
      </c>
    </row>
    <row r="172" spans="1:9">
      <c r="A172" t="s">
        <v>76</v>
      </c>
      <c r="B172"/>
    </row>
    <row r="173" spans="1:9">
      <c r="A173" t="s">
        <v>4</v>
      </c>
      <c r="B173" t="s">
        <v>256</v>
      </c>
    </row>
    <row r="174" spans="1:9">
      <c r="A174" t="s">
        <v>5</v>
      </c>
      <c r="B174" t="s">
        <v>78</v>
      </c>
    </row>
    <row r="175" spans="1:9">
      <c r="A175" t="s">
        <v>6</v>
      </c>
      <c r="B175" s="34" t="s">
        <v>13</v>
      </c>
    </row>
    <row r="176" spans="1:9" ht="15.75">
      <c r="A176" s="29" t="s">
        <v>7</v>
      </c>
      <c r="B176"/>
    </row>
    <row r="177" spans="1:34" ht="15.75">
      <c r="A177" s="29" t="s">
        <v>8</v>
      </c>
      <c r="B177" s="29" t="s">
        <v>9</v>
      </c>
      <c r="C177" s="29" t="s">
        <v>2</v>
      </c>
      <c r="D177" s="29" t="s">
        <v>6</v>
      </c>
      <c r="E177" s="29" t="s">
        <v>10</v>
      </c>
      <c r="F177" s="29" t="s">
        <v>5</v>
      </c>
      <c r="G177" s="29" t="s">
        <v>4</v>
      </c>
      <c r="H177" s="29" t="s">
        <v>11</v>
      </c>
    </row>
    <row r="178" spans="1:34">
      <c r="A178" t="str">
        <f>B168</f>
        <v>empty activity, for market that does not exist any more in 2050, Tr2050</v>
      </c>
      <c r="B178">
        <v>1</v>
      </c>
      <c r="C178" t="s">
        <v>29</v>
      </c>
      <c r="D178" t="str">
        <f>B175</f>
        <v>kilogram</v>
      </c>
      <c r="F178" t="s">
        <v>18</v>
      </c>
      <c r="G178" t="str">
        <f>B173</f>
        <v>nothing</v>
      </c>
    </row>
    <row r="179" spans="1:34" s="64" customFormat="1">
      <c r="A179" s="62"/>
      <c r="B179" s="62"/>
      <c r="C179" s="63"/>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row>
    <row r="180" spans="1:34">
      <c r="A180" s="38" t="s">
        <v>1</v>
      </c>
      <c r="B180" s="38" t="s">
        <v>194</v>
      </c>
      <c r="C180" s="39"/>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row>
    <row r="181" spans="1:34">
      <c r="A181" s="38" t="s">
        <v>11</v>
      </c>
      <c r="B181" s="40" t="s">
        <v>486</v>
      </c>
      <c r="C181" s="39"/>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row>
    <row r="182" spans="1:34">
      <c r="A182" s="38" t="s">
        <v>2</v>
      </c>
      <c r="B182" s="40" t="s">
        <v>29</v>
      </c>
      <c r="C182" s="39"/>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row>
    <row r="183" spans="1:34">
      <c r="A183" s="41" t="s">
        <v>4</v>
      </c>
      <c r="B183" s="40" t="s">
        <v>195</v>
      </c>
      <c r="C183" s="39"/>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row>
    <row r="184" spans="1:34">
      <c r="A184" s="38" t="s">
        <v>3</v>
      </c>
      <c r="B184" s="42">
        <v>1</v>
      </c>
      <c r="C184" s="39"/>
      <c r="D184" s="45"/>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row>
    <row r="185" spans="1:34">
      <c r="A185" s="38" t="s">
        <v>6</v>
      </c>
      <c r="B185" s="40" t="s">
        <v>128</v>
      </c>
      <c r="C185" s="39"/>
      <c r="D185" s="43"/>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row>
    <row r="186" spans="1:34">
      <c r="A186" s="38" t="s">
        <v>76</v>
      </c>
      <c r="B186" s="40"/>
      <c r="C186" s="39"/>
      <c r="D186" s="43"/>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row>
    <row r="187" spans="1:34">
      <c r="A187" s="38" t="s">
        <v>7</v>
      </c>
      <c r="B187" s="40"/>
      <c r="C187" s="39"/>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row>
    <row r="188" spans="1:34">
      <c r="A188" s="38" t="s">
        <v>8</v>
      </c>
      <c r="B188" s="38" t="s">
        <v>4</v>
      </c>
      <c r="C188" s="44" t="s">
        <v>9</v>
      </c>
      <c r="D188" s="38" t="s">
        <v>6</v>
      </c>
      <c r="E188" s="38" t="s">
        <v>106</v>
      </c>
      <c r="F188" s="38" t="s">
        <v>10</v>
      </c>
      <c r="G188" s="38" t="s">
        <v>2</v>
      </c>
      <c r="H188" s="38" t="s">
        <v>5</v>
      </c>
      <c r="I188" s="38" t="s">
        <v>11</v>
      </c>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row>
    <row r="189" spans="1:34">
      <c r="A189" s="45" t="s">
        <v>194</v>
      </c>
      <c r="B189" s="45" t="s">
        <v>195</v>
      </c>
      <c r="C189" s="46">
        <v>1</v>
      </c>
      <c r="D189" s="40" t="s">
        <v>128</v>
      </c>
      <c r="E189" s="45" t="s">
        <v>196</v>
      </c>
      <c r="F189" s="45"/>
      <c r="G189" s="45" t="s">
        <v>29</v>
      </c>
      <c r="H189" s="45" t="s">
        <v>18</v>
      </c>
      <c r="I189" s="45"/>
      <c r="J189" s="45"/>
      <c r="K189" s="45"/>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row>
    <row r="190" spans="1:34">
      <c r="A190" s="45" t="s">
        <v>274</v>
      </c>
      <c r="B190" s="45" t="s">
        <v>275</v>
      </c>
      <c r="C190" s="46">
        <v>0</v>
      </c>
      <c r="D190" s="40" t="s">
        <v>13</v>
      </c>
      <c r="E190" s="45" t="s">
        <v>205</v>
      </c>
      <c r="F190" s="45"/>
      <c r="G190" s="45" t="s">
        <v>29</v>
      </c>
      <c r="H190" s="45" t="s">
        <v>12</v>
      </c>
      <c r="I190" s="45"/>
      <c r="J190" s="45"/>
      <c r="K190" s="45"/>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row>
    <row r="191" spans="1:34">
      <c r="A191" s="45" t="s">
        <v>28</v>
      </c>
      <c r="B191" s="45" t="s">
        <v>20</v>
      </c>
      <c r="C191" s="46">
        <v>0</v>
      </c>
      <c r="D191" s="40" t="s">
        <v>19</v>
      </c>
      <c r="E191" s="45" t="s">
        <v>205</v>
      </c>
      <c r="F191" s="45"/>
      <c r="G191" s="45" t="s">
        <v>29</v>
      </c>
      <c r="H191" s="45" t="s">
        <v>12</v>
      </c>
      <c r="I191" s="45"/>
      <c r="J191" s="45"/>
      <c r="K191" s="45"/>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row>
    <row r="192" spans="1:34">
      <c r="A192" s="40" t="s">
        <v>206</v>
      </c>
      <c r="B192" s="45" t="s">
        <v>207</v>
      </c>
      <c r="C192" s="46">
        <v>0</v>
      </c>
      <c r="D192" s="40" t="s">
        <v>6</v>
      </c>
      <c r="E192" s="45" t="s">
        <v>205</v>
      </c>
      <c r="F192" s="45"/>
      <c r="G192" s="45" t="s">
        <v>208</v>
      </c>
      <c r="H192" s="45" t="s">
        <v>12</v>
      </c>
      <c r="I192" s="54"/>
      <c r="J192" s="45"/>
      <c r="K192" s="45"/>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row>
    <row r="193" spans="1:34">
      <c r="A193" s="45" t="s">
        <v>209</v>
      </c>
      <c r="B193" s="45" t="s">
        <v>210</v>
      </c>
      <c r="C193" s="46">
        <v>0</v>
      </c>
      <c r="D193" s="40" t="s">
        <v>6</v>
      </c>
      <c r="E193" s="45" t="s">
        <v>205</v>
      </c>
      <c r="F193" s="45"/>
      <c r="G193" s="45" t="s">
        <v>140</v>
      </c>
      <c r="H193" s="45" t="s">
        <v>12</v>
      </c>
      <c r="I193" s="40"/>
      <c r="J193" s="45"/>
      <c r="K193" s="45"/>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row>
    <row r="194" spans="1:34">
      <c r="A194" s="39" t="s">
        <v>197</v>
      </c>
      <c r="B194" s="40"/>
      <c r="C194" s="46">
        <v>2.2403011395943495</v>
      </c>
      <c r="D194" s="40" t="s">
        <v>13</v>
      </c>
      <c r="E194" s="40" t="s">
        <v>109</v>
      </c>
      <c r="F194" s="40" t="s">
        <v>198</v>
      </c>
      <c r="G194" s="40"/>
      <c r="H194" s="40" t="s">
        <v>15</v>
      </c>
      <c r="I194" s="40" t="s">
        <v>211</v>
      </c>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row>
    <row r="195" spans="1:34">
      <c r="A195" s="45" t="s">
        <v>212</v>
      </c>
      <c r="B195" s="45"/>
      <c r="C195" s="46">
        <v>0</v>
      </c>
      <c r="D195" s="40" t="s">
        <v>13</v>
      </c>
      <c r="E195" s="40" t="s">
        <v>109</v>
      </c>
      <c r="F195" s="45" t="s">
        <v>183</v>
      </c>
      <c r="G195" s="45"/>
      <c r="H195" s="40" t="s">
        <v>15</v>
      </c>
      <c r="I195" s="40" t="s">
        <v>213</v>
      </c>
      <c r="J195" s="45"/>
      <c r="K195" s="45"/>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row>
    <row r="196" spans="1:34">
      <c r="A196" s="45" t="s">
        <v>184</v>
      </c>
      <c r="B196" s="45"/>
      <c r="C196" s="46">
        <v>0</v>
      </c>
      <c r="D196" s="40" t="s">
        <v>13</v>
      </c>
      <c r="E196" s="40" t="s">
        <v>109</v>
      </c>
      <c r="F196" s="45" t="s">
        <v>183</v>
      </c>
      <c r="G196" s="45"/>
      <c r="H196" s="40" t="s">
        <v>15</v>
      </c>
      <c r="I196" s="40" t="s">
        <v>213</v>
      </c>
      <c r="J196" s="45"/>
      <c r="K196" s="45"/>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row>
    <row r="197" spans="1:34">
      <c r="A197" s="45" t="s">
        <v>214</v>
      </c>
      <c r="B197" s="45"/>
      <c r="C197" s="46">
        <v>0</v>
      </c>
      <c r="D197" s="40" t="s">
        <v>13</v>
      </c>
      <c r="E197" s="40" t="s">
        <v>109</v>
      </c>
      <c r="F197" s="45" t="s">
        <v>183</v>
      </c>
      <c r="G197" s="45"/>
      <c r="H197" s="40" t="s">
        <v>15</v>
      </c>
      <c r="I197" s="40" t="s">
        <v>215</v>
      </c>
      <c r="J197" s="45"/>
      <c r="K197" s="45"/>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row>
    <row r="198" spans="1:34">
      <c r="A198" s="45" t="s">
        <v>115</v>
      </c>
      <c r="B198" s="45"/>
      <c r="C198" s="46">
        <v>0</v>
      </c>
      <c r="D198" s="40" t="s">
        <v>13</v>
      </c>
      <c r="E198" s="40" t="s">
        <v>109</v>
      </c>
      <c r="F198" s="45" t="s">
        <v>183</v>
      </c>
      <c r="G198" s="45"/>
      <c r="H198" s="40" t="s">
        <v>15</v>
      </c>
      <c r="I198" s="40" t="s">
        <v>215</v>
      </c>
      <c r="J198" s="45"/>
      <c r="K198" s="45"/>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row>
    <row r="199" spans="1:34">
      <c r="A199" s="45" t="s">
        <v>119</v>
      </c>
      <c r="B199" s="45"/>
      <c r="C199" s="46">
        <v>0</v>
      </c>
      <c r="D199" s="40" t="s">
        <v>13</v>
      </c>
      <c r="E199" s="40" t="s">
        <v>109</v>
      </c>
      <c r="F199" s="45" t="s">
        <v>183</v>
      </c>
      <c r="G199" s="45"/>
      <c r="H199" s="40" t="s">
        <v>15</v>
      </c>
      <c r="I199" s="40" t="s">
        <v>215</v>
      </c>
      <c r="J199" s="45"/>
      <c r="K199" s="45"/>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row>
    <row r="200" spans="1:34">
      <c r="A200" s="45" t="s">
        <v>125</v>
      </c>
      <c r="B200" s="45"/>
      <c r="C200" s="46">
        <v>0</v>
      </c>
      <c r="D200" s="40" t="s">
        <v>13</v>
      </c>
      <c r="E200" s="40" t="s">
        <v>109</v>
      </c>
      <c r="F200" s="45" t="s">
        <v>183</v>
      </c>
      <c r="G200" s="45"/>
      <c r="H200" s="40" t="s">
        <v>15</v>
      </c>
      <c r="I200" s="40" t="s">
        <v>215</v>
      </c>
      <c r="J200" s="45"/>
      <c r="K200" s="45"/>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row>
    <row r="201" spans="1:34">
      <c r="A201" s="45" t="s">
        <v>216</v>
      </c>
      <c r="B201" s="45"/>
      <c r="C201" s="46">
        <v>0</v>
      </c>
      <c r="D201" s="40" t="s">
        <v>13</v>
      </c>
      <c r="E201" s="40" t="s">
        <v>109</v>
      </c>
      <c r="F201" s="45" t="s">
        <v>183</v>
      </c>
      <c r="G201" s="45"/>
      <c r="H201" s="40" t="s">
        <v>15</v>
      </c>
      <c r="I201" s="40" t="s">
        <v>215</v>
      </c>
      <c r="J201" s="45"/>
      <c r="K201" s="45"/>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row>
    <row r="202" spans="1:34">
      <c r="A202" s="45" t="s">
        <v>217</v>
      </c>
      <c r="B202" s="45"/>
      <c r="C202" s="46">
        <v>0</v>
      </c>
      <c r="D202" s="40" t="s">
        <v>13</v>
      </c>
      <c r="E202" s="40" t="s">
        <v>109</v>
      </c>
      <c r="F202" s="45" t="s">
        <v>183</v>
      </c>
      <c r="G202" s="45"/>
      <c r="H202" s="40" t="s">
        <v>15</v>
      </c>
      <c r="I202" s="40" t="s">
        <v>215</v>
      </c>
      <c r="J202" s="45"/>
      <c r="K202" s="45"/>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row>
    <row r="203" spans="1:34" s="64" customFormat="1">
      <c r="A203" s="62"/>
      <c r="B203" s="62"/>
      <c r="C203" s="63"/>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row>
    <row r="204" spans="1:34">
      <c r="A204" s="38" t="s">
        <v>1</v>
      </c>
      <c r="B204" s="38" t="s">
        <v>199</v>
      </c>
      <c r="C204" s="39"/>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row>
    <row r="205" spans="1:34">
      <c r="A205" s="38" t="s">
        <v>11</v>
      </c>
      <c r="B205" s="40" t="s">
        <v>487</v>
      </c>
      <c r="C205" s="39"/>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row>
    <row r="206" spans="1:34">
      <c r="A206" s="38" t="s">
        <v>2</v>
      </c>
      <c r="B206" s="40" t="s">
        <v>29</v>
      </c>
      <c r="C206" s="39"/>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row>
    <row r="207" spans="1:34">
      <c r="A207" s="41" t="s">
        <v>4</v>
      </c>
      <c r="B207" s="40" t="s">
        <v>195</v>
      </c>
      <c r="C207" s="39"/>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row>
    <row r="208" spans="1:34">
      <c r="A208" s="38" t="s">
        <v>3</v>
      </c>
      <c r="B208" s="42">
        <v>1</v>
      </c>
      <c r="C208" s="39"/>
      <c r="D208" s="43"/>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row>
    <row r="209" spans="1:34">
      <c r="A209" s="38" t="s">
        <v>6</v>
      </c>
      <c r="B209" s="40" t="s">
        <v>128</v>
      </c>
      <c r="C209" s="39"/>
      <c r="D209" s="43"/>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row>
    <row r="210" spans="1:34">
      <c r="A210" s="38" t="s">
        <v>76</v>
      </c>
      <c r="B210" s="40"/>
      <c r="C210" s="39"/>
      <c r="D210" s="43"/>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row>
    <row r="211" spans="1:34">
      <c r="A211" s="38" t="s">
        <v>7</v>
      </c>
      <c r="B211" s="40"/>
      <c r="C211" s="39"/>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row>
    <row r="212" spans="1:34">
      <c r="A212" s="38" t="s">
        <v>8</v>
      </c>
      <c r="B212" s="38" t="s">
        <v>4</v>
      </c>
      <c r="C212" s="44" t="s">
        <v>9</v>
      </c>
      <c r="D212" s="38" t="s">
        <v>6</v>
      </c>
      <c r="E212" s="38" t="s">
        <v>106</v>
      </c>
      <c r="F212" s="38" t="s">
        <v>10</v>
      </c>
      <c r="G212" s="38" t="s">
        <v>2</v>
      </c>
      <c r="H212" s="38" t="s">
        <v>5</v>
      </c>
      <c r="I212" s="38" t="s">
        <v>11</v>
      </c>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row>
    <row r="213" spans="1:34">
      <c r="A213" s="45" t="s">
        <v>199</v>
      </c>
      <c r="B213" s="45" t="s">
        <v>195</v>
      </c>
      <c r="C213" s="46">
        <v>1</v>
      </c>
      <c r="D213" s="40" t="s">
        <v>128</v>
      </c>
      <c r="E213" s="45" t="s">
        <v>196</v>
      </c>
      <c r="F213" s="45"/>
      <c r="G213" s="45" t="s">
        <v>29</v>
      </c>
      <c r="H213" s="45" t="s">
        <v>18</v>
      </c>
      <c r="I213" s="45"/>
      <c r="J213" s="45"/>
      <c r="K213" s="45"/>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row>
    <row r="214" spans="1:34">
      <c r="A214" s="45" t="s">
        <v>28</v>
      </c>
      <c r="B214" s="45" t="s">
        <v>20</v>
      </c>
      <c r="C214" s="39">
        <v>0</v>
      </c>
      <c r="D214" s="40" t="s">
        <v>19</v>
      </c>
      <c r="E214" s="45" t="s">
        <v>205</v>
      </c>
      <c r="F214" s="45"/>
      <c r="G214" s="45" t="s">
        <v>29</v>
      </c>
      <c r="H214" s="45" t="s">
        <v>12</v>
      </c>
      <c r="I214" s="45"/>
      <c r="J214" s="45"/>
      <c r="K214" s="45"/>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row>
    <row r="215" spans="1:34">
      <c r="A215" s="40" t="s">
        <v>206</v>
      </c>
      <c r="B215" s="45" t="s">
        <v>207</v>
      </c>
      <c r="C215" s="39">
        <v>0</v>
      </c>
      <c r="D215" s="40" t="s">
        <v>6</v>
      </c>
      <c r="E215" s="45" t="s">
        <v>205</v>
      </c>
      <c r="F215" s="45"/>
      <c r="G215" s="45" t="s">
        <v>208</v>
      </c>
      <c r="H215" s="45" t="s">
        <v>12</v>
      </c>
      <c r="I215" s="54"/>
      <c r="J215" s="45"/>
      <c r="K215" s="45"/>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row>
    <row r="216" spans="1:34">
      <c r="A216" s="45" t="s">
        <v>209</v>
      </c>
      <c r="B216" s="45" t="s">
        <v>210</v>
      </c>
      <c r="C216" s="39">
        <v>0</v>
      </c>
      <c r="D216" s="40" t="s">
        <v>6</v>
      </c>
      <c r="E216" s="45" t="s">
        <v>205</v>
      </c>
      <c r="F216" s="45"/>
      <c r="G216" s="45" t="s">
        <v>140</v>
      </c>
      <c r="H216" s="45" t="s">
        <v>12</v>
      </c>
      <c r="I216" s="40"/>
      <c r="J216" s="45"/>
      <c r="K216" s="45"/>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row>
    <row r="217" spans="1:34">
      <c r="A217" s="39" t="s">
        <v>197</v>
      </c>
      <c r="B217" s="40"/>
      <c r="C217" s="46">
        <v>2.2482890141514411</v>
      </c>
      <c r="D217" s="40" t="s">
        <v>13</v>
      </c>
      <c r="E217" s="40" t="s">
        <v>109</v>
      </c>
      <c r="F217" s="40" t="s">
        <v>198</v>
      </c>
      <c r="G217" s="40"/>
      <c r="H217" s="40" t="s">
        <v>15</v>
      </c>
      <c r="I217" s="40" t="s">
        <v>211</v>
      </c>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row>
    <row r="218" spans="1:34">
      <c r="A218" s="45" t="s">
        <v>212</v>
      </c>
      <c r="B218" s="45"/>
      <c r="C218" s="39">
        <v>0</v>
      </c>
      <c r="D218" s="40" t="s">
        <v>13</v>
      </c>
      <c r="E218" s="40" t="s">
        <v>109</v>
      </c>
      <c r="F218" s="45" t="s">
        <v>183</v>
      </c>
      <c r="G218" s="45"/>
      <c r="H218" s="40" t="s">
        <v>15</v>
      </c>
      <c r="I218" s="40" t="s">
        <v>213</v>
      </c>
      <c r="J218" s="45"/>
      <c r="K218" s="45"/>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row>
    <row r="219" spans="1:34">
      <c r="A219" s="45" t="s">
        <v>184</v>
      </c>
      <c r="B219" s="45"/>
      <c r="C219" s="39">
        <v>0</v>
      </c>
      <c r="D219" s="40" t="s">
        <v>13</v>
      </c>
      <c r="E219" s="40" t="s">
        <v>109</v>
      </c>
      <c r="F219" s="45" t="s">
        <v>183</v>
      </c>
      <c r="G219" s="45"/>
      <c r="H219" s="40" t="s">
        <v>15</v>
      </c>
      <c r="I219" s="40" t="s">
        <v>213</v>
      </c>
      <c r="J219" s="45"/>
      <c r="K219" s="45"/>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row>
    <row r="220" spans="1:34">
      <c r="A220" s="45" t="s">
        <v>214</v>
      </c>
      <c r="B220" s="45"/>
      <c r="C220" s="39">
        <v>0</v>
      </c>
      <c r="D220" s="40" t="s">
        <v>13</v>
      </c>
      <c r="E220" s="40" t="s">
        <v>109</v>
      </c>
      <c r="F220" s="45" t="s">
        <v>183</v>
      </c>
      <c r="G220" s="45"/>
      <c r="H220" s="40" t="s">
        <v>15</v>
      </c>
      <c r="I220" s="40" t="s">
        <v>215</v>
      </c>
      <c r="J220" s="45"/>
      <c r="K220" s="45"/>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row>
    <row r="221" spans="1:34">
      <c r="A221" s="45" t="s">
        <v>115</v>
      </c>
      <c r="B221" s="45"/>
      <c r="C221" s="39">
        <v>0</v>
      </c>
      <c r="D221" s="40" t="s">
        <v>13</v>
      </c>
      <c r="E221" s="40" t="s">
        <v>109</v>
      </c>
      <c r="F221" s="45" t="s">
        <v>183</v>
      </c>
      <c r="G221" s="45"/>
      <c r="H221" s="40" t="s">
        <v>15</v>
      </c>
      <c r="I221" s="40" t="s">
        <v>215</v>
      </c>
      <c r="J221" s="45"/>
      <c r="K221" s="45"/>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row>
    <row r="222" spans="1:34">
      <c r="A222" s="45" t="s">
        <v>119</v>
      </c>
      <c r="B222" s="45"/>
      <c r="C222" s="39">
        <v>0</v>
      </c>
      <c r="D222" s="40" t="s">
        <v>13</v>
      </c>
      <c r="E222" s="40" t="s">
        <v>109</v>
      </c>
      <c r="F222" s="45" t="s">
        <v>183</v>
      </c>
      <c r="G222" s="45"/>
      <c r="H222" s="40" t="s">
        <v>15</v>
      </c>
      <c r="I222" s="40" t="s">
        <v>215</v>
      </c>
      <c r="J222" s="45"/>
      <c r="K222" s="45"/>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row>
    <row r="223" spans="1:34">
      <c r="A223" s="45" t="s">
        <v>125</v>
      </c>
      <c r="B223" s="45"/>
      <c r="C223" s="39">
        <v>0</v>
      </c>
      <c r="D223" s="40" t="s">
        <v>13</v>
      </c>
      <c r="E223" s="40" t="s">
        <v>109</v>
      </c>
      <c r="F223" s="45" t="s">
        <v>183</v>
      </c>
      <c r="G223" s="45"/>
      <c r="H223" s="40" t="s">
        <v>15</v>
      </c>
      <c r="I223" s="40" t="s">
        <v>215</v>
      </c>
      <c r="J223" s="45"/>
      <c r="K223" s="45"/>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row>
    <row r="224" spans="1:34">
      <c r="A224" s="45" t="s">
        <v>216</v>
      </c>
      <c r="B224" s="45"/>
      <c r="C224" s="39">
        <v>0</v>
      </c>
      <c r="D224" s="40" t="s">
        <v>13</v>
      </c>
      <c r="E224" s="40" t="s">
        <v>109</v>
      </c>
      <c r="F224" s="45" t="s">
        <v>183</v>
      </c>
      <c r="G224" s="45"/>
      <c r="H224" s="40" t="s">
        <v>15</v>
      </c>
      <c r="I224" s="40" t="s">
        <v>215</v>
      </c>
      <c r="J224" s="45"/>
      <c r="K224" s="45"/>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row>
    <row r="225" spans="1:34">
      <c r="A225" s="45" t="s">
        <v>217</v>
      </c>
      <c r="B225" s="45"/>
      <c r="C225" s="39">
        <v>0</v>
      </c>
      <c r="D225" s="40" t="s">
        <v>13</v>
      </c>
      <c r="E225" s="40" t="s">
        <v>109</v>
      </c>
      <c r="F225" s="45" t="s">
        <v>183</v>
      </c>
      <c r="G225" s="45"/>
      <c r="H225" s="40" t="s">
        <v>15</v>
      </c>
      <c r="I225" s="40" t="s">
        <v>215</v>
      </c>
      <c r="J225" s="45"/>
      <c r="K225" s="45"/>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row>
    <row r="226" spans="1:34" s="64" customFormat="1">
      <c r="A226" s="62"/>
      <c r="B226" s="62"/>
      <c r="C226" s="63"/>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row>
    <row r="227" spans="1:34">
      <c r="A227" s="38" t="s">
        <v>1</v>
      </c>
      <c r="B227" s="38" t="s">
        <v>200</v>
      </c>
      <c r="C227" s="39"/>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row>
    <row r="228" spans="1:34">
      <c r="A228" s="38" t="s">
        <v>11</v>
      </c>
      <c r="B228" s="40" t="s">
        <v>488</v>
      </c>
      <c r="C228" s="39"/>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row>
    <row r="229" spans="1:34">
      <c r="A229" s="38" t="s">
        <v>2</v>
      </c>
      <c r="B229" s="40" t="s">
        <v>29</v>
      </c>
      <c r="C229" s="39"/>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row>
    <row r="230" spans="1:34">
      <c r="A230" s="41" t="s">
        <v>4</v>
      </c>
      <c r="B230" s="40" t="s">
        <v>195</v>
      </c>
      <c r="C230" s="39"/>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row>
    <row r="231" spans="1:34">
      <c r="A231" s="38" t="s">
        <v>3</v>
      </c>
      <c r="B231" s="42">
        <v>1</v>
      </c>
      <c r="C231" s="39"/>
      <c r="D231" s="43"/>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row>
    <row r="232" spans="1:34">
      <c r="A232" s="38" t="s">
        <v>6</v>
      </c>
      <c r="B232" s="40" t="s">
        <v>128</v>
      </c>
      <c r="C232" s="39"/>
      <c r="D232" s="43"/>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row>
    <row r="233" spans="1:34">
      <c r="A233" s="38" t="s">
        <v>76</v>
      </c>
      <c r="B233" s="40"/>
      <c r="C233" s="39"/>
      <c r="D233" s="43"/>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row>
    <row r="234" spans="1:34">
      <c r="A234" s="38" t="s">
        <v>7</v>
      </c>
      <c r="B234" s="40"/>
      <c r="C234" s="39"/>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row>
    <row r="235" spans="1:34">
      <c r="A235" s="38" t="s">
        <v>8</v>
      </c>
      <c r="B235" s="38" t="s">
        <v>4</v>
      </c>
      <c r="C235" s="44" t="s">
        <v>9</v>
      </c>
      <c r="D235" s="38" t="s">
        <v>6</v>
      </c>
      <c r="E235" s="38" t="s">
        <v>106</v>
      </c>
      <c r="F235" s="38" t="s">
        <v>10</v>
      </c>
      <c r="G235" s="38" t="s">
        <v>2</v>
      </c>
      <c r="H235" s="38" t="s">
        <v>5</v>
      </c>
      <c r="I235" s="38" t="s">
        <v>11</v>
      </c>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row>
    <row r="236" spans="1:34">
      <c r="A236" s="45" t="s">
        <v>200</v>
      </c>
      <c r="B236" s="45" t="s">
        <v>195</v>
      </c>
      <c r="C236" s="46">
        <v>1</v>
      </c>
      <c r="D236" s="40" t="s">
        <v>128</v>
      </c>
      <c r="E236" s="45" t="s">
        <v>196</v>
      </c>
      <c r="F236" s="45"/>
      <c r="G236" s="45" t="s">
        <v>29</v>
      </c>
      <c r="H236" s="45" t="s">
        <v>18</v>
      </c>
      <c r="I236" s="45"/>
      <c r="J236" s="45"/>
      <c r="K236" s="45"/>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row>
    <row r="237" spans="1:34">
      <c r="A237" s="45" t="s">
        <v>28</v>
      </c>
      <c r="B237" s="45" t="s">
        <v>20</v>
      </c>
      <c r="C237" s="39">
        <v>0</v>
      </c>
      <c r="D237" s="40" t="s">
        <v>19</v>
      </c>
      <c r="E237" s="45" t="s">
        <v>205</v>
      </c>
      <c r="F237" s="45"/>
      <c r="G237" s="45" t="s">
        <v>29</v>
      </c>
      <c r="H237" s="45" t="s">
        <v>12</v>
      </c>
      <c r="I237" s="45"/>
      <c r="J237" s="45"/>
      <c r="K237" s="45"/>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row>
    <row r="238" spans="1:34">
      <c r="A238" s="40" t="s">
        <v>206</v>
      </c>
      <c r="B238" s="45" t="s">
        <v>207</v>
      </c>
      <c r="C238" s="39">
        <v>0</v>
      </c>
      <c r="D238" s="40" t="s">
        <v>6</v>
      </c>
      <c r="E238" s="45" t="s">
        <v>205</v>
      </c>
      <c r="F238" s="45"/>
      <c r="G238" s="45" t="s">
        <v>208</v>
      </c>
      <c r="H238" s="45" t="s">
        <v>12</v>
      </c>
      <c r="I238" s="54"/>
      <c r="J238" s="45"/>
      <c r="K238" s="45"/>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row>
    <row r="239" spans="1:34">
      <c r="A239" s="45" t="s">
        <v>209</v>
      </c>
      <c r="B239" s="45" t="s">
        <v>210</v>
      </c>
      <c r="C239" s="39">
        <v>0</v>
      </c>
      <c r="D239" s="40" t="s">
        <v>6</v>
      </c>
      <c r="E239" s="45" t="s">
        <v>205</v>
      </c>
      <c r="F239" s="45"/>
      <c r="G239" s="45" t="s">
        <v>140</v>
      </c>
      <c r="H239" s="45" t="s">
        <v>12</v>
      </c>
      <c r="I239" s="40"/>
      <c r="J239" s="45"/>
      <c r="K239" s="45"/>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row>
    <row r="240" spans="1:34">
      <c r="A240" s="39" t="s">
        <v>197</v>
      </c>
      <c r="B240" s="40"/>
      <c r="C240" s="46">
        <v>2.2348029877051991</v>
      </c>
      <c r="D240" s="40" t="s">
        <v>13</v>
      </c>
      <c r="E240" s="40" t="s">
        <v>109</v>
      </c>
      <c r="F240" s="40" t="s">
        <v>198</v>
      </c>
      <c r="G240" s="40"/>
      <c r="H240" s="40" t="s">
        <v>15</v>
      </c>
      <c r="I240" s="40" t="s">
        <v>211</v>
      </c>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row>
    <row r="241" spans="1:34">
      <c r="A241" s="45" t="s">
        <v>212</v>
      </c>
      <c r="B241" s="45"/>
      <c r="C241" s="39">
        <v>0</v>
      </c>
      <c r="D241" s="40" t="s">
        <v>13</v>
      </c>
      <c r="E241" s="40" t="s">
        <v>109</v>
      </c>
      <c r="F241" s="45" t="s">
        <v>183</v>
      </c>
      <c r="G241" s="45"/>
      <c r="H241" s="40" t="s">
        <v>15</v>
      </c>
      <c r="I241" s="40" t="s">
        <v>213</v>
      </c>
      <c r="J241" s="45"/>
      <c r="K241" s="45"/>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row>
    <row r="242" spans="1:34">
      <c r="A242" s="45" t="s">
        <v>184</v>
      </c>
      <c r="B242" s="45"/>
      <c r="C242" s="39">
        <v>0</v>
      </c>
      <c r="D242" s="40" t="s">
        <v>13</v>
      </c>
      <c r="E242" s="40" t="s">
        <v>109</v>
      </c>
      <c r="F242" s="45" t="s">
        <v>183</v>
      </c>
      <c r="G242" s="45"/>
      <c r="H242" s="40" t="s">
        <v>15</v>
      </c>
      <c r="I242" s="40" t="s">
        <v>213</v>
      </c>
      <c r="J242" s="45"/>
      <c r="K242" s="45"/>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row>
    <row r="243" spans="1:34">
      <c r="A243" s="45" t="s">
        <v>214</v>
      </c>
      <c r="B243" s="45"/>
      <c r="C243" s="39">
        <v>0</v>
      </c>
      <c r="D243" s="40" t="s">
        <v>13</v>
      </c>
      <c r="E243" s="40" t="s">
        <v>109</v>
      </c>
      <c r="F243" s="45" t="s">
        <v>183</v>
      </c>
      <c r="G243" s="45"/>
      <c r="H243" s="40" t="s">
        <v>15</v>
      </c>
      <c r="I243" s="40" t="s">
        <v>215</v>
      </c>
      <c r="J243" s="45"/>
      <c r="K243" s="45"/>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row>
    <row r="244" spans="1:34">
      <c r="A244" s="45" t="s">
        <v>115</v>
      </c>
      <c r="B244" s="45"/>
      <c r="C244" s="39">
        <v>0</v>
      </c>
      <c r="D244" s="40" t="s">
        <v>13</v>
      </c>
      <c r="E244" s="40" t="s">
        <v>109</v>
      </c>
      <c r="F244" s="45" t="s">
        <v>183</v>
      </c>
      <c r="G244" s="45"/>
      <c r="H244" s="40" t="s">
        <v>15</v>
      </c>
      <c r="I244" s="40" t="s">
        <v>215</v>
      </c>
      <c r="J244" s="45"/>
      <c r="K244" s="45"/>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row>
    <row r="245" spans="1:34">
      <c r="A245" s="45" t="s">
        <v>119</v>
      </c>
      <c r="B245" s="45"/>
      <c r="C245" s="39">
        <v>0</v>
      </c>
      <c r="D245" s="40" t="s">
        <v>13</v>
      </c>
      <c r="E245" s="40" t="s">
        <v>109</v>
      </c>
      <c r="F245" s="45" t="s">
        <v>183</v>
      </c>
      <c r="G245" s="45"/>
      <c r="H245" s="40" t="s">
        <v>15</v>
      </c>
      <c r="I245" s="40" t="s">
        <v>215</v>
      </c>
      <c r="J245" s="45"/>
      <c r="K245" s="45"/>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row>
    <row r="246" spans="1:34">
      <c r="A246" s="45" t="s">
        <v>125</v>
      </c>
      <c r="B246" s="45"/>
      <c r="C246" s="39">
        <v>0</v>
      </c>
      <c r="D246" s="40" t="s">
        <v>13</v>
      </c>
      <c r="E246" s="40" t="s">
        <v>109</v>
      </c>
      <c r="F246" s="45" t="s">
        <v>183</v>
      </c>
      <c r="G246" s="45"/>
      <c r="H246" s="40" t="s">
        <v>15</v>
      </c>
      <c r="I246" s="40" t="s">
        <v>215</v>
      </c>
      <c r="J246" s="45"/>
      <c r="K246" s="45"/>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row>
    <row r="247" spans="1:34">
      <c r="A247" s="45" t="s">
        <v>216</v>
      </c>
      <c r="B247" s="45"/>
      <c r="C247" s="39">
        <v>0</v>
      </c>
      <c r="D247" s="40" t="s">
        <v>13</v>
      </c>
      <c r="E247" s="40" t="s">
        <v>109</v>
      </c>
      <c r="F247" s="45" t="s">
        <v>183</v>
      </c>
      <c r="G247" s="45"/>
      <c r="H247" s="40" t="s">
        <v>15</v>
      </c>
      <c r="I247" s="40" t="s">
        <v>215</v>
      </c>
      <c r="J247" s="45"/>
      <c r="K247" s="45"/>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row>
    <row r="248" spans="1:34">
      <c r="A248" s="45" t="s">
        <v>217</v>
      </c>
      <c r="B248" s="45"/>
      <c r="C248" s="39">
        <v>0</v>
      </c>
      <c r="D248" s="40" t="s">
        <v>13</v>
      </c>
      <c r="E248" s="40" t="s">
        <v>109</v>
      </c>
      <c r="F248" s="45" t="s">
        <v>183</v>
      </c>
      <c r="G248" s="45"/>
      <c r="H248" s="40" t="s">
        <v>15</v>
      </c>
      <c r="I248" s="40" t="s">
        <v>215</v>
      </c>
      <c r="J248" s="45"/>
      <c r="K248" s="45"/>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row>
    <row r="249" spans="1:34" s="64" customForma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row>
    <row r="250" spans="1:34">
      <c r="A250" s="38" t="s">
        <v>1</v>
      </c>
      <c r="B250" s="38" t="s">
        <v>201</v>
      </c>
      <c r="C250" s="39"/>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row>
    <row r="251" spans="1:34">
      <c r="A251" s="38" t="s">
        <v>11</v>
      </c>
      <c r="B251" s="40" t="s">
        <v>489</v>
      </c>
      <c r="C251" s="39"/>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row>
    <row r="252" spans="1:34">
      <c r="A252" s="38" t="s">
        <v>2</v>
      </c>
      <c r="B252" s="40" t="s">
        <v>29</v>
      </c>
      <c r="C252" s="39"/>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row>
    <row r="253" spans="1:34">
      <c r="A253" s="41" t="s">
        <v>4</v>
      </c>
      <c r="B253" s="40" t="s">
        <v>195</v>
      </c>
      <c r="C253" s="39"/>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row>
    <row r="254" spans="1:34">
      <c r="A254" s="38" t="s">
        <v>3</v>
      </c>
      <c r="B254" s="42">
        <v>1</v>
      </c>
      <c r="C254" s="42"/>
      <c r="D254" s="43"/>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row>
    <row r="255" spans="1:34">
      <c r="A255" s="38" t="s">
        <v>6</v>
      </c>
      <c r="B255" s="40" t="s">
        <v>128</v>
      </c>
      <c r="C255" s="39"/>
      <c r="D255" s="43"/>
      <c r="E255" s="40"/>
      <c r="F255" s="40"/>
      <c r="G255" s="40"/>
      <c r="H255" s="40"/>
      <c r="I255" s="40"/>
      <c r="J255" s="40"/>
      <c r="K255" s="47"/>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row>
    <row r="256" spans="1:34">
      <c r="A256" s="38" t="s">
        <v>76</v>
      </c>
      <c r="B256" s="40"/>
      <c r="C256" s="39"/>
      <c r="D256" s="43"/>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row>
    <row r="257" spans="1:34">
      <c r="A257" s="38" t="s">
        <v>7</v>
      </c>
      <c r="B257" s="40"/>
      <c r="C257" s="39"/>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row>
    <row r="258" spans="1:34">
      <c r="A258" s="38" t="s">
        <v>8</v>
      </c>
      <c r="B258" s="38" t="s">
        <v>4</v>
      </c>
      <c r="C258" s="44" t="s">
        <v>9</v>
      </c>
      <c r="D258" s="38" t="s">
        <v>6</v>
      </c>
      <c r="E258" s="38" t="s">
        <v>106</v>
      </c>
      <c r="F258" s="38" t="s">
        <v>10</v>
      </c>
      <c r="G258" s="38" t="s">
        <v>2</v>
      </c>
      <c r="H258" s="38" t="s">
        <v>5</v>
      </c>
      <c r="I258" s="38" t="s">
        <v>11</v>
      </c>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row>
    <row r="259" spans="1:34">
      <c r="A259" s="45" t="s">
        <v>201</v>
      </c>
      <c r="B259" s="45" t="s">
        <v>195</v>
      </c>
      <c r="C259" s="39">
        <v>1</v>
      </c>
      <c r="D259" s="40" t="s">
        <v>128</v>
      </c>
      <c r="E259" s="45" t="s">
        <v>196</v>
      </c>
      <c r="F259" s="45"/>
      <c r="G259" s="45" t="s">
        <v>29</v>
      </c>
      <c r="H259" s="45" t="s">
        <v>18</v>
      </c>
      <c r="I259" s="45"/>
      <c r="J259" s="45"/>
      <c r="K259" s="45"/>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row>
    <row r="260" spans="1:34">
      <c r="A260" s="45" t="s">
        <v>202</v>
      </c>
      <c r="B260" s="45" t="s">
        <v>203</v>
      </c>
      <c r="C260" s="39">
        <v>15.692759428778107</v>
      </c>
      <c r="D260" s="40" t="s">
        <v>13</v>
      </c>
      <c r="E260" s="45" t="s">
        <v>196</v>
      </c>
      <c r="F260" s="45"/>
      <c r="G260" s="45" t="s">
        <v>29</v>
      </c>
      <c r="H260" s="45" t="s">
        <v>12</v>
      </c>
      <c r="I260" s="45" t="s">
        <v>204</v>
      </c>
      <c r="J260" s="45"/>
      <c r="K260" s="45"/>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row>
    <row r="261" spans="1:34">
      <c r="A261" s="45" t="s">
        <v>28</v>
      </c>
      <c r="B261" s="45" t="s">
        <v>20</v>
      </c>
      <c r="C261" s="39">
        <v>0.13686158590383854</v>
      </c>
      <c r="D261" s="40" t="s">
        <v>19</v>
      </c>
      <c r="E261" s="45" t="s">
        <v>205</v>
      </c>
      <c r="F261" s="45"/>
      <c r="G261" s="45" t="s">
        <v>29</v>
      </c>
      <c r="H261" s="45" t="s">
        <v>12</v>
      </c>
      <c r="I261" s="45"/>
      <c r="J261" s="45"/>
      <c r="K261" s="45"/>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row>
    <row r="262" spans="1:34">
      <c r="A262" s="40" t="s">
        <v>206</v>
      </c>
      <c r="B262" s="45" t="s">
        <v>207</v>
      </c>
      <c r="C262" s="39">
        <v>3.2478194058327522E-7</v>
      </c>
      <c r="D262" s="40" t="s">
        <v>6</v>
      </c>
      <c r="E262" s="45" t="s">
        <v>205</v>
      </c>
      <c r="F262" s="45"/>
      <c r="G262" s="45" t="s">
        <v>208</v>
      </c>
      <c r="H262" s="45" t="s">
        <v>12</v>
      </c>
      <c r="I262" s="54"/>
      <c r="J262" s="45"/>
      <c r="K262" s="45"/>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row>
    <row r="263" spans="1:34">
      <c r="A263" s="45" t="s">
        <v>209</v>
      </c>
      <c r="B263" s="45" t="s">
        <v>210</v>
      </c>
      <c r="C263" s="39">
        <v>1.1858025387172218E-6</v>
      </c>
      <c r="D263" s="40" t="s">
        <v>6</v>
      </c>
      <c r="E263" s="45" t="s">
        <v>205</v>
      </c>
      <c r="F263" s="45"/>
      <c r="G263" s="45" t="s">
        <v>140</v>
      </c>
      <c r="H263" s="45" t="s">
        <v>12</v>
      </c>
      <c r="I263" s="40"/>
      <c r="J263" s="45"/>
      <c r="K263" s="45"/>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row>
    <row r="264" spans="1:34">
      <c r="A264" s="39" t="s">
        <v>197</v>
      </c>
      <c r="B264" s="40"/>
      <c r="C264" s="39">
        <v>2.2243910590121834</v>
      </c>
      <c r="D264" s="40" t="s">
        <v>13</v>
      </c>
      <c r="E264" s="40" t="s">
        <v>109</v>
      </c>
      <c r="F264" s="40" t="s">
        <v>198</v>
      </c>
      <c r="G264" s="40"/>
      <c r="H264" s="40" t="s">
        <v>15</v>
      </c>
      <c r="I264" s="40" t="s">
        <v>211</v>
      </c>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row>
    <row r="265" spans="1:34">
      <c r="A265" s="45" t="s">
        <v>212</v>
      </c>
      <c r="B265" s="45"/>
      <c r="C265" s="39">
        <v>0.2632929400988413</v>
      </c>
      <c r="D265" s="40" t="s">
        <v>13</v>
      </c>
      <c r="E265" s="40" t="s">
        <v>109</v>
      </c>
      <c r="F265" s="45" t="s">
        <v>183</v>
      </c>
      <c r="G265" s="45"/>
      <c r="H265" s="40" t="s">
        <v>15</v>
      </c>
      <c r="I265" s="40" t="s">
        <v>213</v>
      </c>
      <c r="J265" s="45"/>
      <c r="K265" s="45"/>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row>
    <row r="266" spans="1:34">
      <c r="A266" s="45" t="s">
        <v>184</v>
      </c>
      <c r="B266" s="45"/>
      <c r="C266" s="39">
        <v>1.3939813637531055E-2</v>
      </c>
      <c r="D266" s="40" t="s">
        <v>13</v>
      </c>
      <c r="E266" s="40" t="s">
        <v>109</v>
      </c>
      <c r="F266" s="45" t="s">
        <v>183</v>
      </c>
      <c r="G266" s="45"/>
      <c r="H266" s="40" t="s">
        <v>15</v>
      </c>
      <c r="I266" s="40" t="s">
        <v>213</v>
      </c>
      <c r="J266" s="45"/>
      <c r="K266" s="45"/>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row>
    <row r="267" spans="1:34">
      <c r="A267" s="45" t="s">
        <v>214</v>
      </c>
      <c r="B267" s="45"/>
      <c r="C267" s="39">
        <v>1.2515583871999998E-4</v>
      </c>
      <c r="D267" s="40" t="s">
        <v>13</v>
      </c>
      <c r="E267" s="40" t="s">
        <v>109</v>
      </c>
      <c r="F267" s="45" t="s">
        <v>183</v>
      </c>
      <c r="G267" s="45"/>
      <c r="H267" s="40" t="s">
        <v>15</v>
      </c>
      <c r="I267" s="40" t="s">
        <v>215</v>
      </c>
      <c r="J267" s="45"/>
      <c r="K267" s="45"/>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row>
    <row r="268" spans="1:34">
      <c r="A268" s="45" t="s">
        <v>115</v>
      </c>
      <c r="B268" s="45"/>
      <c r="C268" s="39">
        <v>6.5182656435999982E-6</v>
      </c>
      <c r="D268" s="40" t="s">
        <v>13</v>
      </c>
      <c r="E268" s="40" t="s">
        <v>109</v>
      </c>
      <c r="F268" s="45" t="s">
        <v>183</v>
      </c>
      <c r="G268" s="45"/>
      <c r="H268" s="40" t="s">
        <v>15</v>
      </c>
      <c r="I268" s="40" t="s">
        <v>215</v>
      </c>
      <c r="J268" s="45"/>
      <c r="K268" s="45"/>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row>
    <row r="269" spans="1:34">
      <c r="A269" s="45" t="s">
        <v>119</v>
      </c>
      <c r="B269" s="45"/>
      <c r="C269" s="39">
        <v>3.9108905687999992E-5</v>
      </c>
      <c r="D269" s="40" t="s">
        <v>13</v>
      </c>
      <c r="E269" s="40" t="s">
        <v>109</v>
      </c>
      <c r="F269" s="45" t="s">
        <v>183</v>
      </c>
      <c r="G269" s="45"/>
      <c r="H269" s="40" t="s">
        <v>15</v>
      </c>
      <c r="I269" s="40" t="s">
        <v>215</v>
      </c>
      <c r="J269" s="45"/>
      <c r="K269" s="45"/>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row>
    <row r="270" spans="1:34">
      <c r="A270" s="45" t="s">
        <v>125</v>
      </c>
      <c r="B270" s="45"/>
      <c r="C270" s="39">
        <v>6.5182656435999986E-5</v>
      </c>
      <c r="D270" s="40" t="s">
        <v>13</v>
      </c>
      <c r="E270" s="40" t="s">
        <v>109</v>
      </c>
      <c r="F270" s="45" t="s">
        <v>183</v>
      </c>
      <c r="G270" s="45"/>
      <c r="H270" s="40" t="s">
        <v>15</v>
      </c>
      <c r="I270" s="40" t="s">
        <v>215</v>
      </c>
      <c r="J270" s="45"/>
      <c r="K270" s="45"/>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row>
    <row r="271" spans="1:34">
      <c r="A271" s="45" t="s">
        <v>216</v>
      </c>
      <c r="B271" s="45"/>
      <c r="C271" s="39">
        <v>5.2146354539999984E-6</v>
      </c>
      <c r="D271" s="40" t="s">
        <v>13</v>
      </c>
      <c r="E271" s="40" t="s">
        <v>109</v>
      </c>
      <c r="F271" s="45" t="s">
        <v>183</v>
      </c>
      <c r="G271" s="45"/>
      <c r="H271" s="40" t="s">
        <v>15</v>
      </c>
      <c r="I271" s="40" t="s">
        <v>215</v>
      </c>
      <c r="J271" s="45"/>
      <c r="K271" s="45"/>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row>
    <row r="272" spans="1:34">
      <c r="A272" s="45" t="s">
        <v>217</v>
      </c>
      <c r="B272" s="45"/>
      <c r="C272" s="39">
        <v>1.8251510827999994E-11</v>
      </c>
      <c r="D272" s="40" t="s">
        <v>13</v>
      </c>
      <c r="E272" s="40" t="s">
        <v>109</v>
      </c>
      <c r="F272" s="45" t="s">
        <v>183</v>
      </c>
      <c r="G272" s="45"/>
      <c r="H272" s="40" t="s">
        <v>15</v>
      </c>
      <c r="I272" s="40" t="s">
        <v>215</v>
      </c>
      <c r="J272" s="45"/>
      <c r="K272" s="45"/>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row>
    <row r="273" spans="1:34" s="64" customFormat="1">
      <c r="A273" s="62"/>
      <c r="B273" s="62"/>
      <c r="C273" s="63"/>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row>
    <row r="274" spans="1:34">
      <c r="A274" s="38" t="s">
        <v>1</v>
      </c>
      <c r="B274" s="38" t="s">
        <v>218</v>
      </c>
      <c r="C274" s="39"/>
      <c r="D274" s="40"/>
      <c r="E274" s="40"/>
      <c r="F274" s="40"/>
      <c r="G274" s="40"/>
      <c r="H274" s="40"/>
      <c r="I274" s="40"/>
      <c r="J274" s="40"/>
    </row>
    <row r="275" spans="1:34">
      <c r="A275" s="38" t="s">
        <v>11</v>
      </c>
      <c r="B275" s="40" t="s">
        <v>490</v>
      </c>
      <c r="C275" s="39"/>
      <c r="D275" s="40"/>
      <c r="E275" s="40"/>
      <c r="F275" s="40"/>
      <c r="G275" s="40"/>
      <c r="H275" s="40"/>
      <c r="I275" s="40"/>
      <c r="J275" s="40"/>
    </row>
    <row r="276" spans="1:34">
      <c r="A276" s="38" t="s">
        <v>2</v>
      </c>
      <c r="B276" s="40" t="s">
        <v>29</v>
      </c>
      <c r="C276" s="39"/>
      <c r="D276" s="40"/>
      <c r="E276" s="40"/>
      <c r="F276" s="40"/>
      <c r="G276" s="40"/>
      <c r="H276" s="40"/>
      <c r="I276" s="40"/>
      <c r="J276" s="40"/>
    </row>
    <row r="277" spans="1:34">
      <c r="A277" s="41" t="s">
        <v>4</v>
      </c>
      <c r="B277" s="40" t="s">
        <v>195</v>
      </c>
      <c r="D277" s="40"/>
      <c r="E277" s="40"/>
      <c r="F277" s="40"/>
      <c r="G277" s="40"/>
      <c r="H277" s="40"/>
      <c r="I277" s="40"/>
      <c r="J277" s="40"/>
    </row>
    <row r="278" spans="1:34">
      <c r="A278" s="38" t="s">
        <v>3</v>
      </c>
      <c r="B278" s="42">
        <v>1</v>
      </c>
      <c r="C278" s="39"/>
      <c r="D278" s="40"/>
      <c r="E278" s="40"/>
      <c r="F278" s="40"/>
      <c r="G278" s="40"/>
      <c r="H278" s="40"/>
      <c r="I278" s="40"/>
      <c r="J278" s="40"/>
    </row>
    <row r="279" spans="1:34">
      <c r="A279" s="38" t="s">
        <v>6</v>
      </c>
      <c r="B279" s="40" t="s">
        <v>128</v>
      </c>
      <c r="C279" s="39"/>
      <c r="D279" s="40"/>
      <c r="E279" s="40"/>
      <c r="F279" s="40"/>
      <c r="G279" s="40"/>
      <c r="H279" s="40"/>
      <c r="I279" s="40"/>
      <c r="J279" s="40"/>
    </row>
    <row r="280" spans="1:34">
      <c r="A280" s="38" t="s">
        <v>76</v>
      </c>
      <c r="B280" s="40"/>
      <c r="C280" s="39"/>
      <c r="D280" s="43"/>
      <c r="E280" s="40"/>
      <c r="F280" s="40"/>
      <c r="G280" s="40"/>
      <c r="H280" s="40"/>
      <c r="I280" s="40"/>
      <c r="J280" s="40"/>
    </row>
    <row r="281" spans="1:34">
      <c r="A281" s="38" t="s">
        <v>7</v>
      </c>
      <c r="B281" s="40"/>
      <c r="C281" s="39"/>
      <c r="D281" s="40"/>
      <c r="E281" s="40"/>
      <c r="F281" s="40"/>
      <c r="G281" s="40"/>
      <c r="H281" s="40"/>
      <c r="I281" s="40"/>
      <c r="J281" s="40"/>
    </row>
    <row r="282" spans="1:34">
      <c r="A282" s="38" t="s">
        <v>8</v>
      </c>
      <c r="B282" s="38" t="s">
        <v>4</v>
      </c>
      <c r="C282" s="44" t="s">
        <v>9</v>
      </c>
      <c r="D282" s="38" t="s">
        <v>6</v>
      </c>
      <c r="E282" s="38" t="s">
        <v>106</v>
      </c>
      <c r="F282" s="38" t="s">
        <v>10</v>
      </c>
      <c r="G282" s="38" t="s">
        <v>2</v>
      </c>
      <c r="H282" s="38" t="s">
        <v>5</v>
      </c>
      <c r="I282" s="38" t="s">
        <v>11</v>
      </c>
      <c r="J282" s="40"/>
    </row>
    <row r="283" spans="1:34">
      <c r="A283" s="45" t="s">
        <v>218</v>
      </c>
      <c r="B283" s="45" t="s">
        <v>195</v>
      </c>
      <c r="C283" s="46">
        <v>1</v>
      </c>
      <c r="D283" s="40" t="s">
        <v>128</v>
      </c>
      <c r="E283" s="45" t="s">
        <v>196</v>
      </c>
      <c r="F283" s="45"/>
      <c r="G283" s="45" t="s">
        <v>29</v>
      </c>
      <c r="H283" s="45" t="s">
        <v>18</v>
      </c>
      <c r="I283" s="45"/>
      <c r="J283" s="45"/>
    </row>
    <row r="284" spans="1:34">
      <c r="A284" s="45" t="s">
        <v>219</v>
      </c>
      <c r="B284" s="45" t="s">
        <v>220</v>
      </c>
      <c r="C284" s="46">
        <v>6.2600027252774755</v>
      </c>
      <c r="D284" s="40" t="s">
        <v>13</v>
      </c>
      <c r="E284" s="45" t="s">
        <v>196</v>
      </c>
      <c r="F284" s="45"/>
      <c r="G284" s="45" t="s">
        <v>29</v>
      </c>
      <c r="H284" s="45" t="s">
        <v>12</v>
      </c>
      <c r="I284" s="45" t="s">
        <v>221</v>
      </c>
      <c r="J284" s="45"/>
    </row>
    <row r="285" spans="1:34">
      <c r="A285" s="45" t="s">
        <v>28</v>
      </c>
      <c r="B285" s="45" t="s">
        <v>20</v>
      </c>
      <c r="C285" s="46">
        <v>0.14149097282644188</v>
      </c>
      <c r="D285" s="40" t="s">
        <v>19</v>
      </c>
      <c r="E285" s="45" t="s">
        <v>205</v>
      </c>
      <c r="F285" s="45"/>
      <c r="G285" s="45" t="s">
        <v>29</v>
      </c>
      <c r="H285" s="45" t="s">
        <v>12</v>
      </c>
      <c r="I285" s="45"/>
      <c r="J285" s="45"/>
      <c r="K285" s="45"/>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row>
    <row r="286" spans="1:34">
      <c r="A286" s="40" t="s">
        <v>206</v>
      </c>
      <c r="B286" s="45" t="s">
        <v>207</v>
      </c>
      <c r="C286" s="39">
        <v>3.2478194058327522E-7</v>
      </c>
      <c r="D286" s="40" t="s">
        <v>6</v>
      </c>
      <c r="E286" s="45" t="s">
        <v>205</v>
      </c>
      <c r="F286" s="45"/>
      <c r="G286" s="45" t="s">
        <v>208</v>
      </c>
      <c r="H286" s="45" t="s">
        <v>12</v>
      </c>
      <c r="I286" s="54"/>
      <c r="J286" s="45"/>
      <c r="K286" s="45"/>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row>
    <row r="287" spans="1:34">
      <c r="A287" s="45" t="s">
        <v>209</v>
      </c>
      <c r="B287" s="45" t="s">
        <v>210</v>
      </c>
      <c r="C287" s="39">
        <v>1.2259126889049042E-6</v>
      </c>
      <c r="D287" s="40" t="s">
        <v>6</v>
      </c>
      <c r="E287" s="45" t="s">
        <v>205</v>
      </c>
      <c r="F287" s="45"/>
      <c r="G287" s="45" t="s">
        <v>140</v>
      </c>
      <c r="H287" s="45" t="s">
        <v>12</v>
      </c>
      <c r="I287" s="45" t="s">
        <v>222</v>
      </c>
      <c r="J287" s="45"/>
      <c r="K287" s="45"/>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row>
    <row r="288" spans="1:34">
      <c r="A288" s="39" t="s">
        <v>197</v>
      </c>
      <c r="B288" s="40"/>
      <c r="C288" s="46">
        <v>2.2505808627236248</v>
      </c>
      <c r="D288" s="40" t="s">
        <v>13</v>
      </c>
      <c r="E288" s="40" t="s">
        <v>109</v>
      </c>
      <c r="F288" s="40" t="s">
        <v>198</v>
      </c>
      <c r="G288" s="40"/>
      <c r="H288" s="40" t="s">
        <v>15</v>
      </c>
      <c r="I288" s="40" t="s">
        <v>211</v>
      </c>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row>
    <row r="289" spans="1:34">
      <c r="A289" s="45" t="s">
        <v>212</v>
      </c>
      <c r="B289" s="45"/>
      <c r="C289" s="46">
        <v>0.26554760117984672</v>
      </c>
      <c r="D289" s="40" t="s">
        <v>13</v>
      </c>
      <c r="E289" s="40" t="s">
        <v>109</v>
      </c>
      <c r="F289" s="45" t="s">
        <v>183</v>
      </c>
      <c r="G289" s="45"/>
      <c r="H289" s="40" t="s">
        <v>15</v>
      </c>
      <c r="I289" s="40" t="s">
        <v>213</v>
      </c>
      <c r="J289" s="45"/>
      <c r="K289" s="45"/>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row>
    <row r="290" spans="1:34">
      <c r="A290" s="45" t="s">
        <v>184</v>
      </c>
      <c r="B290" s="45"/>
      <c r="C290" s="46">
        <v>1.4411332292900546E-2</v>
      </c>
      <c r="D290" s="40" t="s">
        <v>13</v>
      </c>
      <c r="E290" s="40" t="s">
        <v>109</v>
      </c>
      <c r="F290" s="45" t="s">
        <v>183</v>
      </c>
      <c r="G290" s="45"/>
      <c r="H290" s="40" t="s">
        <v>15</v>
      </c>
      <c r="I290" s="40" t="s">
        <v>213</v>
      </c>
      <c r="J290" s="45"/>
      <c r="K290" s="45"/>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row>
    <row r="291" spans="1:34">
      <c r="A291" s="45" t="s">
        <v>214</v>
      </c>
      <c r="B291" s="45"/>
      <c r="C291" s="39">
        <v>1.2515583872E-4</v>
      </c>
      <c r="D291" s="40" t="s">
        <v>13</v>
      </c>
      <c r="E291" s="40" t="s">
        <v>109</v>
      </c>
      <c r="F291" s="45" t="s">
        <v>183</v>
      </c>
      <c r="G291" s="45"/>
      <c r="H291" s="40" t="s">
        <v>15</v>
      </c>
      <c r="I291" s="40" t="s">
        <v>215</v>
      </c>
      <c r="J291" s="45"/>
      <c r="K291" s="45"/>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row>
    <row r="292" spans="1:34">
      <c r="A292" s="45" t="s">
        <v>115</v>
      </c>
      <c r="B292" s="45"/>
      <c r="C292" s="39">
        <v>6.5182656435999991E-6</v>
      </c>
      <c r="D292" s="40" t="s">
        <v>13</v>
      </c>
      <c r="E292" s="40" t="s">
        <v>109</v>
      </c>
      <c r="F292" s="45" t="s">
        <v>183</v>
      </c>
      <c r="G292" s="45"/>
      <c r="H292" s="40" t="s">
        <v>15</v>
      </c>
      <c r="I292" s="40" t="s">
        <v>215</v>
      </c>
      <c r="J292" s="45"/>
      <c r="K292" s="45"/>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row>
    <row r="293" spans="1:34">
      <c r="A293" s="45" t="s">
        <v>119</v>
      </c>
      <c r="B293" s="45"/>
      <c r="C293" s="39">
        <v>3.9108905687999992E-5</v>
      </c>
      <c r="D293" s="40" t="s">
        <v>13</v>
      </c>
      <c r="E293" s="40" t="s">
        <v>109</v>
      </c>
      <c r="F293" s="45" t="s">
        <v>183</v>
      </c>
      <c r="G293" s="45"/>
      <c r="H293" s="40" t="s">
        <v>15</v>
      </c>
      <c r="I293" s="40" t="s">
        <v>215</v>
      </c>
      <c r="J293" s="45"/>
      <c r="K293" s="45"/>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row>
    <row r="294" spans="1:34">
      <c r="A294" s="45" t="s">
        <v>125</v>
      </c>
      <c r="B294" s="45"/>
      <c r="C294" s="39">
        <v>6.5182656435999999E-5</v>
      </c>
      <c r="D294" s="40" t="s">
        <v>13</v>
      </c>
      <c r="E294" s="40" t="s">
        <v>109</v>
      </c>
      <c r="F294" s="45" t="s">
        <v>183</v>
      </c>
      <c r="G294" s="45"/>
      <c r="H294" s="40" t="s">
        <v>15</v>
      </c>
      <c r="I294" s="40" t="s">
        <v>215</v>
      </c>
      <c r="J294" s="45"/>
      <c r="K294" s="45"/>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row>
    <row r="295" spans="1:34">
      <c r="A295" s="45" t="s">
        <v>216</v>
      </c>
      <c r="B295" s="45"/>
      <c r="C295" s="39">
        <v>5.2146354539999992E-6</v>
      </c>
      <c r="D295" s="40" t="s">
        <v>13</v>
      </c>
      <c r="E295" s="40" t="s">
        <v>109</v>
      </c>
      <c r="F295" s="45" t="s">
        <v>183</v>
      </c>
      <c r="G295" s="45"/>
      <c r="H295" s="40" t="s">
        <v>15</v>
      </c>
      <c r="I295" s="40" t="s">
        <v>215</v>
      </c>
      <c r="J295" s="45"/>
      <c r="K295" s="45"/>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row>
    <row r="296" spans="1:34">
      <c r="A296" s="45" t="s">
        <v>217</v>
      </c>
      <c r="B296" s="45"/>
      <c r="C296" s="39">
        <v>1.8251510827999997E-11</v>
      </c>
      <c r="D296" s="40" t="s">
        <v>13</v>
      </c>
      <c r="E296" s="40" t="s">
        <v>109</v>
      </c>
      <c r="F296" s="45" t="s">
        <v>183</v>
      </c>
      <c r="G296" s="45"/>
      <c r="H296" s="40" t="s">
        <v>15</v>
      </c>
      <c r="I296" s="40" t="s">
        <v>215</v>
      </c>
      <c r="J296" s="45"/>
      <c r="K296" s="45"/>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row>
    <row r="297" spans="1:34" s="64" customFormat="1">
      <c r="A297" s="62"/>
      <c r="B297" s="62"/>
      <c r="C297" s="63"/>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row>
    <row r="298" spans="1:34">
      <c r="A298" s="38" t="s">
        <v>1</v>
      </c>
      <c r="B298" s="38" t="s">
        <v>223</v>
      </c>
      <c r="C298" s="39"/>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row>
    <row r="299" spans="1:34">
      <c r="A299" s="38" t="s">
        <v>11</v>
      </c>
      <c r="B299" s="40" t="s">
        <v>491</v>
      </c>
      <c r="C299" s="39"/>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row>
    <row r="300" spans="1:34">
      <c r="A300" s="38" t="s">
        <v>2</v>
      </c>
      <c r="B300" s="40" t="s">
        <v>29</v>
      </c>
      <c r="C300" s="39"/>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row>
    <row r="301" spans="1:34">
      <c r="A301" s="41" t="s">
        <v>4</v>
      </c>
      <c r="B301" s="40" t="s">
        <v>195</v>
      </c>
      <c r="C301" s="39"/>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row>
    <row r="302" spans="1:34">
      <c r="A302" s="38" t="s">
        <v>3</v>
      </c>
      <c r="B302" s="42">
        <v>1</v>
      </c>
      <c r="C302" s="39"/>
      <c r="D302" s="43"/>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row>
    <row r="303" spans="1:34">
      <c r="A303" s="38" t="s">
        <v>6</v>
      </c>
      <c r="B303" s="40" t="s">
        <v>128</v>
      </c>
      <c r="C303" s="39"/>
      <c r="D303" s="43"/>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row>
    <row r="304" spans="1:34">
      <c r="A304" s="38" t="s">
        <v>76</v>
      </c>
      <c r="B304" s="40"/>
      <c r="C304" s="39"/>
      <c r="D304" s="43"/>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row>
    <row r="305" spans="1:34">
      <c r="A305" s="38" t="s">
        <v>7</v>
      </c>
      <c r="B305" s="40"/>
      <c r="C305" s="39"/>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row>
    <row r="306" spans="1:34">
      <c r="A306" s="38" t="s">
        <v>8</v>
      </c>
      <c r="B306" s="38" t="s">
        <v>4</v>
      </c>
      <c r="C306" s="44" t="s">
        <v>9</v>
      </c>
      <c r="D306" s="38" t="s">
        <v>6</v>
      </c>
      <c r="E306" s="38" t="s">
        <v>106</v>
      </c>
      <c r="F306" s="38" t="s">
        <v>10</v>
      </c>
      <c r="G306" s="38" t="s">
        <v>2</v>
      </c>
      <c r="H306" s="38" t="s">
        <v>5</v>
      </c>
      <c r="I306" s="38" t="s">
        <v>11</v>
      </c>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row>
    <row r="307" spans="1:34">
      <c r="A307" s="45" t="s">
        <v>223</v>
      </c>
      <c r="B307" s="45" t="s">
        <v>195</v>
      </c>
      <c r="C307" s="46">
        <v>1</v>
      </c>
      <c r="D307" s="40" t="s">
        <v>128</v>
      </c>
      <c r="E307" s="45" t="s">
        <v>196</v>
      </c>
      <c r="F307" s="45"/>
      <c r="G307" s="45" t="s">
        <v>29</v>
      </c>
      <c r="H307" s="45" t="s">
        <v>18</v>
      </c>
      <c r="I307" s="45"/>
      <c r="J307" s="45"/>
      <c r="K307" s="45"/>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row>
    <row r="308" spans="1:34">
      <c r="A308" s="40" t="s">
        <v>442</v>
      </c>
      <c r="B308" s="40" t="s">
        <v>441</v>
      </c>
      <c r="C308" s="46">
        <v>5.2260830394610069</v>
      </c>
      <c r="D308" s="40" t="s">
        <v>13</v>
      </c>
      <c r="E308" s="45" t="s">
        <v>196</v>
      </c>
      <c r="F308" s="40"/>
      <c r="G308" s="45" t="s">
        <v>29</v>
      </c>
      <c r="H308" s="40" t="s">
        <v>12</v>
      </c>
      <c r="I308" s="45" t="s">
        <v>221</v>
      </c>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row>
    <row r="309" spans="1:34">
      <c r="A309" s="45" t="s">
        <v>28</v>
      </c>
      <c r="B309" s="45" t="s">
        <v>20</v>
      </c>
      <c r="C309" s="46">
        <v>0.14257531854349526</v>
      </c>
      <c r="D309" s="40" t="s">
        <v>19</v>
      </c>
      <c r="E309" s="45" t="s">
        <v>205</v>
      </c>
      <c r="F309" s="45"/>
      <c r="G309" s="45" t="s">
        <v>29</v>
      </c>
      <c r="H309" s="45" t="s">
        <v>12</v>
      </c>
      <c r="I309" s="45"/>
      <c r="J309" s="45"/>
      <c r="K309" s="45"/>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row>
    <row r="310" spans="1:34">
      <c r="A310" s="40" t="s">
        <v>206</v>
      </c>
      <c r="B310" s="45" t="s">
        <v>207</v>
      </c>
      <c r="C310" s="39">
        <v>3.2478194058327522E-7</v>
      </c>
      <c r="D310" s="40" t="s">
        <v>6</v>
      </c>
      <c r="E310" s="45" t="s">
        <v>205</v>
      </c>
      <c r="F310" s="45"/>
      <c r="G310" s="45" t="s">
        <v>208</v>
      </c>
      <c r="H310" s="45" t="s">
        <v>12</v>
      </c>
      <c r="I310" s="54"/>
      <c r="J310" s="45"/>
      <c r="K310" s="45"/>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row>
    <row r="311" spans="1:34">
      <c r="A311" s="45" t="s">
        <v>209</v>
      </c>
      <c r="B311" s="45" t="s">
        <v>210</v>
      </c>
      <c r="C311" s="39">
        <v>1.2353077276634966E-6</v>
      </c>
      <c r="D311" s="40" t="s">
        <v>6</v>
      </c>
      <c r="E311" s="45" t="s">
        <v>205</v>
      </c>
      <c r="F311" s="45"/>
      <c r="G311" s="45" t="s">
        <v>140</v>
      </c>
      <c r="H311" s="45" t="s">
        <v>12</v>
      </c>
      <c r="I311" s="45" t="s">
        <v>222</v>
      </c>
      <c r="J311" s="45"/>
      <c r="K311" s="45"/>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row>
    <row r="312" spans="1:34">
      <c r="A312" s="39" t="s">
        <v>197</v>
      </c>
      <c r="B312" s="40"/>
      <c r="C312" s="46">
        <v>2.2511077672142359</v>
      </c>
      <c r="D312" s="40" t="s">
        <v>13</v>
      </c>
      <c r="E312" s="40" t="s">
        <v>109</v>
      </c>
      <c r="F312" s="40" t="s">
        <v>198</v>
      </c>
      <c r="G312" s="40"/>
      <c r="H312" s="40" t="s">
        <v>15</v>
      </c>
      <c r="I312" s="40" t="s">
        <v>211</v>
      </c>
    </row>
    <row r="313" spans="1:34">
      <c r="A313" s="45" t="s">
        <v>212</v>
      </c>
      <c r="B313" s="48"/>
      <c r="C313" s="46">
        <v>0.2653153277009781</v>
      </c>
      <c r="D313" s="40" t="s">
        <v>13</v>
      </c>
      <c r="E313" s="40" t="s">
        <v>109</v>
      </c>
      <c r="F313" s="45" t="s">
        <v>183</v>
      </c>
      <c r="G313" s="45"/>
      <c r="H313" s="40" t="s">
        <v>15</v>
      </c>
      <c r="I313" s="40" t="s">
        <v>213</v>
      </c>
    </row>
    <row r="314" spans="1:34">
      <c r="A314" s="45" t="s">
        <v>184</v>
      </c>
      <c r="B314" s="45"/>
      <c r="C314" s="46">
        <v>1.4521776557553446E-2</v>
      </c>
      <c r="D314" s="40" t="s">
        <v>13</v>
      </c>
      <c r="E314" s="40" t="s">
        <v>109</v>
      </c>
      <c r="F314" s="45" t="s">
        <v>183</v>
      </c>
      <c r="G314" s="45"/>
      <c r="H314" s="40" t="s">
        <v>15</v>
      </c>
      <c r="I314" s="40" t="s">
        <v>213</v>
      </c>
    </row>
    <row r="315" spans="1:34">
      <c r="A315" s="45" t="s">
        <v>214</v>
      </c>
      <c r="B315" s="45"/>
      <c r="C315" s="39">
        <v>1.2515583872E-4</v>
      </c>
      <c r="D315" s="40" t="s">
        <v>13</v>
      </c>
      <c r="E315" s="40" t="s">
        <v>109</v>
      </c>
      <c r="F315" s="45" t="s">
        <v>183</v>
      </c>
      <c r="G315" s="45"/>
      <c r="H315" s="40" t="s">
        <v>15</v>
      </c>
      <c r="I315" s="40" t="s">
        <v>215</v>
      </c>
      <c r="J315" s="45"/>
      <c r="K315" s="45"/>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row>
    <row r="316" spans="1:34">
      <c r="A316" s="45" t="s">
        <v>115</v>
      </c>
      <c r="B316" s="45"/>
      <c r="C316" s="39">
        <v>6.5182656435999991E-6</v>
      </c>
      <c r="D316" s="40" t="s">
        <v>13</v>
      </c>
      <c r="E316" s="40" t="s">
        <v>109</v>
      </c>
      <c r="F316" s="45" t="s">
        <v>183</v>
      </c>
      <c r="G316" s="45"/>
      <c r="H316" s="40" t="s">
        <v>15</v>
      </c>
      <c r="I316" s="40" t="s">
        <v>215</v>
      </c>
      <c r="J316" s="45"/>
      <c r="K316" s="45"/>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row>
    <row r="317" spans="1:34">
      <c r="A317" s="45" t="s">
        <v>119</v>
      </c>
      <c r="B317" s="45"/>
      <c r="C317" s="39">
        <v>3.9108905687999992E-5</v>
      </c>
      <c r="D317" s="40" t="s">
        <v>13</v>
      </c>
      <c r="E317" s="40" t="s">
        <v>109</v>
      </c>
      <c r="F317" s="45" t="s">
        <v>183</v>
      </c>
      <c r="G317" s="45"/>
      <c r="H317" s="40" t="s">
        <v>15</v>
      </c>
      <c r="I317" s="40" t="s">
        <v>215</v>
      </c>
      <c r="J317" s="45"/>
      <c r="K317" s="45"/>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row>
    <row r="318" spans="1:34">
      <c r="A318" s="45" t="s">
        <v>125</v>
      </c>
      <c r="B318" s="45"/>
      <c r="C318" s="39">
        <v>6.5182656435999999E-5</v>
      </c>
      <c r="D318" s="40" t="s">
        <v>13</v>
      </c>
      <c r="E318" s="40" t="s">
        <v>109</v>
      </c>
      <c r="F318" s="45" t="s">
        <v>183</v>
      </c>
      <c r="G318" s="45"/>
      <c r="H318" s="40" t="s">
        <v>15</v>
      </c>
      <c r="I318" s="40" t="s">
        <v>215</v>
      </c>
      <c r="J318" s="45"/>
      <c r="K318" s="45"/>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row>
    <row r="319" spans="1:34">
      <c r="A319" s="45" t="s">
        <v>216</v>
      </c>
      <c r="B319" s="45"/>
      <c r="C319" s="39">
        <v>5.2146354539999992E-6</v>
      </c>
      <c r="D319" s="40" t="s">
        <v>13</v>
      </c>
      <c r="E319" s="40" t="s">
        <v>109</v>
      </c>
      <c r="F319" s="45" t="s">
        <v>183</v>
      </c>
      <c r="G319" s="45"/>
      <c r="H319" s="40" t="s">
        <v>15</v>
      </c>
      <c r="I319" s="40" t="s">
        <v>215</v>
      </c>
      <c r="J319" s="45"/>
      <c r="K319" s="45"/>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row>
    <row r="320" spans="1:34">
      <c r="A320" s="45" t="s">
        <v>217</v>
      </c>
      <c r="B320" s="45"/>
      <c r="C320" s="39">
        <v>1.8251510827999997E-11</v>
      </c>
      <c r="D320" s="40" t="s">
        <v>13</v>
      </c>
      <c r="E320" s="40" t="s">
        <v>109</v>
      </c>
      <c r="F320" s="45" t="s">
        <v>183</v>
      </c>
      <c r="G320" s="45"/>
      <c r="H320" s="40" t="s">
        <v>15</v>
      </c>
      <c r="I320" s="40" t="s">
        <v>215</v>
      </c>
      <c r="J320" s="45"/>
      <c r="K320" s="45"/>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row>
    <row r="321" spans="1:34" s="64" customFormat="1">
      <c r="A321" s="62"/>
      <c r="B321" s="62"/>
      <c r="C321" s="63"/>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row>
    <row r="322" spans="1:34">
      <c r="A322" s="38" t="s">
        <v>1</v>
      </c>
      <c r="B322" s="38" t="s">
        <v>224</v>
      </c>
      <c r="C322" s="39"/>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row>
    <row r="323" spans="1:34">
      <c r="A323" s="38" t="s">
        <v>11</v>
      </c>
      <c r="B323" s="40" t="s">
        <v>492</v>
      </c>
      <c r="C323" s="39"/>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row>
    <row r="324" spans="1:34">
      <c r="A324" s="38" t="s">
        <v>2</v>
      </c>
      <c r="B324" s="40" t="s">
        <v>29</v>
      </c>
      <c r="C324" s="39"/>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row>
    <row r="325" spans="1:34">
      <c r="A325" s="41" t="s">
        <v>4</v>
      </c>
      <c r="B325" s="40" t="s">
        <v>195</v>
      </c>
      <c r="C325" s="39"/>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row>
    <row r="326" spans="1:34">
      <c r="A326" s="38" t="s">
        <v>3</v>
      </c>
      <c r="B326" s="42">
        <v>1</v>
      </c>
      <c r="C326" s="39"/>
      <c r="D326" s="43"/>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row>
    <row r="327" spans="1:34">
      <c r="A327" s="38" t="s">
        <v>6</v>
      </c>
      <c r="B327" s="40" t="s">
        <v>128</v>
      </c>
      <c r="C327" s="39"/>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row>
    <row r="328" spans="1:34">
      <c r="A328" s="38" t="s">
        <v>76</v>
      </c>
      <c r="B328" s="40"/>
      <c r="C328" s="39"/>
      <c r="D328" s="43"/>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row>
    <row r="329" spans="1:34">
      <c r="A329" s="38" t="s">
        <v>7</v>
      </c>
      <c r="B329" s="40"/>
      <c r="C329" s="39"/>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row>
    <row r="330" spans="1:34">
      <c r="A330" s="38" t="s">
        <v>8</v>
      </c>
      <c r="B330" s="38" t="s">
        <v>4</v>
      </c>
      <c r="C330" s="44" t="s">
        <v>9</v>
      </c>
      <c r="D330" s="38" t="s">
        <v>6</v>
      </c>
      <c r="E330" s="38" t="s">
        <v>106</v>
      </c>
      <c r="F330" s="38" t="s">
        <v>10</v>
      </c>
      <c r="G330" s="38" t="s">
        <v>2</v>
      </c>
      <c r="H330" s="38" t="s">
        <v>5</v>
      </c>
      <c r="I330" s="38" t="s">
        <v>11</v>
      </c>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row>
    <row r="331" spans="1:34">
      <c r="A331" s="45" t="s">
        <v>224</v>
      </c>
      <c r="B331" s="45" t="s">
        <v>195</v>
      </c>
      <c r="C331" s="46">
        <v>1</v>
      </c>
      <c r="D331" s="40" t="s">
        <v>128</v>
      </c>
      <c r="E331" s="45"/>
      <c r="F331" s="45"/>
      <c r="G331" s="45" t="s">
        <v>29</v>
      </c>
      <c r="H331" s="45" t="s">
        <v>18</v>
      </c>
      <c r="I331" s="45"/>
      <c r="J331" s="45"/>
      <c r="K331" s="45"/>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row>
    <row r="332" spans="1:34">
      <c r="A332" s="40" t="s">
        <v>225</v>
      </c>
      <c r="B332" s="40" t="s">
        <v>226</v>
      </c>
      <c r="C332" s="46">
        <v>6.1033141160126458</v>
      </c>
      <c r="D332" s="40" t="s">
        <v>13</v>
      </c>
      <c r="E332" s="45"/>
      <c r="F332" s="40"/>
      <c r="G332" s="45" t="s">
        <v>29</v>
      </c>
      <c r="H332" s="40" t="s">
        <v>12</v>
      </c>
      <c r="I332" s="45" t="s">
        <v>221</v>
      </c>
      <c r="J332" s="40"/>
      <c r="K332" s="45"/>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row>
    <row r="333" spans="1:34">
      <c r="A333" s="45" t="s">
        <v>28</v>
      </c>
      <c r="B333" s="45" t="s">
        <v>20</v>
      </c>
      <c r="C333" s="46">
        <v>0.14208273740759059</v>
      </c>
      <c r="D333" s="40" t="s">
        <v>19</v>
      </c>
      <c r="E333" s="45" t="s">
        <v>205</v>
      </c>
      <c r="F333" s="45"/>
      <c r="G333" s="45" t="s">
        <v>29</v>
      </c>
      <c r="H333" s="45" t="s">
        <v>12</v>
      </c>
      <c r="I333" s="45"/>
      <c r="J333" s="45"/>
    </row>
    <row r="334" spans="1:34">
      <c r="A334" s="40" t="s">
        <v>206</v>
      </c>
      <c r="B334" s="45" t="s">
        <v>207</v>
      </c>
      <c r="C334" s="39">
        <v>3.2478194058327522E-7</v>
      </c>
      <c r="D334" s="40" t="s">
        <v>6</v>
      </c>
      <c r="E334" s="45" t="s">
        <v>205</v>
      </c>
      <c r="F334" s="45"/>
      <c r="G334" s="45" t="s">
        <v>208</v>
      </c>
      <c r="H334" s="45" t="s">
        <v>12</v>
      </c>
      <c r="I334" s="54"/>
      <c r="J334" s="45"/>
    </row>
    <row r="335" spans="1:34">
      <c r="A335" s="45" t="s">
        <v>209</v>
      </c>
      <c r="B335" s="45" t="s">
        <v>210</v>
      </c>
      <c r="C335" s="39">
        <v>1.2310398832013525E-6</v>
      </c>
      <c r="D335" s="40" t="s">
        <v>6</v>
      </c>
      <c r="E335" s="45" t="s">
        <v>205</v>
      </c>
      <c r="F335" s="45"/>
      <c r="G335" s="45" t="s">
        <v>140</v>
      </c>
      <c r="H335" s="45" t="s">
        <v>12</v>
      </c>
      <c r="I335" s="45" t="s">
        <v>222</v>
      </c>
      <c r="J335" s="45"/>
    </row>
    <row r="336" spans="1:34">
      <c r="A336" s="39" t="s">
        <v>197</v>
      </c>
      <c r="B336" s="40"/>
      <c r="C336" s="46">
        <v>2.2503243742142924</v>
      </c>
      <c r="D336" s="40" t="s">
        <v>13</v>
      </c>
      <c r="E336" s="40" t="s">
        <v>109</v>
      </c>
      <c r="F336" s="40" t="s">
        <v>198</v>
      </c>
      <c r="G336" s="40"/>
      <c r="H336" s="40" t="s">
        <v>15</v>
      </c>
      <c r="I336" s="40" t="s">
        <v>211</v>
      </c>
    </row>
    <row r="337" spans="1:34">
      <c r="A337" s="45" t="s">
        <v>212</v>
      </c>
      <c r="B337" s="48"/>
      <c r="C337" s="46">
        <v>0.26534706999299229</v>
      </c>
      <c r="D337" s="40" t="s">
        <v>13</v>
      </c>
      <c r="E337" s="40" t="s">
        <v>109</v>
      </c>
      <c r="F337" s="45" t="s">
        <v>183</v>
      </c>
      <c r="G337" s="45"/>
      <c r="H337" s="40" t="s">
        <v>15</v>
      </c>
      <c r="I337" s="40" t="s">
        <v>213</v>
      </c>
    </row>
    <row r="338" spans="1:34">
      <c r="A338" s="45" t="s">
        <v>184</v>
      </c>
      <c r="B338" s="45"/>
      <c r="C338" s="46">
        <v>1.4471605509260181E-2</v>
      </c>
      <c r="D338" s="40" t="s">
        <v>13</v>
      </c>
      <c r="E338" s="40" t="s">
        <v>109</v>
      </c>
      <c r="F338" s="45" t="s">
        <v>183</v>
      </c>
      <c r="G338" s="45"/>
      <c r="H338" s="40" t="s">
        <v>15</v>
      </c>
      <c r="I338" s="40" t="s">
        <v>213</v>
      </c>
    </row>
    <row r="339" spans="1:34">
      <c r="A339" s="45" t="s">
        <v>214</v>
      </c>
      <c r="B339" s="45"/>
      <c r="C339" s="39">
        <v>1.2515583871999998E-4</v>
      </c>
      <c r="D339" s="40" t="s">
        <v>13</v>
      </c>
      <c r="E339" s="40" t="s">
        <v>109</v>
      </c>
      <c r="F339" s="45" t="s">
        <v>183</v>
      </c>
      <c r="G339" s="45"/>
      <c r="H339" s="40" t="s">
        <v>15</v>
      </c>
      <c r="I339" s="40" t="s">
        <v>215</v>
      </c>
      <c r="J339" s="45"/>
    </row>
    <row r="340" spans="1:34">
      <c r="A340" s="45" t="s">
        <v>115</v>
      </c>
      <c r="B340" s="45"/>
      <c r="C340" s="39">
        <v>6.5182656435999982E-6</v>
      </c>
      <c r="D340" s="40" t="s">
        <v>13</v>
      </c>
      <c r="E340" s="40" t="s">
        <v>109</v>
      </c>
      <c r="F340" s="45" t="s">
        <v>183</v>
      </c>
      <c r="G340" s="45"/>
      <c r="H340" s="40" t="s">
        <v>15</v>
      </c>
      <c r="I340" s="40" t="s">
        <v>215</v>
      </c>
      <c r="J340" s="45"/>
    </row>
    <row r="341" spans="1:34">
      <c r="A341" s="45" t="s">
        <v>119</v>
      </c>
      <c r="B341" s="45"/>
      <c r="C341" s="39">
        <v>3.9108905687999992E-5</v>
      </c>
      <c r="D341" s="40" t="s">
        <v>13</v>
      </c>
      <c r="E341" s="40" t="s">
        <v>109</v>
      </c>
      <c r="F341" s="45" t="s">
        <v>183</v>
      </c>
      <c r="G341" s="45"/>
      <c r="H341" s="40" t="s">
        <v>15</v>
      </c>
      <c r="I341" s="40" t="s">
        <v>215</v>
      </c>
      <c r="J341" s="45"/>
    </row>
    <row r="342" spans="1:34">
      <c r="A342" s="45" t="s">
        <v>125</v>
      </c>
      <c r="B342" s="45"/>
      <c r="C342" s="39">
        <v>6.5182656435999986E-5</v>
      </c>
      <c r="D342" s="40" t="s">
        <v>13</v>
      </c>
      <c r="E342" s="40" t="s">
        <v>109</v>
      </c>
      <c r="F342" s="45" t="s">
        <v>183</v>
      </c>
      <c r="G342" s="45"/>
      <c r="H342" s="40" t="s">
        <v>15</v>
      </c>
      <c r="I342" s="40" t="s">
        <v>215</v>
      </c>
      <c r="J342" s="45"/>
    </row>
    <row r="343" spans="1:34">
      <c r="A343" s="45" t="s">
        <v>216</v>
      </c>
      <c r="B343" s="45"/>
      <c r="C343" s="39">
        <v>5.2146354539999984E-6</v>
      </c>
      <c r="D343" s="40" t="s">
        <v>13</v>
      </c>
      <c r="E343" s="40" t="s">
        <v>109</v>
      </c>
      <c r="F343" s="45" t="s">
        <v>183</v>
      </c>
      <c r="G343" s="45"/>
      <c r="H343" s="40" t="s">
        <v>15</v>
      </c>
      <c r="I343" s="40" t="s">
        <v>215</v>
      </c>
      <c r="J343" s="45"/>
    </row>
    <row r="344" spans="1:34">
      <c r="A344" s="45" t="s">
        <v>217</v>
      </c>
      <c r="B344" s="45"/>
      <c r="C344" s="39">
        <v>1.8251510827999994E-11</v>
      </c>
      <c r="D344" s="40" t="s">
        <v>13</v>
      </c>
      <c r="E344" s="40" t="s">
        <v>109</v>
      </c>
      <c r="F344" s="45" t="s">
        <v>183</v>
      </c>
      <c r="G344" s="45"/>
      <c r="H344" s="40" t="s">
        <v>15</v>
      </c>
      <c r="I344" s="40" t="s">
        <v>215</v>
      </c>
      <c r="J344" s="45"/>
    </row>
    <row r="345" spans="1:34" s="64" customFormat="1">
      <c r="A345" s="62"/>
      <c r="B345" s="62"/>
      <c r="C345" s="63"/>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row>
    <row r="346" spans="1:34">
      <c r="A346" s="38" t="s">
        <v>1</v>
      </c>
      <c r="B346" s="38" t="s">
        <v>227</v>
      </c>
      <c r="C346" s="39"/>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row>
    <row r="347" spans="1:34">
      <c r="A347" s="38" t="s">
        <v>11</v>
      </c>
      <c r="B347" s="40" t="s">
        <v>493</v>
      </c>
      <c r="C347" s="39"/>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row>
    <row r="348" spans="1:34">
      <c r="A348" s="38" t="s">
        <v>2</v>
      </c>
      <c r="B348" s="40" t="s">
        <v>29</v>
      </c>
      <c r="C348" s="39"/>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row>
    <row r="349" spans="1:34">
      <c r="A349" s="41" t="s">
        <v>4</v>
      </c>
      <c r="B349" s="40" t="s">
        <v>195</v>
      </c>
      <c r="C349" s="39"/>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row>
    <row r="350" spans="1:34">
      <c r="A350" s="38" t="s">
        <v>3</v>
      </c>
      <c r="B350" s="42">
        <v>1</v>
      </c>
      <c r="C350" s="39"/>
      <c r="D350" s="43"/>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row>
    <row r="351" spans="1:34">
      <c r="A351" s="38" t="s">
        <v>6</v>
      </c>
      <c r="B351" s="40" t="s">
        <v>128</v>
      </c>
      <c r="C351" s="39"/>
      <c r="D351" s="43"/>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row>
    <row r="352" spans="1:34">
      <c r="A352" s="38" t="s">
        <v>76</v>
      </c>
      <c r="B352" s="40"/>
      <c r="C352" s="39"/>
      <c r="D352" s="43"/>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row>
    <row r="353" spans="1:34">
      <c r="A353" s="38" t="s">
        <v>7</v>
      </c>
      <c r="B353" s="40"/>
      <c r="C353" s="39"/>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row>
    <row r="354" spans="1:34">
      <c r="A354" s="38" t="s">
        <v>8</v>
      </c>
      <c r="B354" s="38" t="s">
        <v>4</v>
      </c>
      <c r="C354" s="44" t="s">
        <v>9</v>
      </c>
      <c r="D354" s="38" t="s">
        <v>6</v>
      </c>
      <c r="E354" s="38" t="s">
        <v>106</v>
      </c>
      <c r="F354" s="38" t="s">
        <v>10</v>
      </c>
      <c r="G354" s="38" t="s">
        <v>2</v>
      </c>
      <c r="H354" s="38" t="s">
        <v>5</v>
      </c>
      <c r="I354" s="38" t="s">
        <v>11</v>
      </c>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row>
    <row r="355" spans="1:34">
      <c r="A355" s="45" t="s">
        <v>227</v>
      </c>
      <c r="B355" s="45" t="s">
        <v>195</v>
      </c>
      <c r="C355" s="46">
        <v>1</v>
      </c>
      <c r="D355" s="40" t="s">
        <v>128</v>
      </c>
      <c r="E355" s="45" t="s">
        <v>196</v>
      </c>
      <c r="F355" s="45"/>
      <c r="G355" s="45" t="s">
        <v>29</v>
      </c>
      <c r="H355" s="45" t="s">
        <v>18</v>
      </c>
      <c r="I355" s="45"/>
      <c r="J355" s="45"/>
      <c r="K355" s="45"/>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row>
    <row r="356" spans="1:34">
      <c r="A356" s="40" t="s">
        <v>228</v>
      </c>
      <c r="B356" s="40" t="s">
        <v>229</v>
      </c>
      <c r="C356" s="46">
        <v>8.7176007971510625</v>
      </c>
      <c r="D356" s="40" t="s">
        <v>13</v>
      </c>
      <c r="E356" s="45" t="s">
        <v>196</v>
      </c>
      <c r="F356" s="40"/>
      <c r="G356" s="45" t="s">
        <v>29</v>
      </c>
      <c r="H356" s="40" t="s">
        <v>12</v>
      </c>
      <c r="I356" s="45" t="s">
        <v>221</v>
      </c>
      <c r="J356" s="40"/>
      <c r="K356" s="45"/>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row>
    <row r="357" spans="1:34">
      <c r="A357" s="45" t="s">
        <v>28</v>
      </c>
      <c r="B357" s="45" t="s">
        <v>20</v>
      </c>
      <c r="C357" s="46">
        <v>0.14187963100925111</v>
      </c>
      <c r="D357" s="40" t="s">
        <v>19</v>
      </c>
      <c r="E357" s="45" t="s">
        <v>205</v>
      </c>
      <c r="F357" s="45"/>
      <c r="G357" s="45" t="s">
        <v>29</v>
      </c>
      <c r="H357" s="45" t="s">
        <v>12</v>
      </c>
      <c r="I357" s="45"/>
      <c r="J357" s="45"/>
    </row>
    <row r="358" spans="1:34">
      <c r="A358" s="40" t="s">
        <v>206</v>
      </c>
      <c r="B358" s="45" t="s">
        <v>207</v>
      </c>
      <c r="C358" s="39">
        <v>3.2478194058327522E-7</v>
      </c>
      <c r="D358" s="40" t="s">
        <v>6</v>
      </c>
      <c r="E358" s="45" t="s">
        <v>205</v>
      </c>
      <c r="F358" s="45"/>
      <c r="G358" s="45" t="s">
        <v>208</v>
      </c>
      <c r="H358" s="45" t="s">
        <v>12</v>
      </c>
      <c r="I358" s="54"/>
      <c r="J358" s="45"/>
    </row>
    <row r="359" spans="1:34">
      <c r="A359" s="45" t="s">
        <v>209</v>
      </c>
      <c r="B359" s="45" t="s">
        <v>210</v>
      </c>
      <c r="C359" s="39">
        <v>1.2292801192676664E-6</v>
      </c>
      <c r="D359" s="40" t="s">
        <v>6</v>
      </c>
      <c r="E359" s="45" t="s">
        <v>205</v>
      </c>
      <c r="F359" s="45"/>
      <c r="G359" s="45" t="s">
        <v>140</v>
      </c>
      <c r="H359" s="45" t="s">
        <v>12</v>
      </c>
      <c r="I359" s="45" t="s">
        <v>222</v>
      </c>
      <c r="J359" s="45"/>
    </row>
    <row r="360" spans="1:34">
      <c r="A360" s="39" t="s">
        <v>197</v>
      </c>
      <c r="B360" s="40"/>
      <c r="C360" s="46">
        <v>2.2495030651572057</v>
      </c>
      <c r="D360" s="40" t="s">
        <v>13</v>
      </c>
      <c r="E360" s="40" t="s">
        <v>109</v>
      </c>
      <c r="F360" s="40" t="s">
        <v>198</v>
      </c>
      <c r="G360" s="40"/>
      <c r="H360" s="40" t="s">
        <v>15</v>
      </c>
      <c r="I360" s="40" t="s">
        <v>211</v>
      </c>
    </row>
    <row r="361" spans="1:34">
      <c r="A361" s="45" t="s">
        <v>212</v>
      </c>
      <c r="B361" s="48"/>
      <c r="C361" s="39">
        <v>0.26529258993003446</v>
      </c>
      <c r="D361" s="40" t="s">
        <v>13</v>
      </c>
      <c r="E361" s="40" t="s">
        <v>109</v>
      </c>
      <c r="F361" s="45" t="s">
        <v>183</v>
      </c>
      <c r="G361" s="45"/>
      <c r="H361" s="40" t="s">
        <v>15</v>
      </c>
      <c r="I361" s="40" t="s">
        <v>213</v>
      </c>
    </row>
    <row r="362" spans="1:34">
      <c r="A362" s="45" t="s">
        <v>184</v>
      </c>
      <c r="B362" s="45"/>
      <c r="C362" s="39">
        <v>1.4450918438284459E-2</v>
      </c>
      <c r="D362" s="40" t="s">
        <v>13</v>
      </c>
      <c r="E362" s="40" t="s">
        <v>109</v>
      </c>
      <c r="F362" s="45" t="s">
        <v>183</v>
      </c>
      <c r="G362" s="45"/>
      <c r="H362" s="40" t="s">
        <v>15</v>
      </c>
      <c r="I362" s="40" t="s">
        <v>213</v>
      </c>
    </row>
    <row r="363" spans="1:34">
      <c r="A363" s="45" t="s">
        <v>214</v>
      </c>
      <c r="B363" s="45"/>
      <c r="C363" s="39">
        <v>1.2515583872E-4</v>
      </c>
      <c r="D363" s="40" t="s">
        <v>13</v>
      </c>
      <c r="E363" s="40" t="s">
        <v>109</v>
      </c>
      <c r="F363" s="45" t="s">
        <v>183</v>
      </c>
      <c r="G363" s="45"/>
      <c r="H363" s="40" t="s">
        <v>15</v>
      </c>
      <c r="I363" s="40" t="s">
        <v>215</v>
      </c>
      <c r="J363" s="45"/>
    </row>
    <row r="364" spans="1:34">
      <c r="A364" s="45" t="s">
        <v>115</v>
      </c>
      <c r="B364" s="45"/>
      <c r="C364" s="39">
        <v>6.5182656435999991E-6</v>
      </c>
      <c r="D364" s="40" t="s">
        <v>13</v>
      </c>
      <c r="E364" s="40" t="s">
        <v>109</v>
      </c>
      <c r="F364" s="45" t="s">
        <v>183</v>
      </c>
      <c r="G364" s="45"/>
      <c r="H364" s="40" t="s">
        <v>15</v>
      </c>
      <c r="I364" s="40" t="s">
        <v>215</v>
      </c>
      <c r="J364" s="45"/>
    </row>
    <row r="365" spans="1:34">
      <c r="A365" s="45" t="s">
        <v>119</v>
      </c>
      <c r="B365" s="45"/>
      <c r="C365" s="39">
        <v>3.9108905687999992E-5</v>
      </c>
      <c r="D365" s="40" t="s">
        <v>13</v>
      </c>
      <c r="E365" s="40" t="s">
        <v>109</v>
      </c>
      <c r="F365" s="45" t="s">
        <v>183</v>
      </c>
      <c r="G365" s="45"/>
      <c r="H365" s="40" t="s">
        <v>15</v>
      </c>
      <c r="I365" s="40" t="s">
        <v>215</v>
      </c>
      <c r="J365" s="45"/>
    </row>
    <row r="366" spans="1:34">
      <c r="A366" s="45" t="s">
        <v>125</v>
      </c>
      <c r="B366" s="45"/>
      <c r="C366" s="39">
        <v>6.5182656435999999E-5</v>
      </c>
      <c r="D366" s="40" t="s">
        <v>13</v>
      </c>
      <c r="E366" s="40" t="s">
        <v>109</v>
      </c>
      <c r="F366" s="45" t="s">
        <v>183</v>
      </c>
      <c r="G366" s="45"/>
      <c r="H366" s="40" t="s">
        <v>15</v>
      </c>
      <c r="I366" s="40" t="s">
        <v>215</v>
      </c>
      <c r="J366" s="45"/>
    </row>
    <row r="367" spans="1:34">
      <c r="A367" s="45" t="s">
        <v>216</v>
      </c>
      <c r="B367" s="45"/>
      <c r="C367" s="39">
        <v>5.2146354539999992E-6</v>
      </c>
      <c r="D367" s="40" t="s">
        <v>13</v>
      </c>
      <c r="E367" s="40" t="s">
        <v>109</v>
      </c>
      <c r="F367" s="45" t="s">
        <v>183</v>
      </c>
      <c r="G367" s="45"/>
      <c r="H367" s="40" t="s">
        <v>15</v>
      </c>
      <c r="I367" s="40" t="s">
        <v>215</v>
      </c>
      <c r="J367" s="45"/>
    </row>
    <row r="368" spans="1:34">
      <c r="A368" s="45" t="s">
        <v>217</v>
      </c>
      <c r="B368" s="45"/>
      <c r="C368" s="39">
        <v>1.8251510827999997E-11</v>
      </c>
      <c r="D368" s="40" t="s">
        <v>13</v>
      </c>
      <c r="E368" s="40" t="s">
        <v>109</v>
      </c>
      <c r="F368" s="45" t="s">
        <v>183</v>
      </c>
      <c r="G368" s="45"/>
      <c r="H368" s="40" t="s">
        <v>15</v>
      </c>
      <c r="I368" s="40" t="s">
        <v>215</v>
      </c>
      <c r="J368" s="45"/>
    </row>
    <row r="369" spans="1:34" s="64" customFormat="1">
      <c r="A369" s="62"/>
      <c r="B369" s="62"/>
      <c r="C369" s="63"/>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row>
    <row r="370" spans="1:34">
      <c r="A370" s="38" t="s">
        <v>1</v>
      </c>
      <c r="B370" s="38" t="s">
        <v>225</v>
      </c>
      <c r="C370" s="39"/>
      <c r="D370" s="40"/>
      <c r="E370" s="40"/>
      <c r="F370" s="40"/>
      <c r="G370" s="40"/>
      <c r="H370" s="40"/>
      <c r="I370" s="40"/>
    </row>
    <row r="371" spans="1:34">
      <c r="A371" s="38" t="s">
        <v>11</v>
      </c>
      <c r="B371" s="40" t="s">
        <v>436</v>
      </c>
      <c r="C371" s="39"/>
      <c r="D371" s="40"/>
      <c r="E371" s="40"/>
      <c r="F371" s="40"/>
      <c r="G371" s="40"/>
      <c r="H371" s="40"/>
      <c r="I371" s="40"/>
    </row>
    <row r="372" spans="1:34">
      <c r="A372" s="38" t="s">
        <v>2</v>
      </c>
      <c r="B372" s="40" t="s">
        <v>29</v>
      </c>
      <c r="C372" s="39"/>
      <c r="D372" s="40"/>
      <c r="E372" s="40"/>
      <c r="F372" s="40"/>
      <c r="G372" s="40"/>
      <c r="H372" s="40"/>
      <c r="I372" s="40"/>
    </row>
    <row r="373" spans="1:34">
      <c r="A373" s="41" t="s">
        <v>4</v>
      </c>
      <c r="B373" s="45" t="s">
        <v>226</v>
      </c>
      <c r="C373" s="39"/>
      <c r="D373" s="40"/>
      <c r="E373" s="40"/>
      <c r="F373" s="40"/>
      <c r="G373" s="40"/>
      <c r="H373" s="40"/>
      <c r="I373" s="40"/>
    </row>
    <row r="374" spans="1:34">
      <c r="A374" s="38" t="s">
        <v>3</v>
      </c>
      <c r="B374" s="42">
        <v>1</v>
      </c>
      <c r="C374" s="39"/>
      <c r="D374" s="43"/>
      <c r="E374" s="40"/>
      <c r="F374" s="40"/>
      <c r="G374" s="40"/>
      <c r="H374" s="40"/>
      <c r="I374" s="40"/>
    </row>
    <row r="375" spans="1:34">
      <c r="A375" s="38" t="s">
        <v>6</v>
      </c>
      <c r="B375" s="40" t="s">
        <v>13</v>
      </c>
      <c r="C375" s="39"/>
      <c r="D375" s="43"/>
      <c r="E375" s="40"/>
      <c r="F375" s="40"/>
      <c r="G375" s="40"/>
      <c r="H375" s="40"/>
      <c r="I375" s="40"/>
    </row>
    <row r="376" spans="1:34">
      <c r="A376" s="38" t="s">
        <v>76</v>
      </c>
      <c r="B376" s="40"/>
      <c r="C376" s="39"/>
      <c r="E376" s="40"/>
      <c r="F376" s="40"/>
      <c r="G376" s="40"/>
      <c r="H376" s="40"/>
      <c r="I376" s="40"/>
    </row>
    <row r="377" spans="1:34">
      <c r="A377" s="38" t="s">
        <v>7</v>
      </c>
      <c r="B377" s="40"/>
      <c r="C377" s="39"/>
      <c r="D377" s="40"/>
      <c r="E377" s="40"/>
      <c r="F377" s="40"/>
      <c r="G377" s="40"/>
      <c r="H377" s="40"/>
      <c r="I377" s="40"/>
    </row>
    <row r="378" spans="1:34">
      <c r="A378" s="38" t="s">
        <v>8</v>
      </c>
      <c r="B378" s="38" t="s">
        <v>4</v>
      </c>
      <c r="C378" s="44" t="s">
        <v>9</v>
      </c>
      <c r="D378" s="38" t="s">
        <v>6</v>
      </c>
      <c r="E378" s="38" t="s">
        <v>106</v>
      </c>
      <c r="F378" s="38" t="s">
        <v>10</v>
      </c>
      <c r="G378" s="38" t="s">
        <v>2</v>
      </c>
      <c r="H378" s="38" t="s">
        <v>5</v>
      </c>
      <c r="I378" s="38" t="s">
        <v>11</v>
      </c>
    </row>
    <row r="379" spans="1:34">
      <c r="A379" s="45" t="s">
        <v>225</v>
      </c>
      <c r="B379" s="45" t="s">
        <v>226</v>
      </c>
      <c r="C379" s="46">
        <v>1</v>
      </c>
      <c r="D379" s="40" t="s">
        <v>13</v>
      </c>
      <c r="E379" s="45"/>
      <c r="F379" s="45"/>
      <c r="G379" s="45" t="s">
        <v>29</v>
      </c>
      <c r="H379" s="45" t="s">
        <v>18</v>
      </c>
      <c r="I379" s="45"/>
    </row>
    <row r="380" spans="1:34">
      <c r="A380" s="45" t="s">
        <v>230</v>
      </c>
      <c r="B380" s="45" t="s">
        <v>231</v>
      </c>
      <c r="C380" s="46">
        <v>0.01</v>
      </c>
      <c r="D380" s="40" t="s">
        <v>232</v>
      </c>
      <c r="E380" s="45" t="s">
        <v>205</v>
      </c>
      <c r="F380" s="45"/>
      <c r="G380" s="45" t="s">
        <v>49</v>
      </c>
      <c r="H380" s="45" t="s">
        <v>12</v>
      </c>
      <c r="I380" s="45" t="s">
        <v>297</v>
      </c>
    </row>
    <row r="381" spans="1:34">
      <c r="A381" s="45" t="s">
        <v>494</v>
      </c>
      <c r="B381" s="45" t="s">
        <v>495</v>
      </c>
      <c r="C381" s="46">
        <v>1</v>
      </c>
      <c r="D381" s="40" t="s">
        <v>13</v>
      </c>
      <c r="E381" s="45" t="s">
        <v>205</v>
      </c>
      <c r="F381" s="45"/>
      <c r="G381" s="45" t="s">
        <v>208</v>
      </c>
      <c r="H381" s="45" t="s">
        <v>12</v>
      </c>
      <c r="I381" s="45"/>
    </row>
    <row r="382" spans="1:34">
      <c r="A382" s="45" t="s">
        <v>45</v>
      </c>
      <c r="B382" s="45" t="s">
        <v>43</v>
      </c>
      <c r="C382" s="46">
        <v>3.7599999999999999E-3</v>
      </c>
      <c r="D382" s="40" t="s">
        <v>19</v>
      </c>
      <c r="E382" s="45" t="s">
        <v>205</v>
      </c>
      <c r="F382" s="45"/>
      <c r="G382" s="45" t="s">
        <v>29</v>
      </c>
      <c r="H382" s="45" t="s">
        <v>12</v>
      </c>
      <c r="I382" s="45" t="s">
        <v>279</v>
      </c>
    </row>
    <row r="383" spans="1:34">
      <c r="A383" s="45" t="s">
        <v>278</v>
      </c>
      <c r="B383" s="45" t="s">
        <v>277</v>
      </c>
      <c r="C383" s="46">
        <v>8.4999999999999995E-4</v>
      </c>
      <c r="D383" s="40" t="s">
        <v>13</v>
      </c>
      <c r="E383" s="45" t="s">
        <v>205</v>
      </c>
      <c r="F383" s="45"/>
      <c r="G383" s="45" t="s">
        <v>49</v>
      </c>
      <c r="H383" s="45" t="s">
        <v>12</v>
      </c>
      <c r="I383" s="45" t="s">
        <v>279</v>
      </c>
    </row>
    <row r="384" spans="1:34" s="64" customFormat="1">
      <c r="A384" s="62"/>
      <c r="B384" s="62"/>
      <c r="C384" s="63"/>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row>
    <row r="385" spans="1:34">
      <c r="A385" s="38" t="s">
        <v>1</v>
      </c>
      <c r="B385" s="38" t="s">
        <v>228</v>
      </c>
      <c r="C385" s="39"/>
      <c r="D385" s="40"/>
      <c r="E385" s="40"/>
      <c r="F385" s="40"/>
      <c r="G385" s="40"/>
      <c r="H385" s="40"/>
      <c r="I385" s="40"/>
    </row>
    <row r="386" spans="1:34">
      <c r="A386" s="38" t="s">
        <v>11</v>
      </c>
      <c r="B386" s="40" t="s">
        <v>437</v>
      </c>
      <c r="C386" s="39"/>
      <c r="D386" s="40"/>
      <c r="E386" s="40"/>
      <c r="F386" s="40"/>
      <c r="G386" s="40"/>
      <c r="H386" s="40"/>
      <c r="I386" s="40"/>
    </row>
    <row r="387" spans="1:34">
      <c r="A387" s="38" t="s">
        <v>2</v>
      </c>
      <c r="B387" s="40" t="s">
        <v>29</v>
      </c>
      <c r="C387" s="39"/>
      <c r="D387" s="40"/>
      <c r="E387" s="40"/>
      <c r="F387" s="40"/>
      <c r="G387" s="40"/>
      <c r="H387" s="40"/>
      <c r="I387" s="40"/>
    </row>
    <row r="388" spans="1:34">
      <c r="A388" s="41" t="s">
        <v>4</v>
      </c>
      <c r="B388" s="40" t="s">
        <v>229</v>
      </c>
      <c r="C388" s="39"/>
      <c r="D388" s="40"/>
      <c r="E388" s="40"/>
      <c r="F388" s="40"/>
      <c r="G388" s="40"/>
      <c r="H388" s="40"/>
      <c r="I388" s="40"/>
    </row>
    <row r="389" spans="1:34">
      <c r="A389" s="38" t="s">
        <v>3</v>
      </c>
      <c r="B389" s="42">
        <v>1</v>
      </c>
      <c r="C389" s="39"/>
      <c r="D389" s="43"/>
      <c r="E389" s="40"/>
      <c r="F389" s="40"/>
      <c r="G389" s="40"/>
      <c r="H389" s="40"/>
      <c r="I389" s="40"/>
    </row>
    <row r="390" spans="1:34">
      <c r="A390" s="38" t="s">
        <v>6</v>
      </c>
      <c r="B390" s="40" t="s">
        <v>13</v>
      </c>
      <c r="C390" s="39"/>
      <c r="D390" s="43"/>
      <c r="E390" s="40"/>
      <c r="F390" s="40"/>
      <c r="G390" s="40"/>
      <c r="H390" s="40"/>
      <c r="I390" s="40"/>
    </row>
    <row r="391" spans="1:34">
      <c r="A391" s="38" t="s">
        <v>76</v>
      </c>
      <c r="B391" s="40"/>
      <c r="C391" s="39"/>
      <c r="D391" s="43"/>
      <c r="E391" s="40"/>
      <c r="F391" s="40"/>
      <c r="G391" s="40"/>
      <c r="H391" s="40"/>
      <c r="I391" s="40"/>
    </row>
    <row r="392" spans="1:34">
      <c r="A392" s="38" t="s">
        <v>7</v>
      </c>
      <c r="B392" s="40"/>
      <c r="C392" s="39"/>
      <c r="D392" s="40"/>
      <c r="E392" s="40"/>
      <c r="F392" s="40"/>
      <c r="G392" s="40"/>
      <c r="H392" s="40"/>
      <c r="I392" s="40"/>
    </row>
    <row r="393" spans="1:34">
      <c r="A393" s="38" t="s">
        <v>8</v>
      </c>
      <c r="B393" s="38" t="s">
        <v>4</v>
      </c>
      <c r="C393" s="44" t="s">
        <v>9</v>
      </c>
      <c r="D393" s="38" t="s">
        <v>6</v>
      </c>
      <c r="E393" s="38" t="s">
        <v>106</v>
      </c>
      <c r="F393" s="38" t="s">
        <v>10</v>
      </c>
      <c r="G393" s="38" t="s">
        <v>2</v>
      </c>
      <c r="H393" s="38" t="s">
        <v>5</v>
      </c>
      <c r="I393" s="38" t="s">
        <v>11</v>
      </c>
    </row>
    <row r="394" spans="1:34">
      <c r="A394" s="45" t="s">
        <v>228</v>
      </c>
      <c r="B394" s="45" t="s">
        <v>233</v>
      </c>
      <c r="C394" s="46">
        <v>1</v>
      </c>
      <c r="D394" s="40" t="s">
        <v>13</v>
      </c>
      <c r="E394" s="45" t="s">
        <v>196</v>
      </c>
      <c r="F394" s="45"/>
      <c r="G394" s="45" t="s">
        <v>29</v>
      </c>
      <c r="H394" s="45" t="s">
        <v>18</v>
      </c>
      <c r="I394" s="45"/>
    </row>
    <row r="395" spans="1:34">
      <c r="A395" s="45" t="s">
        <v>230</v>
      </c>
      <c r="B395" s="45" t="s">
        <v>231</v>
      </c>
      <c r="C395" s="46">
        <v>0.01</v>
      </c>
      <c r="D395" s="40" t="s">
        <v>232</v>
      </c>
      <c r="E395" s="45" t="s">
        <v>205</v>
      </c>
      <c r="F395" s="45"/>
      <c r="G395" s="45" t="s">
        <v>49</v>
      </c>
      <c r="H395" s="45" t="s">
        <v>12</v>
      </c>
      <c r="I395" s="45" t="s">
        <v>297</v>
      </c>
    </row>
    <row r="396" spans="1:34">
      <c r="A396" s="45" t="s">
        <v>45</v>
      </c>
      <c r="B396" s="45" t="s">
        <v>43</v>
      </c>
      <c r="C396" s="46">
        <v>3.7599999999999999E-3</v>
      </c>
      <c r="D396" s="40" t="s">
        <v>19</v>
      </c>
      <c r="E396" s="45" t="s">
        <v>205</v>
      </c>
      <c r="F396" s="45"/>
      <c r="G396" s="45" t="s">
        <v>29</v>
      </c>
      <c r="H396" s="45" t="s">
        <v>12</v>
      </c>
      <c r="I396" s="45" t="s">
        <v>279</v>
      </c>
    </row>
    <row r="397" spans="1:34">
      <c r="A397" s="45" t="s">
        <v>278</v>
      </c>
      <c r="B397" s="45" t="s">
        <v>277</v>
      </c>
      <c r="C397" s="46">
        <v>8.4999999999999995E-4</v>
      </c>
      <c r="D397" s="40" t="s">
        <v>13</v>
      </c>
      <c r="E397" s="45" t="s">
        <v>205</v>
      </c>
      <c r="F397" s="45"/>
      <c r="G397" s="45" t="s">
        <v>49</v>
      </c>
      <c r="H397" s="45" t="s">
        <v>12</v>
      </c>
      <c r="I397" s="45" t="s">
        <v>279</v>
      </c>
    </row>
    <row r="398" spans="1:34" s="64" customFormat="1">
      <c r="A398" s="62"/>
      <c r="B398" s="62"/>
      <c r="C398" s="63"/>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row>
    <row r="399" spans="1:34">
      <c r="A399" s="38" t="s">
        <v>1</v>
      </c>
      <c r="B399" s="38" t="s">
        <v>202</v>
      </c>
      <c r="C399" s="39"/>
      <c r="D399" s="40"/>
      <c r="E399" s="40"/>
      <c r="F399" s="40"/>
      <c r="G399" s="40"/>
      <c r="H399" s="40"/>
      <c r="I399" s="40"/>
    </row>
    <row r="400" spans="1:34">
      <c r="A400" s="38" t="s">
        <v>11</v>
      </c>
      <c r="B400" s="40" t="s">
        <v>438</v>
      </c>
      <c r="C400" s="39"/>
      <c r="D400" s="40"/>
      <c r="E400" s="40"/>
      <c r="F400" s="40"/>
      <c r="G400" s="40"/>
      <c r="H400" s="40"/>
      <c r="I400" s="40"/>
    </row>
    <row r="401" spans="1:34">
      <c r="A401" s="38" t="s">
        <v>2</v>
      </c>
      <c r="B401" s="40" t="s">
        <v>29</v>
      </c>
      <c r="C401" s="39"/>
      <c r="D401" s="40"/>
      <c r="E401" s="40"/>
      <c r="F401" s="40"/>
      <c r="G401" s="40"/>
      <c r="H401" s="40"/>
      <c r="I401" s="40"/>
    </row>
    <row r="402" spans="1:34">
      <c r="A402" s="41" t="s">
        <v>4</v>
      </c>
      <c r="B402" s="40" t="s">
        <v>203</v>
      </c>
      <c r="C402" s="39"/>
      <c r="D402" s="40"/>
      <c r="E402" s="40"/>
      <c r="F402" s="40"/>
      <c r="G402" s="40"/>
      <c r="H402" s="40"/>
      <c r="I402" s="40"/>
    </row>
    <row r="403" spans="1:34">
      <c r="A403" s="38" t="s">
        <v>3</v>
      </c>
      <c r="B403" s="42">
        <v>1</v>
      </c>
      <c r="C403" s="39"/>
      <c r="D403" s="43"/>
      <c r="E403" s="40"/>
      <c r="F403" s="40"/>
      <c r="G403" s="40"/>
      <c r="H403" s="40"/>
      <c r="I403" s="40"/>
    </row>
    <row r="404" spans="1:34">
      <c r="A404" s="38" t="s">
        <v>6</v>
      </c>
      <c r="B404" s="40" t="s">
        <v>13</v>
      </c>
      <c r="C404" s="39"/>
      <c r="D404" s="43"/>
      <c r="E404" s="40"/>
      <c r="F404" s="40"/>
      <c r="G404" s="40"/>
      <c r="H404" s="40"/>
      <c r="I404" s="40"/>
    </row>
    <row r="405" spans="1:34">
      <c r="A405" s="38" t="s">
        <v>76</v>
      </c>
      <c r="B405" s="40" t="s">
        <v>281</v>
      </c>
      <c r="C405" s="39"/>
      <c r="D405" s="43"/>
      <c r="E405" s="40"/>
      <c r="F405" s="40"/>
      <c r="G405" s="40"/>
      <c r="H405" s="40"/>
      <c r="I405" s="40"/>
    </row>
    <row r="406" spans="1:34">
      <c r="A406" s="38" t="s">
        <v>7</v>
      </c>
      <c r="B406" s="40"/>
      <c r="C406" s="39"/>
      <c r="D406" s="40"/>
      <c r="E406" s="40"/>
      <c r="F406" s="40"/>
      <c r="G406" s="40"/>
      <c r="H406" s="40"/>
      <c r="I406" s="40"/>
    </row>
    <row r="407" spans="1:34">
      <c r="A407" s="38" t="s">
        <v>8</v>
      </c>
      <c r="B407" s="38" t="s">
        <v>4</v>
      </c>
      <c r="C407" s="44" t="s">
        <v>9</v>
      </c>
      <c r="D407" s="38" t="s">
        <v>6</v>
      </c>
      <c r="E407" s="38" t="s">
        <v>106</v>
      </c>
      <c r="F407" s="38" t="s">
        <v>10</v>
      </c>
      <c r="G407" s="38" t="s">
        <v>2</v>
      </c>
      <c r="H407" s="38" t="s">
        <v>5</v>
      </c>
      <c r="I407" s="38" t="s">
        <v>11</v>
      </c>
    </row>
    <row r="408" spans="1:34">
      <c r="A408" s="45" t="s">
        <v>202</v>
      </c>
      <c r="B408" s="45" t="s">
        <v>203</v>
      </c>
      <c r="C408" s="46">
        <v>1</v>
      </c>
      <c r="D408" s="40" t="s">
        <v>13</v>
      </c>
      <c r="E408" s="45" t="s">
        <v>196</v>
      </c>
      <c r="F408" s="45"/>
      <c r="G408" s="45" t="s">
        <v>29</v>
      </c>
      <c r="H408" s="45" t="s">
        <v>18</v>
      </c>
      <c r="I408" s="45"/>
    </row>
    <row r="409" spans="1:34">
      <c r="A409" s="45" t="s">
        <v>230</v>
      </c>
      <c r="B409" s="45" t="s">
        <v>231</v>
      </c>
      <c r="C409" s="46">
        <v>0.01</v>
      </c>
      <c r="D409" s="40" t="s">
        <v>232</v>
      </c>
      <c r="E409" s="45" t="s">
        <v>205</v>
      </c>
      <c r="F409" s="45"/>
      <c r="G409" s="45" t="s">
        <v>49</v>
      </c>
      <c r="H409" s="45" t="s">
        <v>12</v>
      </c>
      <c r="I409" s="45" t="s">
        <v>297</v>
      </c>
    </row>
    <row r="410" spans="1:34" s="64" customFormat="1">
      <c r="A410" s="62"/>
      <c r="B410" s="62"/>
      <c r="C410" s="63"/>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row>
    <row r="411" spans="1:34">
      <c r="A411" s="38" t="s">
        <v>1</v>
      </c>
      <c r="B411" s="38" t="s">
        <v>219</v>
      </c>
      <c r="C411" s="39"/>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row>
    <row r="412" spans="1:34">
      <c r="A412" s="38" t="s">
        <v>11</v>
      </c>
      <c r="B412" s="40" t="s">
        <v>439</v>
      </c>
      <c r="C412" s="39"/>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row>
    <row r="413" spans="1:34">
      <c r="A413" s="38" t="s">
        <v>2</v>
      </c>
      <c r="B413" s="40" t="s">
        <v>29</v>
      </c>
      <c r="C413" s="39"/>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row>
    <row r="414" spans="1:34">
      <c r="A414" s="41" t="s">
        <v>4</v>
      </c>
      <c r="B414" s="40" t="s">
        <v>220</v>
      </c>
      <c r="C414" s="39"/>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row>
    <row r="415" spans="1:34">
      <c r="A415" s="38" t="s">
        <v>3</v>
      </c>
      <c r="B415" s="42">
        <v>1</v>
      </c>
      <c r="C415" s="39"/>
      <c r="D415" s="43"/>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row>
    <row r="416" spans="1:34">
      <c r="A416" s="38" t="s">
        <v>6</v>
      </c>
      <c r="B416" s="40" t="s">
        <v>13</v>
      </c>
      <c r="C416" s="39"/>
      <c r="D416" s="43"/>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row>
    <row r="417" spans="1:34">
      <c r="A417" s="38" t="s">
        <v>76</v>
      </c>
      <c r="B417" s="40" t="s">
        <v>273</v>
      </c>
      <c r="C417" s="39"/>
      <c r="D417" s="43"/>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row>
    <row r="418" spans="1:34">
      <c r="A418" s="38" t="s">
        <v>7</v>
      </c>
      <c r="B418" s="40"/>
      <c r="C418" s="39"/>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row>
    <row r="419" spans="1:34">
      <c r="A419" s="38" t="s">
        <v>8</v>
      </c>
      <c r="B419" s="38" t="s">
        <v>4</v>
      </c>
      <c r="C419" s="44" t="s">
        <v>9</v>
      </c>
      <c r="D419" s="38" t="s">
        <v>6</v>
      </c>
      <c r="E419" s="38" t="s">
        <v>106</v>
      </c>
      <c r="F419" s="38" t="s">
        <v>10</v>
      </c>
      <c r="G419" s="38" t="s">
        <v>2</v>
      </c>
      <c r="H419" s="38" t="s">
        <v>5</v>
      </c>
      <c r="I419" s="38" t="s">
        <v>11</v>
      </c>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row>
    <row r="420" spans="1:34">
      <c r="A420" s="45" t="s">
        <v>219</v>
      </c>
      <c r="B420" s="45" t="s">
        <v>220</v>
      </c>
      <c r="C420" s="46">
        <v>1</v>
      </c>
      <c r="D420" s="40" t="s">
        <v>13</v>
      </c>
      <c r="E420" s="45" t="s">
        <v>196</v>
      </c>
      <c r="F420" s="45"/>
      <c r="G420" s="45" t="s">
        <v>29</v>
      </c>
      <c r="H420" s="45" t="s">
        <v>18</v>
      </c>
      <c r="I420" s="45"/>
      <c r="J420" s="45"/>
      <c r="K420" s="45"/>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row>
    <row r="421" spans="1:34">
      <c r="A421" s="45" t="s">
        <v>230</v>
      </c>
      <c r="B421" s="45" t="s">
        <v>231</v>
      </c>
      <c r="C421" s="46">
        <v>0.01</v>
      </c>
      <c r="D421" s="40" t="s">
        <v>232</v>
      </c>
      <c r="E421" s="45" t="s">
        <v>205</v>
      </c>
      <c r="F421" s="45"/>
      <c r="G421" s="45" t="s">
        <v>49</v>
      </c>
      <c r="H421" s="45" t="s">
        <v>12</v>
      </c>
      <c r="I421" s="45" t="s">
        <v>297</v>
      </c>
      <c r="J421" s="45"/>
      <c r="K421" s="45"/>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row>
    <row r="422" spans="1:34">
      <c r="A422" s="45" t="s">
        <v>45</v>
      </c>
      <c r="B422" s="45" t="s">
        <v>43</v>
      </c>
      <c r="C422" s="52">
        <v>3.7599999999999999E-3</v>
      </c>
      <c r="D422" s="40" t="s">
        <v>19</v>
      </c>
      <c r="E422" s="45" t="s">
        <v>205</v>
      </c>
      <c r="F422" s="45"/>
      <c r="G422" s="45" t="s">
        <v>29</v>
      </c>
      <c r="H422" s="45" t="s">
        <v>12</v>
      </c>
      <c r="I422" s="45" t="s">
        <v>279</v>
      </c>
      <c r="J422" s="45"/>
      <c r="K422" s="45"/>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row>
    <row r="423" spans="1:34">
      <c r="A423" t="s">
        <v>278</v>
      </c>
      <c r="B423" t="s">
        <v>277</v>
      </c>
      <c r="C423" s="52">
        <v>8.4999999999999995E-4</v>
      </c>
      <c r="D423" s="40" t="s">
        <v>13</v>
      </c>
      <c r="E423" s="45" t="s">
        <v>205</v>
      </c>
      <c r="F423" s="45"/>
      <c r="G423" s="45" t="s">
        <v>49</v>
      </c>
      <c r="H423" s="45" t="s">
        <v>12</v>
      </c>
      <c r="I423" s="45" t="s">
        <v>279</v>
      </c>
    </row>
    <row r="424" spans="1:34" s="64" customFormat="1">
      <c r="A424" s="62"/>
      <c r="B424" s="62"/>
      <c r="C424" s="63"/>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row>
    <row r="425" spans="1:34">
      <c r="A425" s="38" t="s">
        <v>1</v>
      </c>
      <c r="B425" s="38" t="s">
        <v>274</v>
      </c>
      <c r="C425" s="39"/>
      <c r="D425" s="40"/>
      <c r="E425" s="40"/>
      <c r="F425" s="40"/>
      <c r="G425" s="40"/>
      <c r="H425" s="40"/>
      <c r="I425" s="40"/>
    </row>
    <row r="426" spans="1:34">
      <c r="A426" s="38" t="s">
        <v>11</v>
      </c>
      <c r="B426" s="40" t="s">
        <v>440</v>
      </c>
      <c r="C426" s="39"/>
      <c r="D426" s="40"/>
      <c r="E426" s="40"/>
      <c r="F426" s="40"/>
      <c r="G426" s="40"/>
      <c r="H426" s="40"/>
      <c r="I426" s="40"/>
    </row>
    <row r="427" spans="1:34">
      <c r="A427" s="38" t="s">
        <v>2</v>
      </c>
      <c r="B427" s="40" t="s">
        <v>29</v>
      </c>
      <c r="C427" s="39"/>
      <c r="D427" s="40"/>
      <c r="E427" s="40"/>
      <c r="F427" s="40"/>
      <c r="G427" s="40"/>
      <c r="H427" s="40"/>
      <c r="I427" s="40"/>
    </row>
    <row r="428" spans="1:34">
      <c r="A428" s="41" t="s">
        <v>4</v>
      </c>
      <c r="B428" s="45" t="s">
        <v>275</v>
      </c>
      <c r="C428" s="39"/>
      <c r="D428" s="43"/>
      <c r="E428" s="40"/>
      <c r="F428" s="40"/>
      <c r="G428" s="40"/>
      <c r="H428" s="40"/>
      <c r="I428" s="40"/>
    </row>
    <row r="429" spans="1:34">
      <c r="A429" s="38" t="s">
        <v>3</v>
      </c>
      <c r="B429" s="42">
        <v>1</v>
      </c>
      <c r="C429" s="39"/>
      <c r="D429" s="43"/>
      <c r="E429" s="40"/>
      <c r="F429" s="40"/>
      <c r="G429" s="40"/>
      <c r="H429" s="40"/>
      <c r="I429" s="40"/>
    </row>
    <row r="430" spans="1:34">
      <c r="A430" s="38" t="s">
        <v>6</v>
      </c>
      <c r="B430" s="40" t="s">
        <v>13</v>
      </c>
      <c r="C430" s="39"/>
      <c r="D430" s="43"/>
      <c r="E430" s="40"/>
      <c r="F430" s="40"/>
      <c r="G430" s="40"/>
      <c r="H430" s="40"/>
      <c r="I430" s="40"/>
    </row>
    <row r="431" spans="1:34">
      <c r="A431" s="38" t="s">
        <v>76</v>
      </c>
      <c r="B431" s="40" t="s">
        <v>273</v>
      </c>
      <c r="C431" s="39"/>
      <c r="D431" s="43"/>
      <c r="E431" s="40"/>
      <c r="F431" s="40"/>
      <c r="G431" s="40"/>
      <c r="H431" s="40"/>
      <c r="I431" s="40"/>
    </row>
    <row r="432" spans="1:34">
      <c r="A432" s="38" t="s">
        <v>7</v>
      </c>
      <c r="B432" s="40"/>
      <c r="C432" s="39"/>
      <c r="D432" s="40"/>
      <c r="E432" s="40"/>
      <c r="F432" s="40"/>
      <c r="G432" s="40"/>
      <c r="H432" s="40"/>
      <c r="I432" s="40"/>
    </row>
    <row r="433" spans="1:34">
      <c r="A433" s="38" t="s">
        <v>8</v>
      </c>
      <c r="B433" s="38" t="s">
        <v>4</v>
      </c>
      <c r="C433" s="44" t="s">
        <v>9</v>
      </c>
      <c r="D433" s="38" t="s">
        <v>6</v>
      </c>
      <c r="E433" s="38" t="s">
        <v>106</v>
      </c>
      <c r="F433" s="38" t="s">
        <v>10</v>
      </c>
      <c r="G433" s="38" t="s">
        <v>2</v>
      </c>
      <c r="H433" s="38" t="s">
        <v>5</v>
      </c>
      <c r="I433" s="38" t="s">
        <v>11</v>
      </c>
    </row>
    <row r="434" spans="1:34">
      <c r="A434" s="45" t="s">
        <v>274</v>
      </c>
      <c r="B434" s="45" t="s">
        <v>275</v>
      </c>
      <c r="C434" s="46">
        <v>1</v>
      </c>
      <c r="D434" s="40" t="s">
        <v>13</v>
      </c>
      <c r="E434" s="45" t="s">
        <v>196</v>
      </c>
      <c r="F434" s="45"/>
      <c r="G434" s="45" t="s">
        <v>29</v>
      </c>
      <c r="H434" s="45" t="s">
        <v>18</v>
      </c>
      <c r="I434" s="45"/>
    </row>
    <row r="435" spans="1:34">
      <c r="A435" s="45" t="s">
        <v>276</v>
      </c>
      <c r="B435" s="45" t="s">
        <v>276</v>
      </c>
      <c r="C435" s="52">
        <v>0.1</v>
      </c>
      <c r="D435" s="40" t="s">
        <v>232</v>
      </c>
      <c r="E435" s="45" t="s">
        <v>205</v>
      </c>
      <c r="F435" s="45"/>
      <c r="G435" s="45" t="s">
        <v>27</v>
      </c>
      <c r="H435" s="45" t="s">
        <v>12</v>
      </c>
      <c r="I435" s="45" t="s">
        <v>280</v>
      </c>
    </row>
    <row r="436" spans="1:34">
      <c r="A436" s="45" t="s">
        <v>45</v>
      </c>
      <c r="B436" s="45" t="s">
        <v>43</v>
      </c>
      <c r="C436" s="52">
        <v>3.7599999999999999E-3</v>
      </c>
      <c r="D436" s="40" t="s">
        <v>19</v>
      </c>
      <c r="E436" s="45" t="s">
        <v>205</v>
      </c>
      <c r="F436" s="45"/>
      <c r="G436" s="45" t="s">
        <v>29</v>
      </c>
      <c r="H436" s="45" t="s">
        <v>12</v>
      </c>
      <c r="I436" s="45" t="s">
        <v>279</v>
      </c>
    </row>
    <row r="437" spans="1:34">
      <c r="A437" t="s">
        <v>278</v>
      </c>
      <c r="B437" t="s">
        <v>277</v>
      </c>
      <c r="C437" s="52">
        <v>8.4999999999999995E-4</v>
      </c>
      <c r="D437" s="40" t="s">
        <v>13</v>
      </c>
      <c r="E437" s="45" t="s">
        <v>205</v>
      </c>
      <c r="F437" s="45"/>
      <c r="G437" s="45" t="s">
        <v>49</v>
      </c>
      <c r="H437" s="45" t="s">
        <v>12</v>
      </c>
      <c r="I437" s="45" t="s">
        <v>279</v>
      </c>
    </row>
    <row r="438" spans="1:34" s="64" customFormat="1">
      <c r="A438" s="62"/>
      <c r="B438" s="62"/>
      <c r="C438" s="63"/>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row>
    <row r="439" spans="1:34">
      <c r="A439" s="38" t="s">
        <v>1</v>
      </c>
      <c r="B439" s="38" t="s">
        <v>442</v>
      </c>
      <c r="C439" s="39"/>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row>
    <row r="440" spans="1:34">
      <c r="A440" s="38" t="s">
        <v>11</v>
      </c>
      <c r="B440" s="40" t="s">
        <v>458</v>
      </c>
      <c r="C440" s="39"/>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row>
    <row r="441" spans="1:34">
      <c r="A441" s="38" t="s">
        <v>2</v>
      </c>
      <c r="B441" s="40" t="s">
        <v>29</v>
      </c>
      <c r="C441" s="39"/>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row>
    <row r="442" spans="1:34">
      <c r="A442" s="41" t="s">
        <v>4</v>
      </c>
      <c r="B442" s="40" t="s">
        <v>441</v>
      </c>
      <c r="C442" s="39"/>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row>
    <row r="443" spans="1:34">
      <c r="A443" s="38" t="s">
        <v>3</v>
      </c>
      <c r="B443" s="42">
        <v>1</v>
      </c>
      <c r="C443" s="39"/>
      <c r="D443" s="43"/>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row>
    <row r="444" spans="1:34">
      <c r="A444" s="38" t="s">
        <v>6</v>
      </c>
      <c r="B444" s="40" t="s">
        <v>13</v>
      </c>
      <c r="C444" s="39"/>
      <c r="D444" s="43"/>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row>
    <row r="445" spans="1:34">
      <c r="A445" s="38" t="s">
        <v>76</v>
      </c>
      <c r="B445" s="40" t="s">
        <v>459</v>
      </c>
      <c r="C445" s="39"/>
      <c r="D445" s="43"/>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row>
    <row r="446" spans="1:34">
      <c r="A446" s="38" t="s">
        <v>7</v>
      </c>
      <c r="B446" s="40"/>
      <c r="C446" s="39"/>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row>
    <row r="447" spans="1:34">
      <c r="A447" s="38" t="s">
        <v>8</v>
      </c>
      <c r="B447" s="38" t="s">
        <v>4</v>
      </c>
      <c r="C447" s="44" t="s">
        <v>9</v>
      </c>
      <c r="D447" s="38" t="s">
        <v>6</v>
      </c>
      <c r="E447" s="38" t="s">
        <v>106</v>
      </c>
      <c r="F447" s="38" t="s">
        <v>10</v>
      </c>
      <c r="G447" s="38" t="s">
        <v>2</v>
      </c>
      <c r="H447" s="38" t="s">
        <v>5</v>
      </c>
      <c r="I447" s="38" t="s">
        <v>11</v>
      </c>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row>
    <row r="448" spans="1:34">
      <c r="A448" s="45" t="s">
        <v>442</v>
      </c>
      <c r="B448" s="45" t="s">
        <v>441</v>
      </c>
      <c r="C448" s="46">
        <v>1</v>
      </c>
      <c r="D448" s="40" t="s">
        <v>13</v>
      </c>
      <c r="E448" s="45" t="s">
        <v>196</v>
      </c>
      <c r="F448" s="45"/>
      <c r="G448" s="45" t="s">
        <v>29</v>
      </c>
      <c r="H448" s="45" t="s">
        <v>18</v>
      </c>
      <c r="I448" s="45"/>
      <c r="J448" s="45"/>
      <c r="K448" s="45"/>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row>
    <row r="449" spans="1:34">
      <c r="A449" s="45" t="s">
        <v>230</v>
      </c>
      <c r="B449" s="45" t="s">
        <v>231</v>
      </c>
      <c r="C449" s="46">
        <v>0.01</v>
      </c>
      <c r="D449" s="40" t="s">
        <v>232</v>
      </c>
      <c r="E449" s="45" t="s">
        <v>205</v>
      </c>
      <c r="F449" s="45"/>
      <c r="G449" s="45" t="s">
        <v>49</v>
      </c>
      <c r="H449" s="45" t="s">
        <v>12</v>
      </c>
      <c r="I449" s="45" t="s">
        <v>297</v>
      </c>
      <c r="J449" s="45"/>
      <c r="K449" s="45"/>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row>
    <row r="450" spans="1:34">
      <c r="A450" s="45" t="s">
        <v>444</v>
      </c>
      <c r="B450" s="45" t="s">
        <v>443</v>
      </c>
      <c r="C450" s="46">
        <v>0.14285714285714285</v>
      </c>
      <c r="D450" s="40" t="s">
        <v>13</v>
      </c>
      <c r="E450" s="45" t="s">
        <v>205</v>
      </c>
      <c r="F450" s="45"/>
      <c r="G450" s="45" t="s">
        <v>208</v>
      </c>
      <c r="H450" s="45" t="s">
        <v>12</v>
      </c>
      <c r="I450" s="45"/>
      <c r="J450" s="45"/>
      <c r="K450" s="45"/>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row>
    <row r="451" spans="1:34">
      <c r="A451" s="45" t="s">
        <v>445</v>
      </c>
      <c r="B451" s="45" t="s">
        <v>446</v>
      </c>
      <c r="C451" s="46">
        <v>0.14285714285714285</v>
      </c>
      <c r="D451" s="40" t="s">
        <v>13</v>
      </c>
      <c r="E451" s="45" t="s">
        <v>205</v>
      </c>
      <c r="F451" s="45"/>
      <c r="G451" s="45" t="s">
        <v>29</v>
      </c>
      <c r="H451" s="45" t="s">
        <v>12</v>
      </c>
      <c r="I451" s="45"/>
      <c r="J451" s="45"/>
      <c r="K451" s="45"/>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row>
    <row r="452" spans="1:34">
      <c r="A452" s="45" t="s">
        <v>447</v>
      </c>
      <c r="B452" s="45" t="s">
        <v>448</v>
      </c>
      <c r="C452" s="46">
        <v>0.14285714285714285</v>
      </c>
      <c r="D452" s="40" t="s">
        <v>13</v>
      </c>
      <c r="E452" s="45" t="s">
        <v>205</v>
      </c>
      <c r="F452" s="45"/>
      <c r="G452" s="45" t="s">
        <v>49</v>
      </c>
      <c r="H452" s="45" t="s">
        <v>12</v>
      </c>
      <c r="I452" s="45"/>
      <c r="J452" s="45"/>
      <c r="K452" s="45"/>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row>
    <row r="453" spans="1:34">
      <c r="A453" s="45" t="s">
        <v>451</v>
      </c>
      <c r="B453" s="45" t="s">
        <v>452</v>
      </c>
      <c r="C453" s="46">
        <v>0.14285714285714285</v>
      </c>
      <c r="D453" s="40" t="s">
        <v>13</v>
      </c>
      <c r="E453" s="45" t="s">
        <v>205</v>
      </c>
      <c r="F453" s="45"/>
      <c r="G453" s="45" t="s">
        <v>49</v>
      </c>
      <c r="H453" s="45" t="s">
        <v>12</v>
      </c>
      <c r="I453" s="45"/>
      <c r="J453" s="45"/>
      <c r="K453" s="45"/>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row>
    <row r="454" spans="1:34">
      <c r="A454" s="45" t="s">
        <v>453</v>
      </c>
      <c r="B454" s="45" t="s">
        <v>454</v>
      </c>
      <c r="C454" s="46">
        <v>0.14285714285714285</v>
      </c>
      <c r="D454" s="40" t="s">
        <v>13</v>
      </c>
      <c r="E454" s="45" t="s">
        <v>205</v>
      </c>
      <c r="F454" s="45"/>
      <c r="G454" s="45" t="s">
        <v>27</v>
      </c>
      <c r="H454" s="45" t="s">
        <v>12</v>
      </c>
      <c r="I454" s="45"/>
      <c r="J454" s="45"/>
      <c r="K454" s="45"/>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row>
    <row r="455" spans="1:34">
      <c r="A455" s="45" t="s">
        <v>455</v>
      </c>
      <c r="B455" s="45" t="s">
        <v>456</v>
      </c>
      <c r="C455" s="46">
        <v>0.14285714285714285</v>
      </c>
      <c r="D455" s="40" t="s">
        <v>13</v>
      </c>
      <c r="E455" s="45" t="s">
        <v>205</v>
      </c>
      <c r="F455" s="45"/>
      <c r="G455" s="45" t="s">
        <v>140</v>
      </c>
      <c r="H455" s="45" t="s">
        <v>12</v>
      </c>
      <c r="I455" s="45" t="s">
        <v>457</v>
      </c>
      <c r="J455" s="45"/>
      <c r="K455" s="45"/>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row>
    <row r="456" spans="1:34">
      <c r="A456" s="45" t="s">
        <v>494</v>
      </c>
      <c r="B456" s="45" t="s">
        <v>495</v>
      </c>
      <c r="C456" s="46">
        <v>0.14285714285714285</v>
      </c>
      <c r="D456" s="40" t="s">
        <v>13</v>
      </c>
      <c r="E456" s="45" t="s">
        <v>205</v>
      </c>
      <c r="F456" s="45"/>
      <c r="G456" s="45" t="s">
        <v>208</v>
      </c>
      <c r="H456" s="45" t="s">
        <v>12</v>
      </c>
      <c r="I456" s="45"/>
      <c r="J456" s="45"/>
      <c r="K456" s="45"/>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row>
    <row r="457" spans="1:34" s="64" customFormat="1">
      <c r="A457" s="62"/>
      <c r="B457" s="62"/>
      <c r="C457" s="63"/>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row>
    <row r="458" spans="1:34">
      <c r="A458" s="38" t="s">
        <v>1</v>
      </c>
      <c r="B458" s="38" t="s">
        <v>447</v>
      </c>
      <c r="C458" s="39"/>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row>
    <row r="459" spans="1:34">
      <c r="A459" s="38" t="s">
        <v>11</v>
      </c>
      <c r="B459" s="40" t="s">
        <v>450</v>
      </c>
      <c r="C459" s="39"/>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row>
    <row r="460" spans="1:34">
      <c r="A460" s="38" t="s">
        <v>2</v>
      </c>
      <c r="B460" s="40" t="s">
        <v>49</v>
      </c>
      <c r="C460" s="39"/>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row>
    <row r="461" spans="1:34">
      <c r="A461" s="41" t="s">
        <v>4</v>
      </c>
      <c r="B461" s="40" t="s">
        <v>441</v>
      </c>
      <c r="C461" s="39"/>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row>
    <row r="462" spans="1:34">
      <c r="A462" s="38" t="s">
        <v>3</v>
      </c>
      <c r="B462" s="42">
        <v>1</v>
      </c>
      <c r="C462" s="39"/>
      <c r="D462" s="43"/>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row>
    <row r="463" spans="1:34">
      <c r="A463" s="38" t="s">
        <v>6</v>
      </c>
      <c r="B463" s="40" t="s">
        <v>13</v>
      </c>
      <c r="C463" s="39"/>
      <c r="D463" s="43"/>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row>
    <row r="464" spans="1:34">
      <c r="A464" s="38" t="s">
        <v>76</v>
      </c>
      <c r="B464" t="s">
        <v>449</v>
      </c>
      <c r="C464" s="39"/>
      <c r="D464" s="43"/>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row>
    <row r="465" spans="1:34">
      <c r="A465" s="38" t="s">
        <v>7</v>
      </c>
      <c r="B465" s="40"/>
      <c r="C465" s="39"/>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row>
    <row r="466" spans="1:34">
      <c r="A466" s="38" t="s">
        <v>8</v>
      </c>
      <c r="B466" s="38" t="s">
        <v>4</v>
      </c>
      <c r="C466" s="44" t="s">
        <v>9</v>
      </c>
      <c r="D466" s="38" t="s">
        <v>6</v>
      </c>
      <c r="E466" s="38" t="s">
        <v>106</v>
      </c>
      <c r="F466" s="38" t="s">
        <v>10</v>
      </c>
      <c r="G466" s="38" t="s">
        <v>2</v>
      </c>
      <c r="H466" s="38" t="s">
        <v>5</v>
      </c>
      <c r="I466" s="38" t="s">
        <v>11</v>
      </c>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row>
    <row r="467" spans="1:34">
      <c r="A467" s="45" t="s">
        <v>447</v>
      </c>
      <c r="B467" s="45" t="s">
        <v>448</v>
      </c>
      <c r="C467" s="46">
        <v>1</v>
      </c>
      <c r="D467" s="40" t="s">
        <v>13</v>
      </c>
      <c r="E467" s="45"/>
      <c r="F467" s="45"/>
      <c r="G467" s="45" t="s">
        <v>49</v>
      </c>
      <c r="H467" s="45" t="s">
        <v>18</v>
      </c>
      <c r="I467" s="45"/>
      <c r="J467" s="45"/>
      <c r="K467" s="45"/>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row>
    <row r="468" spans="1:34">
      <c r="A468" s="45" t="s">
        <v>243</v>
      </c>
      <c r="B468" s="45" t="s">
        <v>234</v>
      </c>
      <c r="C468" s="39">
        <v>4.0000000000000001E-3</v>
      </c>
      <c r="D468" s="40" t="s">
        <v>13</v>
      </c>
      <c r="E468" s="45" t="s">
        <v>205</v>
      </c>
      <c r="F468" s="45"/>
      <c r="G468" s="45" t="s">
        <v>29</v>
      </c>
      <c r="H468" s="45" t="s">
        <v>12</v>
      </c>
      <c r="I468" s="45" t="s">
        <v>235</v>
      </c>
      <c r="J468" s="45"/>
      <c r="K468" s="45"/>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row>
    <row r="469" spans="1:34">
      <c r="A469" s="45" t="s">
        <v>236</v>
      </c>
      <c r="B469" s="45" t="s">
        <v>237</v>
      </c>
      <c r="C469" s="39">
        <v>5.0000000000000002E-5</v>
      </c>
      <c r="D469" s="40" t="s">
        <v>238</v>
      </c>
      <c r="E469" s="45" t="s">
        <v>205</v>
      </c>
      <c r="F469" s="45"/>
      <c r="G469" s="45" t="s">
        <v>140</v>
      </c>
      <c r="H469" s="45" t="s">
        <v>12</v>
      </c>
      <c r="I469" s="45" t="s">
        <v>239</v>
      </c>
      <c r="J469" s="45"/>
      <c r="K469" s="45"/>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row>
    <row r="470" spans="1:34">
      <c r="A470" t="s">
        <v>240</v>
      </c>
      <c r="B470"/>
      <c r="C470" s="39">
        <v>4.4000000000000003E-3</v>
      </c>
      <c r="D470" s="40" t="s">
        <v>13</v>
      </c>
      <c r="E470" s="40" t="s">
        <v>109</v>
      </c>
      <c r="F470" s="40" t="s">
        <v>241</v>
      </c>
      <c r="H470" s="40" t="s">
        <v>15</v>
      </c>
      <c r="I470" s="40" t="s">
        <v>242</v>
      </c>
    </row>
    <row r="471" spans="1:34" s="74" customFormat="1">
      <c r="A471" s="72"/>
      <c r="B471" s="72"/>
      <c r="C471" s="73"/>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row>
    <row r="472" spans="1:34" s="74" customFormat="1">
      <c r="A472" s="75" t="s">
        <v>1</v>
      </c>
      <c r="B472" s="76" t="s">
        <v>381</v>
      </c>
    </row>
    <row r="473" spans="1:34" s="74" customFormat="1">
      <c r="A473" s="75" t="s">
        <v>2</v>
      </c>
      <c r="B473" s="77" t="s">
        <v>49</v>
      </c>
    </row>
    <row r="474" spans="1:34" s="74" customFormat="1">
      <c r="A474" s="75" t="s">
        <v>3</v>
      </c>
      <c r="B474" s="77">
        <v>1</v>
      </c>
    </row>
    <row r="475" spans="1:34" s="74" customFormat="1" ht="15.75">
      <c r="A475" s="75" t="s">
        <v>4</v>
      </c>
      <c r="B475" s="78" t="s">
        <v>298</v>
      </c>
    </row>
    <row r="476" spans="1:34" s="74" customFormat="1">
      <c r="A476" s="75" t="s">
        <v>76</v>
      </c>
      <c r="B476" s="77" t="s">
        <v>382</v>
      </c>
    </row>
    <row r="477" spans="1:34" s="74" customFormat="1">
      <c r="A477" s="75" t="s">
        <v>5</v>
      </c>
      <c r="B477" s="77" t="s">
        <v>78</v>
      </c>
    </row>
    <row r="478" spans="1:34" s="74" customFormat="1">
      <c r="A478" s="75" t="s">
        <v>6</v>
      </c>
      <c r="B478" s="77" t="s">
        <v>13</v>
      </c>
    </row>
    <row r="479" spans="1:34" s="74" customFormat="1">
      <c r="A479" s="75" t="s">
        <v>299</v>
      </c>
      <c r="B479" s="79">
        <f>14.9/(1-B480)</f>
        <v>17.325581395348838</v>
      </c>
    </row>
    <row r="480" spans="1:34" s="74" customFormat="1">
      <c r="A480" s="75" t="s">
        <v>300</v>
      </c>
      <c r="B480" s="80">
        <v>0.14000000000000001</v>
      </c>
    </row>
    <row r="481" spans="1:8" s="74" customFormat="1" ht="15.75">
      <c r="A481" s="81" t="s">
        <v>7</v>
      </c>
      <c r="B481" s="77"/>
    </row>
    <row r="482" spans="1:8" s="82" customFormat="1">
      <c r="A482" s="82" t="s">
        <v>8</v>
      </c>
      <c r="B482" s="82" t="s">
        <v>9</v>
      </c>
      <c r="C482" s="82" t="s">
        <v>2</v>
      </c>
      <c r="D482" s="82" t="s">
        <v>6</v>
      </c>
      <c r="E482" s="82" t="s">
        <v>10</v>
      </c>
      <c r="F482" s="82" t="s">
        <v>5</v>
      </c>
      <c r="G482" s="82" t="s">
        <v>11</v>
      </c>
      <c r="H482" s="82" t="s">
        <v>4</v>
      </c>
    </row>
    <row r="483" spans="1:8" s="74" customFormat="1" ht="15.75">
      <c r="A483" s="74" t="s">
        <v>381</v>
      </c>
      <c r="B483" s="77">
        <v>1</v>
      </c>
      <c r="C483" s="74" t="s">
        <v>49</v>
      </c>
      <c r="D483" s="74" t="s">
        <v>13</v>
      </c>
      <c r="E483" s="74" t="s">
        <v>301</v>
      </c>
      <c r="F483" s="74" t="s">
        <v>18</v>
      </c>
      <c r="G483" s="74" t="s">
        <v>74</v>
      </c>
      <c r="H483" s="78" t="s">
        <v>298</v>
      </c>
    </row>
    <row r="484" spans="1:8" s="74" customFormat="1">
      <c r="A484" s="74" t="s">
        <v>115</v>
      </c>
      <c r="B484" s="77">
        <v>7.5716999999999994E-4</v>
      </c>
      <c r="D484" s="74" t="s">
        <v>13</v>
      </c>
      <c r="E484" s="74" t="s">
        <v>25</v>
      </c>
      <c r="F484" s="74" t="s">
        <v>15</v>
      </c>
      <c r="G484" s="74" t="s">
        <v>302</v>
      </c>
    </row>
    <row r="485" spans="1:8" s="74" customFormat="1">
      <c r="A485" s="74" t="s">
        <v>115</v>
      </c>
      <c r="B485" s="77">
        <v>1.7899999999999998E-6</v>
      </c>
      <c r="D485" s="74" t="s">
        <v>13</v>
      </c>
      <c r="E485" s="74" t="s">
        <v>25</v>
      </c>
      <c r="F485" s="74" t="s">
        <v>15</v>
      </c>
      <c r="G485" s="74" t="s">
        <v>303</v>
      </c>
    </row>
    <row r="486" spans="1:8" s="74" customFormat="1">
      <c r="A486" s="74" t="s">
        <v>304</v>
      </c>
      <c r="B486" s="77">
        <v>8.9499999999999996E-3</v>
      </c>
      <c r="C486" s="74" t="s">
        <v>140</v>
      </c>
      <c r="D486" s="74" t="s">
        <v>13</v>
      </c>
      <c r="E486" s="74" t="s">
        <v>305</v>
      </c>
      <c r="F486" s="74" t="s">
        <v>12</v>
      </c>
      <c r="G486" s="74" t="s">
        <v>306</v>
      </c>
      <c r="H486" s="74" t="s">
        <v>307</v>
      </c>
    </row>
    <row r="487" spans="1:8" s="74" customFormat="1">
      <c r="A487" s="74" t="s">
        <v>308</v>
      </c>
      <c r="B487" s="77">
        <v>3.382384E-3</v>
      </c>
      <c r="C487" s="74" t="s">
        <v>140</v>
      </c>
      <c r="D487" s="74" t="s">
        <v>13</v>
      </c>
      <c r="E487" s="74" t="s">
        <v>305</v>
      </c>
      <c r="F487" s="74" t="s">
        <v>12</v>
      </c>
      <c r="G487" s="74" t="s">
        <v>309</v>
      </c>
      <c r="H487" s="74" t="s">
        <v>310</v>
      </c>
    </row>
    <row r="488" spans="1:8" s="74" customFormat="1">
      <c r="A488" s="74" t="s">
        <v>243</v>
      </c>
      <c r="B488" s="77">
        <v>1.9689999999999999E-2</v>
      </c>
      <c r="C488" s="74" t="s">
        <v>27</v>
      </c>
      <c r="D488" s="74" t="s">
        <v>13</v>
      </c>
      <c r="E488" s="74" t="s">
        <v>305</v>
      </c>
      <c r="F488" s="74" t="s">
        <v>12</v>
      </c>
      <c r="G488" s="74" t="s">
        <v>311</v>
      </c>
      <c r="H488" s="74" t="s">
        <v>234</v>
      </c>
    </row>
    <row r="489" spans="1:8" s="74" customFormat="1">
      <c r="A489" s="74" t="s">
        <v>295</v>
      </c>
      <c r="B489" s="77">
        <f>0.00179/1000</f>
        <v>1.79E-6</v>
      </c>
      <c r="C489" s="74" t="s">
        <v>140</v>
      </c>
      <c r="D489" s="74" t="s">
        <v>13</v>
      </c>
      <c r="E489" s="74" t="s">
        <v>305</v>
      </c>
      <c r="F489" s="74" t="s">
        <v>12</v>
      </c>
      <c r="G489" s="74" t="s">
        <v>312</v>
      </c>
      <c r="H489" s="74" t="s">
        <v>296</v>
      </c>
    </row>
    <row r="490" spans="1:8" s="74" customFormat="1">
      <c r="A490" s="74" t="s">
        <v>313</v>
      </c>
      <c r="B490" s="77">
        <f>986/1000000</f>
        <v>9.859999999999999E-4</v>
      </c>
      <c r="C490" s="74" t="s">
        <v>140</v>
      </c>
      <c r="D490" s="74" t="s">
        <v>13</v>
      </c>
      <c r="F490" s="74" t="s">
        <v>12</v>
      </c>
      <c r="G490" s="74" t="s">
        <v>314</v>
      </c>
      <c r="H490" s="74" t="s">
        <v>315</v>
      </c>
    </row>
    <row r="491" spans="1:8" s="74" customFormat="1">
      <c r="A491" s="74" t="s">
        <v>293</v>
      </c>
      <c r="B491" s="77">
        <v>5.3699999999999989E-3</v>
      </c>
      <c r="C491" s="74" t="s">
        <v>27</v>
      </c>
      <c r="D491" s="74" t="s">
        <v>13</v>
      </c>
      <c r="E491" s="74" t="s">
        <v>305</v>
      </c>
      <c r="F491" s="74" t="s">
        <v>12</v>
      </c>
      <c r="G491" s="74" t="s">
        <v>316</v>
      </c>
      <c r="H491" s="74" t="s">
        <v>294</v>
      </c>
    </row>
    <row r="492" spans="1:8" s="74" customFormat="1">
      <c r="A492" s="74" t="s">
        <v>317</v>
      </c>
      <c r="B492" s="77">
        <v>5.3699999999999989E-3</v>
      </c>
      <c r="C492" s="74" t="s">
        <v>27</v>
      </c>
      <c r="D492" s="74" t="s">
        <v>13</v>
      </c>
      <c r="E492" s="74" t="s">
        <v>305</v>
      </c>
      <c r="F492" s="74" t="s">
        <v>12</v>
      </c>
      <c r="G492" s="74" t="s">
        <v>318</v>
      </c>
      <c r="H492" s="74" t="s">
        <v>319</v>
      </c>
    </row>
    <row r="493" spans="1:8" s="74" customFormat="1">
      <c r="A493" s="74" t="s">
        <v>320</v>
      </c>
      <c r="B493" s="77">
        <v>2.3269999999999996E-2</v>
      </c>
      <c r="C493" s="74" t="s">
        <v>140</v>
      </c>
      <c r="D493" s="74" t="s">
        <v>13</v>
      </c>
      <c r="E493" s="74" t="s">
        <v>305</v>
      </c>
      <c r="F493" s="74" t="s">
        <v>12</v>
      </c>
      <c r="G493" s="74" t="s">
        <v>311</v>
      </c>
      <c r="H493" s="74" t="s">
        <v>321</v>
      </c>
    </row>
    <row r="494" spans="1:8" s="74" customFormat="1">
      <c r="A494" s="74" t="s">
        <v>322</v>
      </c>
      <c r="B494" s="77">
        <f>0.01295781*43</f>
        <v>0.55718582999999999</v>
      </c>
      <c r="C494" s="74" t="s">
        <v>140</v>
      </c>
      <c r="D494" s="74" t="s">
        <v>46</v>
      </c>
      <c r="E494" s="74" t="s">
        <v>305</v>
      </c>
      <c r="F494" s="74" t="s">
        <v>12</v>
      </c>
      <c r="G494" s="74" t="s">
        <v>323</v>
      </c>
      <c r="H494" s="74" t="s">
        <v>324</v>
      </c>
    </row>
    <row r="495" spans="1:8" s="74" customFormat="1">
      <c r="A495" s="74" t="s">
        <v>325</v>
      </c>
      <c r="B495" s="77">
        <v>7.464300000000001E-3</v>
      </c>
      <c r="C495" s="74" t="s">
        <v>22</v>
      </c>
      <c r="D495" s="74" t="s">
        <v>19</v>
      </c>
      <c r="E495" s="74" t="s">
        <v>326</v>
      </c>
      <c r="F495" s="74" t="s">
        <v>12</v>
      </c>
      <c r="G495" s="74" t="s">
        <v>309</v>
      </c>
      <c r="H495" s="74" t="s">
        <v>43</v>
      </c>
    </row>
    <row r="496" spans="1:8" s="74" customFormat="1">
      <c r="A496" s="74" t="s">
        <v>325</v>
      </c>
      <c r="B496" s="77">
        <v>1.9407179999999997E-3</v>
      </c>
      <c r="C496" s="74" t="s">
        <v>22</v>
      </c>
      <c r="D496" s="74" t="s">
        <v>19</v>
      </c>
      <c r="E496" s="74" t="s">
        <v>326</v>
      </c>
      <c r="F496" s="74" t="s">
        <v>12</v>
      </c>
      <c r="G496" s="74" t="s">
        <v>327</v>
      </c>
      <c r="H496" s="74" t="s">
        <v>43</v>
      </c>
    </row>
    <row r="497" spans="1:8" s="74" customFormat="1">
      <c r="A497" s="74" t="s">
        <v>328</v>
      </c>
      <c r="B497" s="77">
        <v>3.923859E-3</v>
      </c>
      <c r="C497" s="74" t="s">
        <v>49</v>
      </c>
      <c r="D497" s="74" t="s">
        <v>13</v>
      </c>
      <c r="E497" s="74" t="s">
        <v>305</v>
      </c>
      <c r="F497" s="74" t="s">
        <v>12</v>
      </c>
      <c r="G497" s="74" t="s">
        <v>309</v>
      </c>
      <c r="H497" s="74" t="s">
        <v>329</v>
      </c>
    </row>
    <row r="498" spans="1:8" s="74" customFormat="1">
      <c r="A498" s="74" t="s">
        <v>285</v>
      </c>
      <c r="B498" s="77">
        <f>17.9*(1-B480)</f>
        <v>15.393999999999998</v>
      </c>
      <c r="D498" s="74" t="s">
        <v>46</v>
      </c>
      <c r="E498" s="74" t="s">
        <v>286</v>
      </c>
      <c r="F498" s="74" t="s">
        <v>15</v>
      </c>
      <c r="G498" s="74" t="s">
        <v>330</v>
      </c>
    </row>
    <row r="499" spans="1:8" s="74" customFormat="1">
      <c r="A499" s="74" t="s">
        <v>197</v>
      </c>
      <c r="B499" s="77">
        <v>0</v>
      </c>
      <c r="D499" s="74" t="s">
        <v>13</v>
      </c>
      <c r="E499" s="74" t="s">
        <v>198</v>
      </c>
      <c r="F499" s="74" t="s">
        <v>15</v>
      </c>
      <c r="G499" s="74" t="s">
        <v>380</v>
      </c>
    </row>
    <row r="500" spans="1:8" s="74" customFormat="1">
      <c r="A500" s="74" t="s">
        <v>289</v>
      </c>
      <c r="B500" s="77">
        <f>1/(7129/10000)</f>
        <v>1.4027212792818067</v>
      </c>
      <c r="D500" s="74" t="s">
        <v>17</v>
      </c>
      <c r="E500" s="74" t="s">
        <v>16</v>
      </c>
      <c r="F500" s="74" t="s">
        <v>15</v>
      </c>
      <c r="G500" s="74" t="s">
        <v>331</v>
      </c>
    </row>
    <row r="501" spans="1:8" s="74" customFormat="1">
      <c r="A501" s="74" t="s">
        <v>332</v>
      </c>
      <c r="B501" s="77">
        <f>1/(7129/10000)</f>
        <v>1.4027212792818067</v>
      </c>
      <c r="D501" s="74" t="s">
        <v>187</v>
      </c>
      <c r="E501" s="74" t="s">
        <v>16</v>
      </c>
      <c r="F501" s="74" t="s">
        <v>15</v>
      </c>
      <c r="G501" s="74" t="s">
        <v>333</v>
      </c>
    </row>
    <row r="502" spans="1:8" s="74" customFormat="1">
      <c r="A502" s="74" t="s">
        <v>292</v>
      </c>
      <c r="B502" s="77">
        <f>1/(7129/10000)</f>
        <v>1.4027212792818067</v>
      </c>
      <c r="D502" s="74" t="s">
        <v>187</v>
      </c>
      <c r="E502" s="74" t="s">
        <v>16</v>
      </c>
      <c r="F502" s="74" t="s">
        <v>15</v>
      </c>
      <c r="G502" s="74" t="s">
        <v>333</v>
      </c>
    </row>
    <row r="503" spans="1:8" s="74" customFormat="1">
      <c r="A503" s="74" t="s">
        <v>130</v>
      </c>
      <c r="B503" s="77">
        <v>0.17007192792102799</v>
      </c>
      <c r="D503" s="74" t="s">
        <v>128</v>
      </c>
      <c r="E503" s="74" t="s">
        <v>25</v>
      </c>
      <c r="F503" s="74" t="s">
        <v>15</v>
      </c>
      <c r="G503" s="74" t="s">
        <v>334</v>
      </c>
    </row>
    <row r="504" spans="1:8" s="74" customFormat="1">
      <c r="A504" s="74" t="s">
        <v>119</v>
      </c>
      <c r="B504" s="77">
        <v>8.3517419999999996E-5</v>
      </c>
      <c r="D504" s="74" t="s">
        <v>13</v>
      </c>
      <c r="E504" s="74" t="s">
        <v>183</v>
      </c>
      <c r="F504" s="74" t="s">
        <v>15</v>
      </c>
      <c r="G504" s="74" t="s">
        <v>334</v>
      </c>
    </row>
    <row r="505" spans="1:8" s="74" customFormat="1">
      <c r="A505" s="74" t="s">
        <v>268</v>
      </c>
      <c r="B505" s="77">
        <v>1.0182310000000001E-3</v>
      </c>
      <c r="D505" s="74" t="s">
        <v>13</v>
      </c>
      <c r="E505" s="74" t="s">
        <v>183</v>
      </c>
      <c r="F505" s="74" t="s">
        <v>15</v>
      </c>
      <c r="G505" s="74" t="s">
        <v>334</v>
      </c>
    </row>
    <row r="506" spans="1:8" s="74" customFormat="1">
      <c r="A506" s="74" t="s">
        <v>335</v>
      </c>
      <c r="B506" s="77">
        <f>B508/2</f>
        <v>0.47991081325301199</v>
      </c>
      <c r="D506" s="74" t="s">
        <v>187</v>
      </c>
      <c r="E506" s="74" t="s">
        <v>16</v>
      </c>
      <c r="F506" s="74" t="s">
        <v>15</v>
      </c>
      <c r="G506" s="74" t="s">
        <v>336</v>
      </c>
    </row>
    <row r="507" spans="1:8" s="74" customFormat="1">
      <c r="A507" s="74" t="s">
        <v>337</v>
      </c>
      <c r="B507" s="77">
        <f>B508/2</f>
        <v>0.47991081325301199</v>
      </c>
      <c r="D507" s="74" t="s">
        <v>187</v>
      </c>
      <c r="E507" s="74" t="s">
        <v>16</v>
      </c>
      <c r="F507" s="74" t="s">
        <v>15</v>
      </c>
      <c r="G507" s="74" t="s">
        <v>336</v>
      </c>
    </row>
    <row r="508" spans="1:8" s="74" customFormat="1">
      <c r="A508" s="74" t="s">
        <v>338</v>
      </c>
      <c r="B508" s="77">
        <v>0.95982162650602398</v>
      </c>
      <c r="D508" s="74" t="s">
        <v>17</v>
      </c>
      <c r="E508" s="74" t="s">
        <v>16</v>
      </c>
      <c r="F508" s="74" t="s">
        <v>15</v>
      </c>
      <c r="G508" s="74" t="s">
        <v>339</v>
      </c>
    </row>
    <row r="509" spans="1:8" s="74" customFormat="1">
      <c r="A509" s="74" t="s">
        <v>340</v>
      </c>
      <c r="B509" s="77">
        <v>1.0107999999999999E-6</v>
      </c>
      <c r="D509" s="74" t="s">
        <v>13</v>
      </c>
      <c r="E509" s="74" t="s">
        <v>283</v>
      </c>
      <c r="F509" s="74" t="s">
        <v>15</v>
      </c>
      <c r="G509" s="74" t="s">
        <v>334</v>
      </c>
    </row>
    <row r="510" spans="1:8" s="74" customFormat="1">
      <c r="A510" s="74" t="s">
        <v>341</v>
      </c>
      <c r="B510" s="77">
        <v>6.1366999999999996E-7</v>
      </c>
      <c r="D510" s="74" t="s">
        <v>13</v>
      </c>
      <c r="E510" s="74" t="s">
        <v>283</v>
      </c>
      <c r="F510" s="74" t="s">
        <v>15</v>
      </c>
      <c r="G510" s="74" t="s">
        <v>334</v>
      </c>
    </row>
    <row r="511" spans="1:8" s="74" customFormat="1">
      <c r="A511" s="74" t="s">
        <v>342</v>
      </c>
      <c r="B511" s="77">
        <v>4.8131000000000003E-9</v>
      </c>
      <c r="D511" s="74" t="s">
        <v>13</v>
      </c>
      <c r="E511" s="74" t="s">
        <v>283</v>
      </c>
      <c r="F511" s="74" t="s">
        <v>15</v>
      </c>
      <c r="G511" s="74" t="s">
        <v>334</v>
      </c>
    </row>
    <row r="512" spans="1:8" s="74" customFormat="1">
      <c r="A512" s="74" t="s">
        <v>343</v>
      </c>
      <c r="B512" s="77">
        <v>6.4977000000000003E-7</v>
      </c>
      <c r="D512" s="74" t="s">
        <v>13</v>
      </c>
      <c r="E512" s="74" t="s">
        <v>283</v>
      </c>
      <c r="F512" s="74" t="s">
        <v>15</v>
      </c>
      <c r="G512" s="74" t="s">
        <v>334</v>
      </c>
    </row>
    <row r="513" spans="1:7" s="74" customFormat="1">
      <c r="A513" s="74" t="s">
        <v>344</v>
      </c>
      <c r="B513" s="77">
        <v>-1.5040999999999999E-6</v>
      </c>
      <c r="D513" s="74" t="s">
        <v>13</v>
      </c>
      <c r="E513" s="74" t="s">
        <v>283</v>
      </c>
      <c r="F513" s="74" t="s">
        <v>15</v>
      </c>
      <c r="G513" s="74" t="s">
        <v>334</v>
      </c>
    </row>
    <row r="514" spans="1:7" s="74" customFormat="1">
      <c r="A514" s="74" t="s">
        <v>345</v>
      </c>
      <c r="B514" s="77">
        <v>1.2032999999999999E-7</v>
      </c>
      <c r="D514" s="74" t="s">
        <v>13</v>
      </c>
      <c r="E514" s="74" t="s">
        <v>283</v>
      </c>
      <c r="F514" s="74" t="s">
        <v>15</v>
      </c>
      <c r="G514" s="74" t="s">
        <v>334</v>
      </c>
    </row>
    <row r="515" spans="1:7" s="74" customFormat="1">
      <c r="A515" s="74" t="s">
        <v>346</v>
      </c>
      <c r="B515" s="77">
        <v>2.4787000000000001E-6</v>
      </c>
      <c r="D515" s="74" t="s">
        <v>13</v>
      </c>
      <c r="E515" s="74" t="s">
        <v>283</v>
      </c>
      <c r="F515" s="74" t="s">
        <v>15</v>
      </c>
      <c r="G515" s="74" t="s">
        <v>334</v>
      </c>
    </row>
    <row r="516" spans="1:7" s="74" customFormat="1">
      <c r="A516" s="74" t="s">
        <v>347</v>
      </c>
      <c r="B516" s="77">
        <v>1.0829E-7</v>
      </c>
      <c r="D516" s="74" t="s">
        <v>13</v>
      </c>
      <c r="E516" s="74" t="s">
        <v>283</v>
      </c>
      <c r="F516" s="74" t="s">
        <v>15</v>
      </c>
      <c r="G516" s="74" t="s">
        <v>334</v>
      </c>
    </row>
    <row r="517" spans="1:7" s="74" customFormat="1">
      <c r="A517" s="74" t="s">
        <v>348</v>
      </c>
      <c r="B517" s="77">
        <v>1.0107999999999999E-6</v>
      </c>
      <c r="D517" s="74" t="s">
        <v>13</v>
      </c>
      <c r="E517" s="74" t="s">
        <v>283</v>
      </c>
      <c r="F517" s="74" t="s">
        <v>15</v>
      </c>
      <c r="G517" s="74" t="s">
        <v>334</v>
      </c>
    </row>
    <row r="518" spans="1:7" s="74" customFormat="1">
      <c r="A518" s="74" t="s">
        <v>349</v>
      </c>
      <c r="B518" s="77">
        <v>2.4065000000000001E-8</v>
      </c>
      <c r="D518" s="74" t="s">
        <v>13</v>
      </c>
      <c r="E518" s="74" t="s">
        <v>283</v>
      </c>
      <c r="F518" s="74" t="s">
        <v>15</v>
      </c>
      <c r="G518" s="74" t="s">
        <v>334</v>
      </c>
    </row>
    <row r="519" spans="1:7" s="74" customFormat="1">
      <c r="A519" s="74" t="s">
        <v>350</v>
      </c>
      <c r="B519" s="77">
        <v>-3.2893999999999998E-7</v>
      </c>
      <c r="D519" s="74" t="s">
        <v>13</v>
      </c>
      <c r="E519" s="74" t="s">
        <v>283</v>
      </c>
      <c r="F519" s="74" t="s">
        <v>15</v>
      </c>
      <c r="G519" s="74" t="s">
        <v>334</v>
      </c>
    </row>
    <row r="520" spans="1:7" s="74" customFormat="1">
      <c r="A520" s="74" t="s">
        <v>351</v>
      </c>
      <c r="B520" s="77">
        <v>7.9416000000000001E-7</v>
      </c>
      <c r="D520" s="74" t="s">
        <v>13</v>
      </c>
      <c r="E520" s="74" t="s">
        <v>283</v>
      </c>
      <c r="F520" s="74" t="s">
        <v>15</v>
      </c>
      <c r="G520" s="74" t="s">
        <v>334</v>
      </c>
    </row>
    <row r="521" spans="1:7" s="74" customFormat="1">
      <c r="A521" s="74" t="s">
        <v>352</v>
      </c>
      <c r="B521" s="77">
        <v>4.1393000000000003E-6</v>
      </c>
      <c r="D521" s="74" t="s">
        <v>13</v>
      </c>
      <c r="E521" s="74" t="s">
        <v>283</v>
      </c>
      <c r="F521" s="74" t="s">
        <v>15</v>
      </c>
      <c r="G521" s="74" t="s">
        <v>334</v>
      </c>
    </row>
    <row r="522" spans="1:7" s="74" customFormat="1">
      <c r="A522" s="74" t="s">
        <v>353</v>
      </c>
      <c r="B522" s="77">
        <v>5.0537999999999999E-8</v>
      </c>
      <c r="D522" s="74" t="s">
        <v>13</v>
      </c>
      <c r="E522" s="74" t="s">
        <v>283</v>
      </c>
      <c r="F522" s="74" t="s">
        <v>15</v>
      </c>
      <c r="G522" s="74" t="s">
        <v>334</v>
      </c>
    </row>
    <row r="523" spans="1:7" s="74" customFormat="1">
      <c r="A523" s="74" t="s">
        <v>354</v>
      </c>
      <c r="B523" s="77">
        <v>-5.9000999999999996E-6</v>
      </c>
      <c r="D523" s="74" t="s">
        <v>13</v>
      </c>
      <c r="E523" s="74" t="s">
        <v>283</v>
      </c>
      <c r="F523" s="74" t="s">
        <v>15</v>
      </c>
      <c r="G523" s="74" t="s">
        <v>334</v>
      </c>
    </row>
    <row r="524" spans="1:7" s="74" customFormat="1">
      <c r="A524" s="74" t="s">
        <v>355</v>
      </c>
      <c r="B524" s="77">
        <v>1.5643E-6</v>
      </c>
      <c r="D524" s="74" t="s">
        <v>13</v>
      </c>
      <c r="E524" s="74" t="s">
        <v>283</v>
      </c>
      <c r="F524" s="74" t="s">
        <v>15</v>
      </c>
      <c r="G524" s="74" t="s">
        <v>334</v>
      </c>
    </row>
    <row r="525" spans="1:7" s="74" customFormat="1">
      <c r="A525" s="74" t="s">
        <v>356</v>
      </c>
      <c r="B525" s="77">
        <v>2.6952999999999998E-6</v>
      </c>
      <c r="D525" s="74" t="s">
        <v>13</v>
      </c>
      <c r="E525" s="74" t="s">
        <v>283</v>
      </c>
      <c r="F525" s="74" t="s">
        <v>15</v>
      </c>
      <c r="G525" s="74" t="s">
        <v>334</v>
      </c>
    </row>
    <row r="526" spans="1:7" s="74" customFormat="1">
      <c r="A526" s="74" t="s">
        <v>357</v>
      </c>
      <c r="B526" s="77">
        <v>4.4454999999999997E-8</v>
      </c>
      <c r="D526" s="74" t="s">
        <v>13</v>
      </c>
      <c r="E526" s="74" t="s">
        <v>283</v>
      </c>
      <c r="F526" s="74" t="s">
        <v>15</v>
      </c>
      <c r="G526" s="74" t="s">
        <v>334</v>
      </c>
    </row>
    <row r="527" spans="1:7" s="74" customFormat="1">
      <c r="A527" s="74" t="s">
        <v>358</v>
      </c>
      <c r="B527" s="77">
        <v>3.6097999999999997E-8</v>
      </c>
      <c r="D527" s="74" t="s">
        <v>13</v>
      </c>
      <c r="E527" s="74" t="s">
        <v>283</v>
      </c>
      <c r="F527" s="74" t="s">
        <v>15</v>
      </c>
      <c r="G527" s="74" t="s">
        <v>334</v>
      </c>
    </row>
    <row r="528" spans="1:7" s="74" customFormat="1">
      <c r="A528" s="74" t="s">
        <v>359</v>
      </c>
      <c r="B528" s="77">
        <v>2.1659000000000001E-7</v>
      </c>
      <c r="D528" s="74" t="s">
        <v>13</v>
      </c>
      <c r="E528" s="74" t="s">
        <v>283</v>
      </c>
      <c r="F528" s="74" t="s">
        <v>15</v>
      </c>
      <c r="G528" s="74" t="s">
        <v>334</v>
      </c>
    </row>
    <row r="529" spans="1:7" s="74" customFormat="1">
      <c r="A529" s="74" t="s">
        <v>360</v>
      </c>
      <c r="B529" s="77">
        <v>-1.8835E-8</v>
      </c>
      <c r="D529" s="74" t="s">
        <v>13</v>
      </c>
      <c r="E529" s="74" t="s">
        <v>283</v>
      </c>
      <c r="F529" s="74" t="s">
        <v>15</v>
      </c>
      <c r="G529" s="74" t="s">
        <v>334</v>
      </c>
    </row>
    <row r="530" spans="1:7" s="74" customFormat="1">
      <c r="A530" s="74" t="s">
        <v>288</v>
      </c>
      <c r="B530" s="77">
        <v>4.2885E-5</v>
      </c>
      <c r="D530" s="74" t="s">
        <v>13</v>
      </c>
      <c r="E530" s="74" t="s">
        <v>283</v>
      </c>
      <c r="F530" s="74" t="s">
        <v>15</v>
      </c>
      <c r="G530" s="74" t="s">
        <v>334</v>
      </c>
    </row>
    <row r="531" spans="1:7" s="74" customFormat="1">
      <c r="A531" s="74" t="s">
        <v>282</v>
      </c>
      <c r="B531" s="77">
        <v>9.2460000000000006E-5</v>
      </c>
      <c r="D531" s="74" t="s">
        <v>13</v>
      </c>
      <c r="E531" s="74" t="s">
        <v>283</v>
      </c>
      <c r="F531" s="74" t="s">
        <v>15</v>
      </c>
      <c r="G531" s="74" t="s">
        <v>334</v>
      </c>
    </row>
    <row r="532" spans="1:7" s="74" customFormat="1">
      <c r="A532" s="74" t="s">
        <v>361</v>
      </c>
      <c r="B532" s="77">
        <v>5.0297000000000003E-6</v>
      </c>
      <c r="D532" s="74" t="s">
        <v>13</v>
      </c>
      <c r="E532" s="74" t="s">
        <v>283</v>
      </c>
      <c r="F532" s="74" t="s">
        <v>15</v>
      </c>
      <c r="G532" s="74" t="s">
        <v>334</v>
      </c>
    </row>
    <row r="533" spans="1:7" s="74" customFormat="1">
      <c r="A533" s="74" t="s">
        <v>362</v>
      </c>
      <c r="B533" s="77">
        <v>2.4306000000000001E-6</v>
      </c>
      <c r="D533" s="74" t="s">
        <v>13</v>
      </c>
      <c r="E533" s="74" t="s">
        <v>283</v>
      </c>
      <c r="F533" s="74" t="s">
        <v>15</v>
      </c>
      <c r="G533" s="74" t="s">
        <v>334</v>
      </c>
    </row>
    <row r="534" spans="1:7" s="74" customFormat="1">
      <c r="A534" s="74" t="s">
        <v>363</v>
      </c>
      <c r="B534" s="77">
        <v>1.7326999999999999E-6</v>
      </c>
      <c r="D534" s="74" t="s">
        <v>13</v>
      </c>
      <c r="E534" s="74" t="s">
        <v>283</v>
      </c>
      <c r="F534" s="74" t="s">
        <v>15</v>
      </c>
      <c r="G534" s="74" t="s">
        <v>334</v>
      </c>
    </row>
    <row r="535" spans="1:7" s="74" customFormat="1">
      <c r="A535" s="74" t="s">
        <v>364</v>
      </c>
      <c r="B535" s="77">
        <v>2.8878999999999998E-7</v>
      </c>
      <c r="D535" s="74" t="s">
        <v>13</v>
      </c>
      <c r="E535" s="74" t="s">
        <v>283</v>
      </c>
      <c r="F535" s="74" t="s">
        <v>15</v>
      </c>
      <c r="G535" s="74" t="s">
        <v>334</v>
      </c>
    </row>
    <row r="536" spans="1:7" s="74" customFormat="1">
      <c r="A536" s="74" t="s">
        <v>287</v>
      </c>
      <c r="B536" s="77">
        <v>1.9661999999999999E-5</v>
      </c>
      <c r="D536" s="74" t="s">
        <v>13</v>
      </c>
      <c r="E536" s="74" t="s">
        <v>283</v>
      </c>
      <c r="F536" s="74" t="s">
        <v>15</v>
      </c>
      <c r="G536" s="74" t="s">
        <v>334</v>
      </c>
    </row>
    <row r="537" spans="1:7" s="74" customFormat="1">
      <c r="A537" s="74" t="s">
        <v>365</v>
      </c>
      <c r="B537" s="77">
        <v>1.1911999999999999E-6</v>
      </c>
      <c r="D537" s="74" t="s">
        <v>13</v>
      </c>
      <c r="E537" s="74" t="s">
        <v>283</v>
      </c>
      <c r="F537" s="74" t="s">
        <v>15</v>
      </c>
      <c r="G537" s="74" t="s">
        <v>334</v>
      </c>
    </row>
    <row r="538" spans="1:7" s="74" customFormat="1">
      <c r="A538" s="74" t="s">
        <v>366</v>
      </c>
      <c r="B538" s="77">
        <v>1.9252000000000001E-7</v>
      </c>
      <c r="D538" s="74" t="s">
        <v>13</v>
      </c>
      <c r="E538" s="74" t="s">
        <v>283</v>
      </c>
      <c r="F538" s="74" t="s">
        <v>15</v>
      </c>
      <c r="G538" s="74" t="s">
        <v>334</v>
      </c>
    </row>
    <row r="539" spans="1:7" s="74" customFormat="1">
      <c r="A539" s="74" t="s">
        <v>367</v>
      </c>
      <c r="B539" s="77">
        <v>3.0442999999999998E-6</v>
      </c>
      <c r="D539" s="74" t="s">
        <v>13</v>
      </c>
      <c r="E539" s="74" t="s">
        <v>283</v>
      </c>
      <c r="F539" s="74" t="s">
        <v>15</v>
      </c>
      <c r="G539" s="74" t="s">
        <v>334</v>
      </c>
    </row>
    <row r="540" spans="1:7" s="74" customFormat="1">
      <c r="A540" s="74" t="s">
        <v>368</v>
      </c>
      <c r="B540" s="77">
        <v>4.8130999999999997E-6</v>
      </c>
      <c r="D540" s="74" t="s">
        <v>13</v>
      </c>
      <c r="E540" s="74" t="s">
        <v>283</v>
      </c>
      <c r="F540" s="74" t="s">
        <v>15</v>
      </c>
      <c r="G540" s="74" t="s">
        <v>334</v>
      </c>
    </row>
    <row r="541" spans="1:7" s="74" customFormat="1">
      <c r="A541" s="74" t="s">
        <v>369</v>
      </c>
      <c r="B541" s="77">
        <v>5.9441999999999998E-5</v>
      </c>
      <c r="D541" s="74" t="s">
        <v>13</v>
      </c>
      <c r="E541" s="74" t="s">
        <v>283</v>
      </c>
      <c r="F541" s="74" t="s">
        <v>15</v>
      </c>
      <c r="G541" s="74" t="s">
        <v>334</v>
      </c>
    </row>
    <row r="542" spans="1:7" s="74" customFormat="1">
      <c r="A542" s="74" t="s">
        <v>370</v>
      </c>
      <c r="B542" s="77">
        <v>3.3691999999999998E-7</v>
      </c>
      <c r="D542" s="74" t="s">
        <v>13</v>
      </c>
      <c r="E542" s="74" t="s">
        <v>283</v>
      </c>
      <c r="F542" s="74" t="s">
        <v>15</v>
      </c>
      <c r="G542" s="74" t="s">
        <v>334</v>
      </c>
    </row>
    <row r="543" spans="1:7" s="74" customFormat="1">
      <c r="A543" s="74" t="s">
        <v>371</v>
      </c>
      <c r="B543" s="77">
        <v>1.6846000000000001E-8</v>
      </c>
      <c r="D543" s="74" t="s">
        <v>13</v>
      </c>
      <c r="E543" s="74" t="s">
        <v>283</v>
      </c>
      <c r="F543" s="74" t="s">
        <v>15</v>
      </c>
      <c r="G543" s="74" t="s">
        <v>334</v>
      </c>
    </row>
    <row r="544" spans="1:7" s="74" customFormat="1">
      <c r="A544" s="74" t="s">
        <v>372</v>
      </c>
      <c r="B544" s="77">
        <v>5.7757E-7</v>
      </c>
      <c r="D544" s="74" t="s">
        <v>13</v>
      </c>
      <c r="E544" s="74" t="s">
        <v>283</v>
      </c>
      <c r="F544" s="74" t="s">
        <v>15</v>
      </c>
      <c r="G544" s="74" t="s">
        <v>334</v>
      </c>
    </row>
    <row r="545" spans="1:7" s="74" customFormat="1">
      <c r="A545" s="74" t="s">
        <v>373</v>
      </c>
      <c r="B545" s="77">
        <v>2.1658999999999999E-8</v>
      </c>
      <c r="D545" s="74" t="s">
        <v>13</v>
      </c>
      <c r="E545" s="74" t="s">
        <v>283</v>
      </c>
      <c r="F545" s="74" t="s">
        <v>15</v>
      </c>
      <c r="G545" s="74" t="s">
        <v>334</v>
      </c>
    </row>
    <row r="546" spans="1:7" s="74" customFormat="1">
      <c r="A546" s="74" t="s">
        <v>374</v>
      </c>
      <c r="B546" s="77">
        <v>3.6097999999999997E-8</v>
      </c>
      <c r="D546" s="74" t="s">
        <v>13</v>
      </c>
      <c r="E546" s="74" t="s">
        <v>283</v>
      </c>
      <c r="F546" s="74" t="s">
        <v>15</v>
      </c>
      <c r="G546" s="74" t="s">
        <v>334</v>
      </c>
    </row>
    <row r="547" spans="1:7" s="74" customFormat="1">
      <c r="A547" s="74" t="s">
        <v>375</v>
      </c>
      <c r="B547" s="77">
        <v>2.6472E-7</v>
      </c>
      <c r="D547" s="74" t="s">
        <v>13</v>
      </c>
      <c r="E547" s="74" t="s">
        <v>283</v>
      </c>
      <c r="F547" s="74" t="s">
        <v>15</v>
      </c>
      <c r="G547" s="74" t="s">
        <v>334</v>
      </c>
    </row>
    <row r="548" spans="1:7" s="74" customFormat="1">
      <c r="A548" s="74" t="s">
        <v>376</v>
      </c>
      <c r="B548" s="77">
        <v>1.2032999999999999E-7</v>
      </c>
      <c r="D548" s="74" t="s">
        <v>13</v>
      </c>
      <c r="E548" s="74" t="s">
        <v>283</v>
      </c>
      <c r="F548" s="74" t="s">
        <v>15</v>
      </c>
      <c r="G548" s="74" t="s">
        <v>334</v>
      </c>
    </row>
    <row r="549" spans="1:7" s="74" customFormat="1">
      <c r="A549" s="74" t="s">
        <v>377</v>
      </c>
      <c r="B549" s="77">
        <v>2.6436999999999998E-7</v>
      </c>
      <c r="D549" s="74" t="s">
        <v>13</v>
      </c>
      <c r="E549" s="74" t="s">
        <v>283</v>
      </c>
      <c r="F549" s="74" t="s">
        <v>15</v>
      </c>
      <c r="G549" s="74" t="s">
        <v>334</v>
      </c>
    </row>
    <row r="550" spans="1:7" s="74" customFormat="1">
      <c r="A550" s="74" t="s">
        <v>130</v>
      </c>
      <c r="B550" s="77">
        <v>5.9736877488796199E-2</v>
      </c>
      <c r="D550" s="74" t="s">
        <v>128</v>
      </c>
      <c r="E550" s="74" t="s">
        <v>241</v>
      </c>
      <c r="F550" s="74" t="s">
        <v>15</v>
      </c>
      <c r="G550" s="74" t="s">
        <v>334</v>
      </c>
    </row>
    <row r="551" spans="1:7" s="74" customFormat="1">
      <c r="A551" s="74" t="s">
        <v>240</v>
      </c>
      <c r="B551" s="77">
        <v>1.1639108E-2</v>
      </c>
      <c r="D551" s="74" t="s">
        <v>13</v>
      </c>
      <c r="E551" s="74" t="s">
        <v>241</v>
      </c>
      <c r="F551" s="74" t="s">
        <v>15</v>
      </c>
      <c r="G551" s="74" t="s">
        <v>334</v>
      </c>
    </row>
    <row r="552" spans="1:7" s="74" customFormat="1">
      <c r="A552" s="74" t="s">
        <v>130</v>
      </c>
      <c r="B552" s="77">
        <v>1.4934219372198999E-2</v>
      </c>
      <c r="D552" s="74" t="s">
        <v>128</v>
      </c>
      <c r="E552" s="74" t="s">
        <v>284</v>
      </c>
      <c r="F552" s="74" t="s">
        <v>15</v>
      </c>
      <c r="G552" s="74" t="s">
        <v>334</v>
      </c>
    </row>
    <row r="553" spans="1:7" s="74" customFormat="1">
      <c r="A553" s="74" t="s">
        <v>291</v>
      </c>
      <c r="B553" s="77">
        <v>9.7541999999999995E-5</v>
      </c>
      <c r="D553" s="74" t="s">
        <v>13</v>
      </c>
      <c r="E553" s="74" t="s">
        <v>284</v>
      </c>
      <c r="F553" s="74" t="s">
        <v>15</v>
      </c>
      <c r="G553" s="74" t="s">
        <v>334</v>
      </c>
    </row>
    <row r="554" spans="1:7" s="74" customFormat="1">
      <c r="A554" s="74" t="s">
        <v>290</v>
      </c>
      <c r="B554" s="77">
        <v>7.5147999999999996E-6</v>
      </c>
      <c r="D554" s="74" t="s">
        <v>13</v>
      </c>
      <c r="E554" s="74" t="s">
        <v>284</v>
      </c>
      <c r="F554" s="74" t="s">
        <v>15</v>
      </c>
      <c r="G554" s="74" t="s">
        <v>334</v>
      </c>
    </row>
    <row r="555" spans="1:7" s="74" customFormat="1">
      <c r="A555" s="74" t="s">
        <v>378</v>
      </c>
      <c r="B555" s="77">
        <v>0</v>
      </c>
      <c r="D555" s="74" t="s">
        <v>128</v>
      </c>
      <c r="E555" s="74" t="s">
        <v>129</v>
      </c>
      <c r="F555" s="74" t="s">
        <v>15</v>
      </c>
      <c r="G555" s="83" t="s">
        <v>379</v>
      </c>
    </row>
    <row r="556" spans="1:7" s="64" customFormat="1">
      <c r="B556" s="65"/>
    </row>
    <row r="557" spans="1:7">
      <c r="A557" s="38" t="s">
        <v>1</v>
      </c>
      <c r="B557" s="38" t="s">
        <v>269</v>
      </c>
    </row>
    <row r="558" spans="1:7">
      <c r="A558" s="41" t="s">
        <v>11</v>
      </c>
      <c r="B558" s="70" t="s">
        <v>496</v>
      </c>
    </row>
    <row r="559" spans="1:7">
      <c r="A559" s="41" t="s">
        <v>2</v>
      </c>
      <c r="B559" t="s">
        <v>29</v>
      </c>
    </row>
    <row r="560" spans="1:7">
      <c r="A560" s="41" t="s">
        <v>3</v>
      </c>
      <c r="B560" s="42">
        <v>1</v>
      </c>
    </row>
    <row r="561" spans="1:9">
      <c r="A561" s="41" t="s">
        <v>4</v>
      </c>
      <c r="B561" t="s">
        <v>244</v>
      </c>
    </row>
    <row r="562" spans="1:9">
      <c r="A562" s="41" t="s">
        <v>6</v>
      </c>
      <c r="B562" t="s">
        <v>128</v>
      </c>
    </row>
    <row r="563" spans="1:9">
      <c r="A563" s="41" t="s">
        <v>76</v>
      </c>
      <c r="B563"/>
    </row>
    <row r="564" spans="1:9" ht="15.75">
      <c r="A564" s="29" t="s">
        <v>7</v>
      </c>
      <c r="B564"/>
    </row>
    <row r="565" spans="1:9" s="41" customFormat="1">
      <c r="A565" s="41" t="s">
        <v>8</v>
      </c>
      <c r="B565" s="41" t="s">
        <v>4</v>
      </c>
      <c r="C565" s="41" t="s">
        <v>9</v>
      </c>
      <c r="D565" s="41" t="s">
        <v>6</v>
      </c>
      <c r="E565" s="41" t="s">
        <v>106</v>
      </c>
      <c r="F565" s="41" t="s">
        <v>10</v>
      </c>
      <c r="G565" s="41" t="s">
        <v>2</v>
      </c>
      <c r="H565" s="41" t="s">
        <v>5</v>
      </c>
      <c r="I565" s="41" t="s">
        <v>11</v>
      </c>
    </row>
    <row r="566" spans="1:9">
      <c r="A566" t="s">
        <v>269</v>
      </c>
      <c r="B566" t="s">
        <v>244</v>
      </c>
      <c r="C566">
        <v>1</v>
      </c>
      <c r="D566" t="s">
        <v>128</v>
      </c>
      <c r="E566" s="45"/>
      <c r="G566" t="s">
        <v>29</v>
      </c>
      <c r="H566" t="s">
        <v>18</v>
      </c>
    </row>
    <row r="567" spans="1:9">
      <c r="A567" t="s">
        <v>249</v>
      </c>
      <c r="B567" t="s">
        <v>250</v>
      </c>
      <c r="C567">
        <v>1.5153830138359706E-4</v>
      </c>
      <c r="D567" t="s">
        <v>13</v>
      </c>
      <c r="E567" t="s">
        <v>205</v>
      </c>
      <c r="G567" t="s">
        <v>140</v>
      </c>
      <c r="H567" t="s">
        <v>12</v>
      </c>
    </row>
    <row r="568" spans="1:9">
      <c r="A568" t="s">
        <v>251</v>
      </c>
      <c r="B568" t="s">
        <v>135</v>
      </c>
      <c r="C568">
        <v>5.4000000000000001E-11</v>
      </c>
      <c r="D568" t="s">
        <v>6</v>
      </c>
      <c r="E568" t="s">
        <v>205</v>
      </c>
      <c r="G568" t="s">
        <v>140</v>
      </c>
      <c r="H568" t="s">
        <v>12</v>
      </c>
    </row>
    <row r="569" spans="1:9">
      <c r="A569" t="s">
        <v>28</v>
      </c>
      <c r="B569" t="s">
        <v>20</v>
      </c>
      <c r="C569">
        <v>0.9818888836474815</v>
      </c>
      <c r="D569" t="s">
        <v>19</v>
      </c>
      <c r="E569" t="s">
        <v>205</v>
      </c>
      <c r="G569" t="s">
        <v>29</v>
      </c>
      <c r="H569" t="s">
        <v>12</v>
      </c>
    </row>
    <row r="570" spans="1:9">
      <c r="A570" t="s">
        <v>179</v>
      </c>
      <c r="B570" t="s">
        <v>180</v>
      </c>
      <c r="C570">
        <v>1.1400000000000001E-4</v>
      </c>
      <c r="D570" t="s">
        <v>13</v>
      </c>
      <c r="E570" t="s">
        <v>205</v>
      </c>
      <c r="G570" t="s">
        <v>49</v>
      </c>
      <c r="H570" t="s">
        <v>12</v>
      </c>
    </row>
    <row r="571" spans="1:9">
      <c r="A571" t="s">
        <v>252</v>
      </c>
      <c r="B571" t="s">
        <v>253</v>
      </c>
      <c r="C571">
        <v>1.01E-4</v>
      </c>
      <c r="D571" t="s">
        <v>13</v>
      </c>
      <c r="E571" t="s">
        <v>205</v>
      </c>
      <c r="G571" t="s">
        <v>140</v>
      </c>
      <c r="H571" t="s">
        <v>12</v>
      </c>
    </row>
    <row r="572" spans="1:9">
      <c r="A572" t="s">
        <v>480</v>
      </c>
      <c r="B572" s="18" t="s">
        <v>195</v>
      </c>
      <c r="C572">
        <v>1.8942287672949629</v>
      </c>
      <c r="D572" s="40" t="s">
        <v>128</v>
      </c>
      <c r="G572" s="45" t="s">
        <v>208</v>
      </c>
      <c r="H572" t="s">
        <v>12</v>
      </c>
    </row>
    <row r="573" spans="1:9" s="40" customFormat="1">
      <c r="A573" s="45" t="s">
        <v>431</v>
      </c>
      <c r="B573" s="45" t="s">
        <v>431</v>
      </c>
      <c r="C573" s="60">
        <v>1</v>
      </c>
      <c r="D573" s="40" t="s">
        <v>6</v>
      </c>
      <c r="E573"/>
      <c r="F573" s="38"/>
      <c r="G573" s="45" t="s">
        <v>29</v>
      </c>
      <c r="H573" t="s">
        <v>12</v>
      </c>
      <c r="I573" s="38"/>
    </row>
    <row r="574" spans="1:9">
      <c r="A574" t="s">
        <v>212</v>
      </c>
      <c r="B574"/>
      <c r="C574">
        <v>1.7715245298393998</v>
      </c>
      <c r="D574" t="s">
        <v>13</v>
      </c>
      <c r="E574" t="s">
        <v>109</v>
      </c>
      <c r="F574" t="s">
        <v>183</v>
      </c>
      <c r="H574" t="s">
        <v>15</v>
      </c>
    </row>
    <row r="575" spans="1:9">
      <c r="A575" t="s">
        <v>245</v>
      </c>
      <c r="B575"/>
      <c r="C575">
        <v>1.28</v>
      </c>
      <c r="D575" t="s">
        <v>46</v>
      </c>
      <c r="E575" t="s">
        <v>109</v>
      </c>
      <c r="F575" t="s">
        <v>183</v>
      </c>
      <c r="H575" t="s">
        <v>15</v>
      </c>
    </row>
    <row r="576" spans="1:9">
      <c r="A576" t="s">
        <v>246</v>
      </c>
      <c r="B576"/>
      <c r="C576">
        <v>0</v>
      </c>
      <c r="D576" t="s">
        <v>13</v>
      </c>
      <c r="E576" t="s">
        <v>109</v>
      </c>
      <c r="F576" t="s">
        <v>183</v>
      </c>
      <c r="H576" t="s">
        <v>15</v>
      </c>
    </row>
    <row r="577" spans="1:9">
      <c r="A577" t="s">
        <v>184</v>
      </c>
      <c r="B577"/>
      <c r="C577">
        <v>7.0244489999999995E-3</v>
      </c>
      <c r="D577" t="s">
        <v>13</v>
      </c>
      <c r="E577" t="s">
        <v>109</v>
      </c>
      <c r="F577" t="s">
        <v>183</v>
      </c>
      <c r="H577" t="s">
        <v>15</v>
      </c>
    </row>
    <row r="578" spans="1:9">
      <c r="A578" t="s">
        <v>247</v>
      </c>
      <c r="B578"/>
      <c r="C578">
        <v>5.1560000000000002E-2</v>
      </c>
      <c r="D578" t="s">
        <v>13</v>
      </c>
      <c r="E578" t="s">
        <v>109</v>
      </c>
      <c r="F578" t="s">
        <v>25</v>
      </c>
      <c r="H578" t="s">
        <v>15</v>
      </c>
    </row>
    <row r="579" spans="1:9">
      <c r="A579" t="s">
        <v>125</v>
      </c>
      <c r="B579"/>
      <c r="C579">
        <v>6.5989999999999998E-6</v>
      </c>
      <c r="D579" t="s">
        <v>13</v>
      </c>
      <c r="E579" t="s">
        <v>109</v>
      </c>
      <c r="F579" t="s">
        <v>248</v>
      </c>
      <c r="H579" t="s">
        <v>15</v>
      </c>
    </row>
    <row r="580" spans="1:9" s="64" customFormat="1">
      <c r="B580" s="65"/>
    </row>
    <row r="581" spans="1:9">
      <c r="A581" s="38" t="s">
        <v>1</v>
      </c>
      <c r="B581" s="38" t="s">
        <v>257</v>
      </c>
    </row>
    <row r="582" spans="1:9">
      <c r="A582" s="41" t="s">
        <v>11</v>
      </c>
      <c r="B582" s="70" t="s">
        <v>497</v>
      </c>
    </row>
    <row r="583" spans="1:9">
      <c r="A583" s="41" t="s">
        <v>2</v>
      </c>
      <c r="B583" t="s">
        <v>29</v>
      </c>
    </row>
    <row r="584" spans="1:9">
      <c r="A584" s="41" t="s">
        <v>3</v>
      </c>
      <c r="B584" s="42">
        <v>1</v>
      </c>
    </row>
    <row r="585" spans="1:9">
      <c r="A585" s="41" t="s">
        <v>4</v>
      </c>
      <c r="B585" t="s">
        <v>244</v>
      </c>
    </row>
    <row r="586" spans="1:9">
      <c r="A586" s="41" t="s">
        <v>6</v>
      </c>
      <c r="B586" t="s">
        <v>128</v>
      </c>
    </row>
    <row r="587" spans="1:9">
      <c r="A587" s="41" t="s">
        <v>76</v>
      </c>
      <c r="B587"/>
    </row>
    <row r="588" spans="1:9" ht="15.75">
      <c r="A588" s="29" t="s">
        <v>7</v>
      </c>
      <c r="B588"/>
    </row>
    <row r="589" spans="1:9" s="41" customFormat="1">
      <c r="A589" s="41" t="s">
        <v>8</v>
      </c>
      <c r="B589" s="41" t="s">
        <v>4</v>
      </c>
      <c r="C589" s="41" t="s">
        <v>9</v>
      </c>
      <c r="D589" s="41" t="s">
        <v>6</v>
      </c>
      <c r="E589" s="41" t="s">
        <v>106</v>
      </c>
      <c r="F589" s="41" t="s">
        <v>10</v>
      </c>
      <c r="G589" s="41" t="s">
        <v>2</v>
      </c>
      <c r="H589" s="41" t="s">
        <v>5</v>
      </c>
      <c r="I589" s="41" t="s">
        <v>11</v>
      </c>
    </row>
    <row r="590" spans="1:9">
      <c r="A590" t="s">
        <v>257</v>
      </c>
      <c r="B590" t="s">
        <v>244</v>
      </c>
      <c r="C590">
        <v>1</v>
      </c>
      <c r="D590" t="s">
        <v>128</v>
      </c>
      <c r="E590" s="45"/>
      <c r="G590" t="s">
        <v>29</v>
      </c>
      <c r="H590" t="s">
        <v>18</v>
      </c>
    </row>
    <row r="591" spans="1:9">
      <c r="A591" t="s">
        <v>249</v>
      </c>
      <c r="B591" t="s">
        <v>250</v>
      </c>
      <c r="C591">
        <v>1.5328461905494623E-4</v>
      </c>
      <c r="D591" t="s">
        <v>13</v>
      </c>
      <c r="E591" t="s">
        <v>205</v>
      </c>
      <c r="G591" t="s">
        <v>140</v>
      </c>
      <c r="H591" t="s">
        <v>12</v>
      </c>
    </row>
    <row r="592" spans="1:9">
      <c r="A592" t="s">
        <v>251</v>
      </c>
      <c r="B592" t="s">
        <v>135</v>
      </c>
      <c r="C592">
        <v>5.4000000000000001E-11</v>
      </c>
      <c r="D592" t="s">
        <v>6</v>
      </c>
      <c r="E592" t="s">
        <v>205</v>
      </c>
      <c r="G592" t="s">
        <v>140</v>
      </c>
      <c r="H592" t="s">
        <v>12</v>
      </c>
    </row>
    <row r="593" spans="1:9">
      <c r="A593" t="s">
        <v>28</v>
      </c>
      <c r="B593" t="s">
        <v>20</v>
      </c>
      <c r="C593">
        <v>0.76289810836538974</v>
      </c>
      <c r="D593" t="s">
        <v>19</v>
      </c>
      <c r="E593" t="s">
        <v>205</v>
      </c>
      <c r="G593" t="s">
        <v>29</v>
      </c>
      <c r="H593" t="s">
        <v>12</v>
      </c>
    </row>
    <row r="594" spans="1:9">
      <c r="A594" t="s">
        <v>179</v>
      </c>
      <c r="B594" t="s">
        <v>180</v>
      </c>
      <c r="C594">
        <v>1.1400000000000001E-4</v>
      </c>
      <c r="D594" t="s">
        <v>13</v>
      </c>
      <c r="E594" t="s">
        <v>205</v>
      </c>
      <c r="G594" t="s">
        <v>49</v>
      </c>
      <c r="H594" t="s">
        <v>12</v>
      </c>
    </row>
    <row r="595" spans="1:9">
      <c r="A595" t="s">
        <v>252</v>
      </c>
      <c r="B595" t="s">
        <v>253</v>
      </c>
      <c r="C595">
        <v>1.01E-4</v>
      </c>
      <c r="D595" t="s">
        <v>13</v>
      </c>
      <c r="E595" t="s">
        <v>205</v>
      </c>
      <c r="G595" t="s">
        <v>140</v>
      </c>
      <c r="H595" t="s">
        <v>12</v>
      </c>
    </row>
    <row r="596" spans="1:9">
      <c r="A596" t="s">
        <v>480</v>
      </c>
      <c r="B596" s="18" t="s">
        <v>195</v>
      </c>
      <c r="C596">
        <v>1.9160577381868278</v>
      </c>
      <c r="D596" s="40" t="s">
        <v>128</v>
      </c>
      <c r="G596" s="45" t="s">
        <v>208</v>
      </c>
      <c r="H596" t="s">
        <v>12</v>
      </c>
    </row>
    <row r="597" spans="1:9" s="40" customFormat="1">
      <c r="A597" s="45" t="s">
        <v>431</v>
      </c>
      <c r="B597" s="45" t="s">
        <v>431</v>
      </c>
      <c r="C597" s="60">
        <v>1</v>
      </c>
      <c r="D597" s="40" t="s">
        <v>6</v>
      </c>
      <c r="E597"/>
      <c r="F597" s="38"/>
      <c r="G597" s="45" t="s">
        <v>29</v>
      </c>
      <c r="H597" t="s">
        <v>12</v>
      </c>
      <c r="I597" s="38"/>
    </row>
    <row r="598" spans="1:9">
      <c r="A598" t="s">
        <v>212</v>
      </c>
      <c r="B598"/>
      <c r="C598">
        <v>1.8288866704275042</v>
      </c>
      <c r="D598" t="s">
        <v>13</v>
      </c>
      <c r="E598" t="s">
        <v>109</v>
      </c>
      <c r="F598" t="s">
        <v>183</v>
      </c>
      <c r="H598" t="s">
        <v>15</v>
      </c>
    </row>
    <row r="599" spans="1:9">
      <c r="A599" t="s">
        <v>245</v>
      </c>
      <c r="B599"/>
      <c r="C599">
        <v>1.28</v>
      </c>
      <c r="D599" t="s">
        <v>46</v>
      </c>
      <c r="E599" t="s">
        <v>109</v>
      </c>
      <c r="F599" t="s">
        <v>183</v>
      </c>
      <c r="H599" t="s">
        <v>15</v>
      </c>
    </row>
    <row r="600" spans="1:9">
      <c r="A600" t="s">
        <v>246</v>
      </c>
      <c r="B600"/>
      <c r="C600">
        <v>0</v>
      </c>
      <c r="D600" t="s">
        <v>13</v>
      </c>
      <c r="E600" t="s">
        <v>109</v>
      </c>
      <c r="F600" t="s">
        <v>183</v>
      </c>
      <c r="H600" t="s">
        <v>15</v>
      </c>
    </row>
    <row r="601" spans="1:9">
      <c r="A601" t="s">
        <v>184</v>
      </c>
      <c r="B601"/>
      <c r="C601">
        <v>7.1053982999999999E-4</v>
      </c>
      <c r="D601" t="s">
        <v>13</v>
      </c>
      <c r="E601" t="s">
        <v>109</v>
      </c>
      <c r="F601" t="s">
        <v>183</v>
      </c>
      <c r="H601" t="s">
        <v>15</v>
      </c>
    </row>
    <row r="602" spans="1:9">
      <c r="A602" t="s">
        <v>247</v>
      </c>
      <c r="B602"/>
      <c r="C602">
        <v>5.1560000000000002E-2</v>
      </c>
      <c r="D602" t="s">
        <v>13</v>
      </c>
      <c r="E602" t="s">
        <v>109</v>
      </c>
      <c r="F602" t="s">
        <v>25</v>
      </c>
      <c r="H602" t="s">
        <v>15</v>
      </c>
    </row>
    <row r="603" spans="1:9">
      <c r="A603" t="s">
        <v>125</v>
      </c>
      <c r="B603"/>
      <c r="C603">
        <v>6.5989999999999998E-6</v>
      </c>
      <c r="D603" t="s">
        <v>13</v>
      </c>
      <c r="E603" t="s">
        <v>109</v>
      </c>
      <c r="F603" t="s">
        <v>248</v>
      </c>
      <c r="H603" t="s">
        <v>15</v>
      </c>
    </row>
    <row r="604" spans="1:9">
      <c r="A604" s="45" t="s">
        <v>38</v>
      </c>
      <c r="B604" s="45" t="s">
        <v>39</v>
      </c>
      <c r="C604" s="50">
        <v>0</v>
      </c>
      <c r="D604" s="45" t="s">
        <v>13</v>
      </c>
      <c r="E604" t="s">
        <v>205</v>
      </c>
      <c r="G604" s="45" t="s">
        <v>22</v>
      </c>
      <c r="H604" t="s">
        <v>12</v>
      </c>
    </row>
    <row r="605" spans="1:9">
      <c r="A605" s="45" t="s">
        <v>258</v>
      </c>
      <c r="B605" s="45" t="s">
        <v>259</v>
      </c>
      <c r="C605">
        <v>1.2300000000000001E-4</v>
      </c>
      <c r="D605" s="45" t="s">
        <v>13</v>
      </c>
      <c r="E605" t="s">
        <v>205</v>
      </c>
      <c r="G605" s="45" t="s">
        <v>140</v>
      </c>
      <c r="H605" t="s">
        <v>12</v>
      </c>
    </row>
    <row r="606" spans="1:9">
      <c r="A606" s="45" t="s">
        <v>260</v>
      </c>
      <c r="B606" s="45" t="s">
        <v>261</v>
      </c>
      <c r="C606">
        <v>6.9700000000000003E-4</v>
      </c>
      <c r="D606" s="45" t="s">
        <v>13</v>
      </c>
      <c r="E606" t="s">
        <v>205</v>
      </c>
      <c r="G606" s="45" t="s">
        <v>140</v>
      </c>
      <c r="H606" t="s">
        <v>12</v>
      </c>
    </row>
    <row r="607" spans="1:9">
      <c r="A607" t="s">
        <v>262</v>
      </c>
      <c r="B607" t="s">
        <v>263</v>
      </c>
      <c r="C607">
        <v>2.6400000000000001E-5</v>
      </c>
      <c r="D607" s="45" t="s">
        <v>13</v>
      </c>
      <c r="E607" t="s">
        <v>205</v>
      </c>
      <c r="G607" s="45" t="s">
        <v>140</v>
      </c>
      <c r="H607" t="s">
        <v>12</v>
      </c>
    </row>
    <row r="608" spans="1:9">
      <c r="A608" s="45" t="s">
        <v>264</v>
      </c>
      <c r="B608" s="46" t="s">
        <v>265</v>
      </c>
      <c r="C608">
        <v>0</v>
      </c>
      <c r="D608" s="45" t="s">
        <v>13</v>
      </c>
      <c r="E608" t="s">
        <v>205</v>
      </c>
      <c r="G608" s="45" t="s">
        <v>140</v>
      </c>
      <c r="H608" t="s">
        <v>12</v>
      </c>
    </row>
    <row r="609" spans="1:9">
      <c r="A609" s="45" t="s">
        <v>266</v>
      </c>
      <c r="B609" s="46" t="s">
        <v>267</v>
      </c>
      <c r="C609">
        <v>9.2899999999999995E-5</v>
      </c>
      <c r="D609" s="45" t="s">
        <v>13</v>
      </c>
      <c r="E609" t="s">
        <v>205</v>
      </c>
      <c r="G609" s="45" t="s">
        <v>140</v>
      </c>
      <c r="H609" t="s">
        <v>12</v>
      </c>
    </row>
    <row r="610" spans="1:9">
      <c r="A610" s="14" t="s">
        <v>268</v>
      </c>
      <c r="B610" s="46"/>
      <c r="C610">
        <v>1.3412404167307795E-2</v>
      </c>
      <c r="D610" s="45" t="s">
        <v>13</v>
      </c>
      <c r="E610" s="45" t="s">
        <v>109</v>
      </c>
      <c r="F610" t="s">
        <v>183</v>
      </c>
      <c r="H610" t="s">
        <v>15</v>
      </c>
    </row>
    <row r="611" spans="1:9">
      <c r="A611" s="14" t="s">
        <v>108</v>
      </c>
      <c r="B611" s="45"/>
      <c r="C611">
        <v>0.35255462382637631</v>
      </c>
      <c r="D611" s="45" t="s">
        <v>13</v>
      </c>
      <c r="E611" s="45" t="s">
        <v>109</v>
      </c>
      <c r="F611" t="s">
        <v>183</v>
      </c>
      <c r="H611" t="s">
        <v>15</v>
      </c>
    </row>
    <row r="612" spans="1:9" s="64" customFormat="1">
      <c r="B612" s="65"/>
    </row>
    <row r="613" spans="1:9">
      <c r="A613" s="38" t="s">
        <v>1</v>
      </c>
      <c r="B613" s="38" t="s">
        <v>270</v>
      </c>
    </row>
    <row r="614" spans="1:9">
      <c r="A614" s="41" t="s">
        <v>11</v>
      </c>
      <c r="B614" s="70" t="s">
        <v>498</v>
      </c>
    </row>
    <row r="615" spans="1:9">
      <c r="A615" s="41" t="s">
        <v>2</v>
      </c>
      <c r="B615" t="s">
        <v>29</v>
      </c>
    </row>
    <row r="616" spans="1:9">
      <c r="A616" s="41" t="s">
        <v>3</v>
      </c>
      <c r="B616" s="42">
        <v>1</v>
      </c>
    </row>
    <row r="617" spans="1:9">
      <c r="A617" s="41" t="s">
        <v>4</v>
      </c>
      <c r="B617" t="s">
        <v>244</v>
      </c>
    </row>
    <row r="618" spans="1:9">
      <c r="A618" s="41" t="s">
        <v>6</v>
      </c>
      <c r="B618" t="s">
        <v>128</v>
      </c>
    </row>
    <row r="619" spans="1:9">
      <c r="A619" s="41" t="s">
        <v>76</v>
      </c>
      <c r="B619"/>
    </row>
    <row r="620" spans="1:9" ht="15.75">
      <c r="A620" s="29" t="s">
        <v>7</v>
      </c>
      <c r="B620"/>
    </row>
    <row r="621" spans="1:9" s="41" customFormat="1">
      <c r="A621" s="41" t="s">
        <v>8</v>
      </c>
      <c r="B621" s="41" t="s">
        <v>4</v>
      </c>
      <c r="C621" s="41" t="s">
        <v>9</v>
      </c>
      <c r="D621" s="41" t="s">
        <v>6</v>
      </c>
      <c r="E621" s="41" t="s">
        <v>106</v>
      </c>
      <c r="F621" s="41" t="s">
        <v>10</v>
      </c>
      <c r="G621" s="41" t="s">
        <v>2</v>
      </c>
      <c r="H621" s="41" t="s">
        <v>5</v>
      </c>
      <c r="I621" s="41" t="s">
        <v>11</v>
      </c>
    </row>
    <row r="622" spans="1:9">
      <c r="A622" t="s">
        <v>270</v>
      </c>
      <c r="B622" t="s">
        <v>244</v>
      </c>
      <c r="C622">
        <v>1</v>
      </c>
      <c r="D622" t="s">
        <v>128</v>
      </c>
      <c r="E622" s="45"/>
      <c r="G622" t="s">
        <v>29</v>
      </c>
      <c r="H622" t="s">
        <v>18</v>
      </c>
    </row>
    <row r="623" spans="1:9">
      <c r="A623" t="s">
        <v>249</v>
      </c>
      <c r="B623" t="s">
        <v>250</v>
      </c>
      <c r="C623">
        <v>1.5303868060521681E-4</v>
      </c>
      <c r="D623" t="s">
        <v>13</v>
      </c>
      <c r="E623" t="s">
        <v>205</v>
      </c>
      <c r="G623" t="s">
        <v>140</v>
      </c>
      <c r="H623" t="s">
        <v>12</v>
      </c>
    </row>
    <row r="624" spans="1:9">
      <c r="A624" t="s">
        <v>251</v>
      </c>
      <c r="B624" t="s">
        <v>135</v>
      </c>
      <c r="C624">
        <v>5.4000000000000001E-11</v>
      </c>
      <c r="D624" t="s">
        <v>6</v>
      </c>
      <c r="E624" t="s">
        <v>205</v>
      </c>
      <c r="G624" t="s">
        <v>140</v>
      </c>
      <c r="H624" t="s">
        <v>12</v>
      </c>
    </row>
    <row r="625" spans="1:9">
      <c r="A625" t="s">
        <v>28</v>
      </c>
      <c r="B625" t="s">
        <v>20</v>
      </c>
      <c r="C625">
        <v>0.6343270522695631</v>
      </c>
      <c r="D625" t="s">
        <v>19</v>
      </c>
      <c r="E625" t="s">
        <v>205</v>
      </c>
      <c r="G625" t="s">
        <v>29</v>
      </c>
      <c r="H625" t="s">
        <v>12</v>
      </c>
    </row>
    <row r="626" spans="1:9">
      <c r="A626" t="s">
        <v>179</v>
      </c>
      <c r="B626" t="s">
        <v>180</v>
      </c>
      <c r="C626">
        <v>1.1400000000000001E-4</v>
      </c>
      <c r="D626" t="s">
        <v>13</v>
      </c>
      <c r="E626" t="s">
        <v>205</v>
      </c>
      <c r="G626" t="s">
        <v>49</v>
      </c>
      <c r="H626" t="s">
        <v>12</v>
      </c>
    </row>
    <row r="627" spans="1:9">
      <c r="A627" t="s">
        <v>252</v>
      </c>
      <c r="B627" t="s">
        <v>253</v>
      </c>
      <c r="C627">
        <v>1.01E-4</v>
      </c>
      <c r="D627" t="s">
        <v>13</v>
      </c>
      <c r="E627" t="s">
        <v>205</v>
      </c>
      <c r="G627" t="s">
        <v>140</v>
      </c>
      <c r="H627" t="s">
        <v>12</v>
      </c>
    </row>
    <row r="628" spans="1:9">
      <c r="A628" t="s">
        <v>480</v>
      </c>
      <c r="B628" s="18" t="s">
        <v>195</v>
      </c>
      <c r="C628">
        <v>1.91298350756521</v>
      </c>
      <c r="D628" s="40" t="s">
        <v>128</v>
      </c>
      <c r="G628" s="45" t="s">
        <v>208</v>
      </c>
      <c r="H628" t="s">
        <v>12</v>
      </c>
    </row>
    <row r="629" spans="1:9" s="40" customFormat="1">
      <c r="A629" s="45" t="s">
        <v>431</v>
      </c>
      <c r="B629" s="45" t="s">
        <v>431</v>
      </c>
      <c r="C629" s="60">
        <v>1</v>
      </c>
      <c r="D629" s="40" t="s">
        <v>6</v>
      </c>
      <c r="E629"/>
      <c r="F629" s="38"/>
      <c r="G629" s="45" t="s">
        <v>29</v>
      </c>
      <c r="H629" t="s">
        <v>12</v>
      </c>
      <c r="I629" s="38"/>
    </row>
    <row r="630" spans="1:9">
      <c r="A630" t="s">
        <v>212</v>
      </c>
      <c r="B630"/>
      <c r="C630">
        <v>1.7890643766694927</v>
      </c>
      <c r="D630" t="s">
        <v>13</v>
      </c>
      <c r="E630" t="s">
        <v>109</v>
      </c>
      <c r="F630" t="s">
        <v>183</v>
      </c>
      <c r="H630" t="s">
        <v>15</v>
      </c>
    </row>
    <row r="631" spans="1:9">
      <c r="A631" t="s">
        <v>245</v>
      </c>
      <c r="B631"/>
      <c r="C631">
        <v>1.28</v>
      </c>
      <c r="D631" t="s">
        <v>46</v>
      </c>
      <c r="E631" t="s">
        <v>109</v>
      </c>
      <c r="F631" t="s">
        <v>183</v>
      </c>
      <c r="H631" t="s">
        <v>15</v>
      </c>
    </row>
    <row r="632" spans="1:9">
      <c r="A632" t="s">
        <v>246</v>
      </c>
      <c r="B632"/>
      <c r="C632">
        <v>0</v>
      </c>
      <c r="D632" t="s">
        <v>13</v>
      </c>
      <c r="E632" t="s">
        <v>109</v>
      </c>
      <c r="F632" t="s">
        <v>183</v>
      </c>
      <c r="H632" t="s">
        <v>15</v>
      </c>
    </row>
    <row r="633" spans="1:9">
      <c r="A633" t="s">
        <v>184</v>
      </c>
      <c r="B633"/>
      <c r="C633">
        <v>1.4187996E-2</v>
      </c>
      <c r="D633" t="s">
        <v>13</v>
      </c>
      <c r="E633" t="s">
        <v>109</v>
      </c>
      <c r="F633" t="s">
        <v>183</v>
      </c>
      <c r="H633" t="s">
        <v>15</v>
      </c>
    </row>
    <row r="634" spans="1:9">
      <c r="A634" t="s">
        <v>247</v>
      </c>
      <c r="B634"/>
      <c r="C634">
        <v>5.1560000000000002E-2</v>
      </c>
      <c r="D634" t="s">
        <v>13</v>
      </c>
      <c r="E634" t="s">
        <v>109</v>
      </c>
      <c r="F634" t="s">
        <v>25</v>
      </c>
      <c r="H634" t="s">
        <v>15</v>
      </c>
    </row>
    <row r="635" spans="1:9">
      <c r="A635" t="s">
        <v>125</v>
      </c>
      <c r="B635"/>
      <c r="C635">
        <v>6.5989999999999998E-6</v>
      </c>
      <c r="D635" t="s">
        <v>13</v>
      </c>
      <c r="E635" t="s">
        <v>109</v>
      </c>
      <c r="F635" t="s">
        <v>248</v>
      </c>
      <c r="H635" t="s">
        <v>15</v>
      </c>
    </row>
    <row r="636" spans="1:9">
      <c r="A636" s="45" t="s">
        <v>38</v>
      </c>
      <c r="B636" s="45" t="s">
        <v>39</v>
      </c>
      <c r="C636" s="50">
        <v>0.19129835075652102</v>
      </c>
      <c r="D636" s="45" t="s">
        <v>13</v>
      </c>
      <c r="E636" t="s">
        <v>205</v>
      </c>
      <c r="G636" s="45" t="s">
        <v>22</v>
      </c>
      <c r="H636" t="s">
        <v>12</v>
      </c>
    </row>
    <row r="637" spans="1:9">
      <c r="A637" s="45" t="s">
        <v>258</v>
      </c>
      <c r="B637" s="45" t="s">
        <v>259</v>
      </c>
      <c r="C637">
        <v>0</v>
      </c>
      <c r="D637" s="45" t="s">
        <v>13</v>
      </c>
      <c r="E637" t="s">
        <v>205</v>
      </c>
      <c r="G637" s="45" t="s">
        <v>140</v>
      </c>
      <c r="H637" t="s">
        <v>12</v>
      </c>
    </row>
    <row r="638" spans="1:9">
      <c r="A638" s="45" t="s">
        <v>260</v>
      </c>
      <c r="B638" s="45" t="s">
        <v>261</v>
      </c>
      <c r="C638">
        <v>0</v>
      </c>
      <c r="D638" s="45" t="s">
        <v>13</v>
      </c>
      <c r="E638" t="s">
        <v>205</v>
      </c>
      <c r="G638" s="45" t="s">
        <v>140</v>
      </c>
      <c r="H638" t="s">
        <v>12</v>
      </c>
    </row>
    <row r="639" spans="1:9">
      <c r="A639" t="s">
        <v>262</v>
      </c>
      <c r="B639" t="s">
        <v>263</v>
      </c>
      <c r="C639">
        <v>0</v>
      </c>
      <c r="D639" s="45" t="s">
        <v>13</v>
      </c>
      <c r="E639" t="s">
        <v>205</v>
      </c>
      <c r="G639" s="45" t="s">
        <v>140</v>
      </c>
      <c r="H639" t="s">
        <v>12</v>
      </c>
    </row>
    <row r="640" spans="1:9">
      <c r="A640" s="45" t="s">
        <v>264</v>
      </c>
      <c r="B640" s="46" t="s">
        <v>265</v>
      </c>
      <c r="C640">
        <v>0</v>
      </c>
      <c r="D640" s="45" t="s">
        <v>13</v>
      </c>
      <c r="E640" t="s">
        <v>205</v>
      </c>
      <c r="G640" s="45" t="s">
        <v>140</v>
      </c>
      <c r="H640" t="s">
        <v>12</v>
      </c>
    </row>
    <row r="641" spans="1:9">
      <c r="A641" s="45" t="s">
        <v>266</v>
      </c>
      <c r="B641" s="46" t="s">
        <v>267</v>
      </c>
      <c r="C641">
        <v>0</v>
      </c>
      <c r="D641" s="45" t="s">
        <v>13</v>
      </c>
      <c r="E641" t="s">
        <v>205</v>
      </c>
      <c r="G641" s="45" t="s">
        <v>140</v>
      </c>
      <c r="H641" t="s">
        <v>12</v>
      </c>
    </row>
    <row r="642" spans="1:9">
      <c r="A642" s="14" t="s">
        <v>268</v>
      </c>
      <c r="B642" s="46"/>
      <c r="C642">
        <v>0</v>
      </c>
      <c r="D642" s="45" t="s">
        <v>13</v>
      </c>
      <c r="E642" s="45" t="s">
        <v>109</v>
      </c>
      <c r="F642" t="s">
        <v>183</v>
      </c>
      <c r="H642" t="s">
        <v>15</v>
      </c>
    </row>
    <row r="643" spans="1:9">
      <c r="A643" s="14" t="s">
        <v>108</v>
      </c>
      <c r="B643" s="45"/>
      <c r="C643">
        <v>0</v>
      </c>
      <c r="D643" s="45" t="s">
        <v>13</v>
      </c>
      <c r="E643" s="45" t="s">
        <v>109</v>
      </c>
      <c r="F643" t="s">
        <v>183</v>
      </c>
      <c r="H643" t="s">
        <v>15</v>
      </c>
    </row>
    <row r="644" spans="1:9" s="64" customFormat="1">
      <c r="B644" s="65"/>
    </row>
    <row r="645" spans="1:9">
      <c r="A645" s="38" t="s">
        <v>1</v>
      </c>
      <c r="B645" s="38" t="s">
        <v>271</v>
      </c>
    </row>
    <row r="646" spans="1:9">
      <c r="A646" s="41" t="s">
        <v>11</v>
      </c>
      <c r="B646" s="70" t="s">
        <v>499</v>
      </c>
    </row>
    <row r="647" spans="1:9">
      <c r="A647" s="41" t="s">
        <v>2</v>
      </c>
      <c r="B647" t="s">
        <v>29</v>
      </c>
    </row>
    <row r="648" spans="1:9">
      <c r="A648" s="41" t="s">
        <v>3</v>
      </c>
      <c r="B648" s="42">
        <v>1</v>
      </c>
    </row>
    <row r="649" spans="1:9">
      <c r="A649" s="41" t="s">
        <v>4</v>
      </c>
      <c r="B649" t="s">
        <v>244</v>
      </c>
    </row>
    <row r="650" spans="1:9">
      <c r="A650" s="41" t="s">
        <v>6</v>
      </c>
      <c r="B650" t="s">
        <v>128</v>
      </c>
    </row>
    <row r="651" spans="1:9">
      <c r="A651" s="41" t="s">
        <v>76</v>
      </c>
      <c r="B651"/>
    </row>
    <row r="652" spans="1:9" ht="15.75">
      <c r="A652" s="29" t="s">
        <v>7</v>
      </c>
      <c r="B652"/>
    </row>
    <row r="653" spans="1:9" s="41" customFormat="1">
      <c r="A653" s="41" t="s">
        <v>8</v>
      </c>
      <c r="B653" s="41" t="s">
        <v>4</v>
      </c>
      <c r="C653" s="41" t="s">
        <v>9</v>
      </c>
      <c r="D653" s="41" t="s">
        <v>6</v>
      </c>
      <c r="E653" s="41" t="s">
        <v>106</v>
      </c>
      <c r="F653" s="41" t="s">
        <v>10</v>
      </c>
      <c r="G653" s="41" t="s">
        <v>2</v>
      </c>
      <c r="H653" s="41" t="s">
        <v>5</v>
      </c>
      <c r="I653" s="41" t="s">
        <v>11</v>
      </c>
    </row>
    <row r="654" spans="1:9">
      <c r="A654" t="s">
        <v>271</v>
      </c>
      <c r="B654" t="s">
        <v>244</v>
      </c>
      <c r="C654">
        <v>1</v>
      </c>
      <c r="D654" t="s">
        <v>128</v>
      </c>
      <c r="E654" s="45"/>
      <c r="G654" t="s">
        <v>29</v>
      </c>
      <c r="H654" t="s">
        <v>18</v>
      </c>
    </row>
    <row r="655" spans="1:9">
      <c r="A655" t="s">
        <v>249</v>
      </c>
      <c r="B655" t="s">
        <v>250</v>
      </c>
      <c r="C655">
        <v>1.5294587364305477E-4</v>
      </c>
      <c r="D655" t="s">
        <v>13</v>
      </c>
      <c r="E655" t="s">
        <v>205</v>
      </c>
      <c r="G655" t="s">
        <v>140</v>
      </c>
      <c r="H655" t="s">
        <v>12</v>
      </c>
    </row>
    <row r="656" spans="1:9">
      <c r="A656" t="s">
        <v>251</v>
      </c>
      <c r="B656" t="s">
        <v>135</v>
      </c>
      <c r="C656">
        <v>5.4000000000000001E-11</v>
      </c>
      <c r="D656" t="s">
        <v>6</v>
      </c>
      <c r="E656" t="s">
        <v>205</v>
      </c>
      <c r="G656" t="s">
        <v>140</v>
      </c>
      <c r="H656" t="s">
        <v>12</v>
      </c>
    </row>
    <row r="657" spans="1:9">
      <c r="A657" t="s">
        <v>28</v>
      </c>
      <c r="B657" t="s">
        <v>20</v>
      </c>
      <c r="C657">
        <v>0.67679502616145548</v>
      </c>
      <c r="D657" t="s">
        <v>19</v>
      </c>
      <c r="E657" t="s">
        <v>205</v>
      </c>
      <c r="G657" t="s">
        <v>29</v>
      </c>
      <c r="H657" t="s">
        <v>12</v>
      </c>
    </row>
    <row r="658" spans="1:9">
      <c r="A658" t="s">
        <v>179</v>
      </c>
      <c r="B658" t="s">
        <v>180</v>
      </c>
      <c r="C658">
        <v>1.1400000000000001E-4</v>
      </c>
      <c r="D658" t="s">
        <v>13</v>
      </c>
      <c r="E658" t="s">
        <v>205</v>
      </c>
      <c r="G658" t="s">
        <v>49</v>
      </c>
      <c r="H658" t="s">
        <v>12</v>
      </c>
    </row>
    <row r="659" spans="1:9">
      <c r="A659" t="s">
        <v>252</v>
      </c>
      <c r="B659" t="s">
        <v>253</v>
      </c>
      <c r="C659">
        <v>1.01E-4</v>
      </c>
      <c r="D659" t="s">
        <v>13</v>
      </c>
      <c r="E659" t="s">
        <v>205</v>
      </c>
      <c r="G659" t="s">
        <v>140</v>
      </c>
      <c r="H659" t="s">
        <v>12</v>
      </c>
    </row>
    <row r="660" spans="1:9">
      <c r="A660" t="s">
        <v>480</v>
      </c>
      <c r="B660" s="18" t="s">
        <v>195</v>
      </c>
      <c r="C660">
        <v>1.9118234205381845</v>
      </c>
      <c r="D660" s="40" t="s">
        <v>128</v>
      </c>
      <c r="G660" s="45" t="s">
        <v>208</v>
      </c>
      <c r="H660" t="s">
        <v>12</v>
      </c>
    </row>
    <row r="661" spans="1:9" s="40" customFormat="1">
      <c r="A661" s="45" t="s">
        <v>431</v>
      </c>
      <c r="B661" s="45" t="s">
        <v>431</v>
      </c>
      <c r="C661" s="60">
        <v>1</v>
      </c>
      <c r="D661" s="40" t="s">
        <v>6</v>
      </c>
      <c r="E661"/>
      <c r="F661" s="38"/>
      <c r="G661" s="45" t="s">
        <v>29</v>
      </c>
      <c r="H661" t="s">
        <v>12</v>
      </c>
      <c r="I661" s="38"/>
    </row>
    <row r="662" spans="1:9">
      <c r="A662" t="s">
        <v>212</v>
      </c>
      <c r="B662"/>
      <c r="C662">
        <v>1.7695466599821643</v>
      </c>
      <c r="D662" t="s">
        <v>13</v>
      </c>
      <c r="E662" t="s">
        <v>109</v>
      </c>
      <c r="F662" t="s">
        <v>183</v>
      </c>
      <c r="H662" t="s">
        <v>15</v>
      </c>
    </row>
    <row r="663" spans="1:9">
      <c r="A663" t="s">
        <v>245</v>
      </c>
      <c r="B663"/>
      <c r="C663">
        <v>1.28</v>
      </c>
      <c r="D663" t="s">
        <v>46</v>
      </c>
      <c r="E663" t="s">
        <v>109</v>
      </c>
      <c r="F663" t="s">
        <v>183</v>
      </c>
      <c r="H663" t="s">
        <v>15</v>
      </c>
    </row>
    <row r="664" spans="1:9">
      <c r="A664" t="s">
        <v>246</v>
      </c>
      <c r="B664"/>
      <c r="C664">
        <v>0</v>
      </c>
      <c r="D664" t="s">
        <v>13</v>
      </c>
      <c r="E664" t="s">
        <v>109</v>
      </c>
      <c r="F664" t="s">
        <v>183</v>
      </c>
      <c r="H664" t="s">
        <v>15</v>
      </c>
    </row>
    <row r="665" spans="1:9">
      <c r="A665" t="s">
        <v>184</v>
      </c>
      <c r="B665"/>
      <c r="C665">
        <v>2.1269088000000002E-2</v>
      </c>
      <c r="D665" t="s">
        <v>13</v>
      </c>
      <c r="E665" t="s">
        <v>109</v>
      </c>
      <c r="F665" t="s">
        <v>183</v>
      </c>
      <c r="H665" t="s">
        <v>15</v>
      </c>
    </row>
    <row r="666" spans="1:9">
      <c r="A666" t="s">
        <v>247</v>
      </c>
      <c r="B666"/>
      <c r="C666">
        <v>5.1560000000000002E-2</v>
      </c>
      <c r="D666" t="s">
        <v>13</v>
      </c>
      <c r="E666" t="s">
        <v>109</v>
      </c>
      <c r="F666" t="s">
        <v>25</v>
      </c>
      <c r="H666" t="s">
        <v>15</v>
      </c>
    </row>
    <row r="667" spans="1:9">
      <c r="A667" t="s">
        <v>125</v>
      </c>
      <c r="B667"/>
      <c r="C667">
        <v>6.5989999999999998E-6</v>
      </c>
      <c r="D667" t="s">
        <v>13</v>
      </c>
      <c r="E667" t="s">
        <v>109</v>
      </c>
      <c r="F667" t="s">
        <v>248</v>
      </c>
      <c r="H667" t="s">
        <v>15</v>
      </c>
    </row>
    <row r="668" spans="1:9">
      <c r="A668" s="45" t="s">
        <v>38</v>
      </c>
      <c r="B668" s="45" t="s">
        <v>39</v>
      </c>
      <c r="C668" s="51">
        <v>0</v>
      </c>
      <c r="D668" s="45" t="s">
        <v>13</v>
      </c>
      <c r="E668" t="s">
        <v>205</v>
      </c>
      <c r="G668" s="45" t="s">
        <v>22</v>
      </c>
      <c r="H668" t="s">
        <v>12</v>
      </c>
    </row>
    <row r="669" spans="1:9">
      <c r="A669" s="45" t="s">
        <v>258</v>
      </c>
      <c r="B669" s="45" t="s">
        <v>259</v>
      </c>
      <c r="C669">
        <v>2.0799999999999999E-4</v>
      </c>
      <c r="D669" s="45" t="s">
        <v>13</v>
      </c>
      <c r="E669" t="s">
        <v>205</v>
      </c>
      <c r="G669" s="45" t="s">
        <v>140</v>
      </c>
      <c r="H669" t="s">
        <v>12</v>
      </c>
    </row>
    <row r="670" spans="1:9">
      <c r="A670" s="45" t="s">
        <v>260</v>
      </c>
      <c r="B670" s="45" t="s">
        <v>261</v>
      </c>
      <c r="C670">
        <v>0</v>
      </c>
      <c r="D670" s="45" t="s">
        <v>13</v>
      </c>
      <c r="E670" t="s">
        <v>205</v>
      </c>
      <c r="G670" s="45" t="s">
        <v>140</v>
      </c>
      <c r="H670" t="s">
        <v>12</v>
      </c>
    </row>
    <row r="671" spans="1:9">
      <c r="A671" t="s">
        <v>262</v>
      </c>
      <c r="B671" t="s">
        <v>263</v>
      </c>
      <c r="C671">
        <v>3.98E-6</v>
      </c>
      <c r="D671" s="45" t="s">
        <v>13</v>
      </c>
      <c r="E671" t="s">
        <v>205</v>
      </c>
      <c r="G671" s="45" t="s">
        <v>140</v>
      </c>
      <c r="H671" t="s">
        <v>12</v>
      </c>
    </row>
    <row r="672" spans="1:9">
      <c r="A672" s="45" t="s">
        <v>264</v>
      </c>
      <c r="B672" s="46" t="s">
        <v>265</v>
      </c>
      <c r="C672">
        <v>0</v>
      </c>
      <c r="D672" s="45" t="s">
        <v>13</v>
      </c>
      <c r="E672" t="s">
        <v>205</v>
      </c>
      <c r="G672" s="45" t="s">
        <v>140</v>
      </c>
      <c r="H672" t="s">
        <v>12</v>
      </c>
    </row>
    <row r="673" spans="1:9">
      <c r="A673" s="45" t="s">
        <v>266</v>
      </c>
      <c r="B673" s="46" t="s">
        <v>267</v>
      </c>
      <c r="C673">
        <v>0</v>
      </c>
      <c r="D673" s="45" t="s">
        <v>13</v>
      </c>
      <c r="E673" t="s">
        <v>205</v>
      </c>
      <c r="G673" s="45" t="s">
        <v>140</v>
      </c>
      <c r="H673" t="s">
        <v>12</v>
      </c>
    </row>
    <row r="674" spans="1:9">
      <c r="A674" s="14" t="s">
        <v>268</v>
      </c>
      <c r="B674" s="46"/>
      <c r="C674">
        <v>0</v>
      </c>
      <c r="D674" s="45" t="s">
        <v>13</v>
      </c>
      <c r="E674" s="45" t="s">
        <v>109</v>
      </c>
      <c r="F674" t="s">
        <v>183</v>
      </c>
      <c r="H674" t="s">
        <v>15</v>
      </c>
    </row>
    <row r="675" spans="1:9">
      <c r="A675" s="14" t="s">
        <v>108</v>
      </c>
      <c r="B675" s="45"/>
      <c r="C675">
        <v>0</v>
      </c>
      <c r="D675" s="45" t="s">
        <v>13</v>
      </c>
      <c r="E675" s="45" t="s">
        <v>109</v>
      </c>
      <c r="F675" t="s">
        <v>183</v>
      </c>
      <c r="H675" t="s">
        <v>15</v>
      </c>
    </row>
    <row r="676" spans="1:9" s="64" customFormat="1">
      <c r="B676" s="65"/>
    </row>
    <row r="677" spans="1:9">
      <c r="A677" s="38" t="s">
        <v>1</v>
      </c>
      <c r="B677" s="38" t="s">
        <v>272</v>
      </c>
    </row>
    <row r="678" spans="1:9">
      <c r="A678" s="41" t="s">
        <v>11</v>
      </c>
      <c r="B678" s="70" t="s">
        <v>500</v>
      </c>
    </row>
    <row r="679" spans="1:9">
      <c r="A679" s="41" t="s">
        <v>2</v>
      </c>
      <c r="B679" t="s">
        <v>29</v>
      </c>
    </row>
    <row r="680" spans="1:9">
      <c r="A680" s="41" t="s">
        <v>3</v>
      </c>
      <c r="B680" s="42">
        <v>1</v>
      </c>
    </row>
    <row r="681" spans="1:9">
      <c r="A681" s="41" t="s">
        <v>4</v>
      </c>
      <c r="B681" t="s">
        <v>244</v>
      </c>
    </row>
    <row r="682" spans="1:9">
      <c r="A682" s="41" t="s">
        <v>6</v>
      </c>
      <c r="B682" t="s">
        <v>128</v>
      </c>
    </row>
    <row r="683" spans="1:9">
      <c r="A683" s="41" t="s">
        <v>76</v>
      </c>
      <c r="B683"/>
    </row>
    <row r="684" spans="1:9" ht="15.75">
      <c r="A684" s="29" t="s">
        <v>7</v>
      </c>
      <c r="B684"/>
    </row>
    <row r="685" spans="1:9">
      <c r="A685" s="41" t="s">
        <v>8</v>
      </c>
      <c r="B685" s="41" t="s">
        <v>4</v>
      </c>
      <c r="C685" s="41" t="s">
        <v>9</v>
      </c>
      <c r="D685" s="41" t="s">
        <v>6</v>
      </c>
      <c r="E685" s="41" t="s">
        <v>106</v>
      </c>
      <c r="F685" s="41" t="s">
        <v>10</v>
      </c>
      <c r="G685" s="41" t="s">
        <v>2</v>
      </c>
      <c r="H685" s="41" t="s">
        <v>5</v>
      </c>
      <c r="I685" s="41" t="s">
        <v>11</v>
      </c>
    </row>
    <row r="686" spans="1:9">
      <c r="A686" t="s">
        <v>272</v>
      </c>
      <c r="B686" t="s">
        <v>244</v>
      </c>
      <c r="C686">
        <v>1</v>
      </c>
      <c r="D686" t="s">
        <v>128</v>
      </c>
      <c r="E686" s="45"/>
      <c r="G686" t="s">
        <v>29</v>
      </c>
      <c r="H686" t="s">
        <v>18</v>
      </c>
    </row>
    <row r="687" spans="1:9">
      <c r="A687" t="s">
        <v>249</v>
      </c>
      <c r="B687" t="s">
        <v>250</v>
      </c>
      <c r="C687">
        <v>1.5029864785434452E-4</v>
      </c>
      <c r="D687" t="s">
        <v>13</v>
      </c>
      <c r="E687" t="s">
        <v>205</v>
      </c>
      <c r="G687" t="s">
        <v>140</v>
      </c>
      <c r="H687" t="s">
        <v>12</v>
      </c>
    </row>
    <row r="688" spans="1:9">
      <c r="A688" t="s">
        <v>251</v>
      </c>
      <c r="B688" t="s">
        <v>135</v>
      </c>
      <c r="C688">
        <v>0</v>
      </c>
      <c r="D688" t="s">
        <v>6</v>
      </c>
      <c r="E688" t="s">
        <v>205</v>
      </c>
      <c r="G688" t="s">
        <v>140</v>
      </c>
      <c r="H688" t="s">
        <v>12</v>
      </c>
    </row>
    <row r="689" spans="1:9">
      <c r="A689" t="s">
        <v>28</v>
      </c>
      <c r="B689" t="s">
        <v>20</v>
      </c>
      <c r="C689">
        <v>0.6575565843627571</v>
      </c>
      <c r="D689" t="s">
        <v>19</v>
      </c>
      <c r="E689" t="s">
        <v>205</v>
      </c>
      <c r="G689" t="s">
        <v>29</v>
      </c>
      <c r="H689" t="s">
        <v>12</v>
      </c>
    </row>
    <row r="690" spans="1:9">
      <c r="A690" t="s">
        <v>179</v>
      </c>
      <c r="B690" t="s">
        <v>180</v>
      </c>
      <c r="C690">
        <v>0</v>
      </c>
      <c r="D690" t="s">
        <v>13</v>
      </c>
      <c r="E690" t="s">
        <v>205</v>
      </c>
      <c r="G690" t="s">
        <v>49</v>
      </c>
      <c r="H690" t="s">
        <v>12</v>
      </c>
    </row>
    <row r="691" spans="1:9">
      <c r="A691" t="s">
        <v>252</v>
      </c>
      <c r="B691" t="s">
        <v>253</v>
      </c>
      <c r="C691">
        <v>0</v>
      </c>
      <c r="D691" t="s">
        <v>13</v>
      </c>
      <c r="E691" t="s">
        <v>205</v>
      </c>
      <c r="G691" t="s">
        <v>140</v>
      </c>
      <c r="H691" t="s">
        <v>12</v>
      </c>
    </row>
    <row r="692" spans="1:9">
      <c r="A692" t="s">
        <v>480</v>
      </c>
      <c r="B692" s="18" t="s">
        <v>195</v>
      </c>
      <c r="C692">
        <v>1.8787330981793062</v>
      </c>
      <c r="D692" s="40" t="s">
        <v>128</v>
      </c>
      <c r="G692" s="45" t="s">
        <v>208</v>
      </c>
      <c r="H692" t="s">
        <v>12</v>
      </c>
    </row>
    <row r="693" spans="1:9" s="40" customFormat="1">
      <c r="A693" s="45" t="s">
        <v>431</v>
      </c>
      <c r="B693" s="45" t="s">
        <v>431</v>
      </c>
      <c r="C693" s="60">
        <v>1</v>
      </c>
      <c r="D693" s="40" t="s">
        <v>6</v>
      </c>
      <c r="E693"/>
      <c r="F693" s="38"/>
      <c r="G693" s="45" t="s">
        <v>29</v>
      </c>
      <c r="H693" t="s">
        <v>12</v>
      </c>
      <c r="I693" s="38"/>
    </row>
    <row r="694" spans="1:9">
      <c r="A694" t="s">
        <v>212</v>
      </c>
      <c r="B694"/>
      <c r="C694">
        <v>1.7592062868727893</v>
      </c>
      <c r="D694" t="s">
        <v>13</v>
      </c>
      <c r="E694" t="s">
        <v>109</v>
      </c>
      <c r="F694" t="s">
        <v>183</v>
      </c>
      <c r="H694" t="s">
        <v>15</v>
      </c>
    </row>
    <row r="695" spans="1:9">
      <c r="A695" t="s">
        <v>245</v>
      </c>
      <c r="B695"/>
      <c r="C695">
        <v>0</v>
      </c>
      <c r="D695" t="s">
        <v>46</v>
      </c>
      <c r="E695" t="s">
        <v>109</v>
      </c>
      <c r="F695" t="s">
        <v>183</v>
      </c>
      <c r="H695" t="s">
        <v>15</v>
      </c>
    </row>
    <row r="696" spans="1:9">
      <c r="A696" t="s">
        <v>246</v>
      </c>
      <c r="B696"/>
      <c r="C696">
        <v>0</v>
      </c>
      <c r="D696" t="s">
        <v>13</v>
      </c>
      <c r="E696" t="s">
        <v>109</v>
      </c>
      <c r="F696" t="s">
        <v>183</v>
      </c>
      <c r="H696" t="s">
        <v>15</v>
      </c>
    </row>
    <row r="697" spans="1:9">
      <c r="A697" t="s">
        <v>184</v>
      </c>
      <c r="B697"/>
      <c r="C697">
        <v>3.4834928759999994E-4</v>
      </c>
      <c r="D697" t="s">
        <v>13</v>
      </c>
      <c r="E697" t="s">
        <v>109</v>
      </c>
      <c r="F697" t="s">
        <v>183</v>
      </c>
      <c r="H697" t="s">
        <v>15</v>
      </c>
    </row>
    <row r="698" spans="1:9">
      <c r="A698" t="s">
        <v>247</v>
      </c>
      <c r="B698"/>
      <c r="C698">
        <v>0</v>
      </c>
      <c r="D698" t="s">
        <v>13</v>
      </c>
      <c r="E698" t="s">
        <v>109</v>
      </c>
      <c r="F698" t="s">
        <v>25</v>
      </c>
      <c r="H698" t="s">
        <v>15</v>
      </c>
    </row>
    <row r="699" spans="1:9">
      <c r="A699" t="s">
        <v>125</v>
      </c>
      <c r="B699"/>
      <c r="C699">
        <v>0</v>
      </c>
      <c r="D699" t="s">
        <v>13</v>
      </c>
      <c r="E699" t="s">
        <v>109</v>
      </c>
      <c r="F699" t="s">
        <v>248</v>
      </c>
      <c r="H699" t="s">
        <v>15</v>
      </c>
    </row>
    <row r="700" spans="1:9">
      <c r="A700" s="45" t="s">
        <v>38</v>
      </c>
      <c r="B700" s="45" t="s">
        <v>39</v>
      </c>
      <c r="C700" s="51">
        <v>0</v>
      </c>
      <c r="D700" s="45" t="s">
        <v>13</v>
      </c>
      <c r="E700" t="s">
        <v>205</v>
      </c>
      <c r="G700" s="45" t="s">
        <v>22</v>
      </c>
      <c r="H700" t="s">
        <v>12</v>
      </c>
    </row>
    <row r="701" spans="1:9">
      <c r="A701" s="45" t="s">
        <v>258</v>
      </c>
      <c r="B701" s="45" t="s">
        <v>259</v>
      </c>
      <c r="C701">
        <v>0</v>
      </c>
      <c r="D701" s="45" t="s">
        <v>13</v>
      </c>
      <c r="E701" t="s">
        <v>205</v>
      </c>
      <c r="G701" s="45" t="s">
        <v>140</v>
      </c>
      <c r="H701" t="s">
        <v>12</v>
      </c>
    </row>
    <row r="702" spans="1:9">
      <c r="A702" s="45" t="s">
        <v>260</v>
      </c>
      <c r="B702" s="45" t="s">
        <v>261</v>
      </c>
      <c r="C702">
        <v>0</v>
      </c>
      <c r="D702" s="45" t="s">
        <v>13</v>
      </c>
      <c r="E702" t="s">
        <v>205</v>
      </c>
      <c r="G702" s="45" t="s">
        <v>140</v>
      </c>
      <c r="H702" t="s">
        <v>12</v>
      </c>
    </row>
    <row r="703" spans="1:9">
      <c r="A703" t="s">
        <v>262</v>
      </c>
      <c r="B703" t="s">
        <v>263</v>
      </c>
      <c r="C703">
        <v>0</v>
      </c>
      <c r="D703" s="45" t="s">
        <v>13</v>
      </c>
      <c r="E703" t="s">
        <v>205</v>
      </c>
      <c r="G703" s="45" t="s">
        <v>140</v>
      </c>
      <c r="H703" t="s">
        <v>12</v>
      </c>
    </row>
    <row r="704" spans="1:9">
      <c r="A704" s="45" t="s">
        <v>264</v>
      </c>
      <c r="B704" s="46" t="s">
        <v>265</v>
      </c>
      <c r="C704">
        <v>0</v>
      </c>
      <c r="D704" s="45" t="s">
        <v>13</v>
      </c>
      <c r="E704" t="s">
        <v>205</v>
      </c>
      <c r="G704" s="45" t="s">
        <v>140</v>
      </c>
      <c r="H704" t="s">
        <v>12</v>
      </c>
    </row>
    <row r="705" spans="1:9">
      <c r="A705" s="45" t="s">
        <v>266</v>
      </c>
      <c r="B705" s="46" t="s">
        <v>267</v>
      </c>
      <c r="C705">
        <v>0</v>
      </c>
      <c r="D705" s="45" t="s">
        <v>13</v>
      </c>
      <c r="E705" t="s">
        <v>205</v>
      </c>
      <c r="G705" s="45" t="s">
        <v>140</v>
      </c>
      <c r="H705" t="s">
        <v>12</v>
      </c>
    </row>
    <row r="706" spans="1:9">
      <c r="A706" s="14" t="s">
        <v>268</v>
      </c>
      <c r="B706" s="46"/>
      <c r="C706">
        <v>0</v>
      </c>
      <c r="D706" s="45" t="s">
        <v>13</v>
      </c>
      <c r="E706" s="45" t="s">
        <v>109</v>
      </c>
      <c r="F706" t="s">
        <v>183</v>
      </c>
      <c r="H706" t="s">
        <v>15</v>
      </c>
    </row>
    <row r="707" spans="1:9">
      <c r="A707" s="14" t="s">
        <v>108</v>
      </c>
      <c r="B707" s="45"/>
      <c r="C707">
        <v>0</v>
      </c>
      <c r="D707" s="45" t="s">
        <v>13</v>
      </c>
      <c r="E707" s="45" t="s">
        <v>109</v>
      </c>
      <c r="F707" t="s">
        <v>183</v>
      </c>
      <c r="H707" t="s">
        <v>15</v>
      </c>
    </row>
    <row r="708" spans="1:9" s="64" customFormat="1">
      <c r="B708" s="65"/>
    </row>
    <row r="709" spans="1:9">
      <c r="A709" s="38" t="s">
        <v>1</v>
      </c>
      <c r="B709" s="38" t="s">
        <v>420</v>
      </c>
    </row>
    <row r="710" spans="1:9">
      <c r="A710" s="41" t="s">
        <v>11</v>
      </c>
      <c r="B710" s="70" t="s">
        <v>501</v>
      </c>
    </row>
    <row r="711" spans="1:9">
      <c r="A711" s="41" t="s">
        <v>2</v>
      </c>
      <c r="B711" t="s">
        <v>29</v>
      </c>
    </row>
    <row r="712" spans="1:9">
      <c r="A712" s="41" t="s">
        <v>3</v>
      </c>
      <c r="B712" s="42">
        <v>1</v>
      </c>
    </row>
    <row r="713" spans="1:9">
      <c r="A713" s="41" t="s">
        <v>4</v>
      </c>
      <c r="B713" t="s">
        <v>244</v>
      </c>
    </row>
    <row r="714" spans="1:9">
      <c r="A714" s="41" t="s">
        <v>6</v>
      </c>
      <c r="B714" t="s">
        <v>128</v>
      </c>
    </row>
    <row r="715" spans="1:9">
      <c r="A715" s="41" t="s">
        <v>76</v>
      </c>
      <c r="B715"/>
    </row>
    <row r="716" spans="1:9" ht="15.75">
      <c r="A716" s="29" t="s">
        <v>7</v>
      </c>
      <c r="B716"/>
    </row>
    <row r="717" spans="1:9" s="41" customFormat="1">
      <c r="A717" s="41" t="s">
        <v>8</v>
      </c>
      <c r="B717" s="41" t="s">
        <v>4</v>
      </c>
      <c r="C717" s="41" t="s">
        <v>9</v>
      </c>
      <c r="D717" s="41" t="s">
        <v>6</v>
      </c>
      <c r="E717" s="41" t="s">
        <v>106</v>
      </c>
      <c r="F717" s="41" t="s">
        <v>10</v>
      </c>
      <c r="G717" s="41" t="s">
        <v>2</v>
      </c>
      <c r="H717" s="41" t="s">
        <v>5</v>
      </c>
      <c r="I717" s="41" t="s">
        <v>11</v>
      </c>
    </row>
    <row r="718" spans="1:9">
      <c r="A718" t="s">
        <v>420</v>
      </c>
      <c r="B718" t="s">
        <v>244</v>
      </c>
      <c r="C718">
        <v>1</v>
      </c>
      <c r="D718" t="s">
        <v>128</v>
      </c>
      <c r="E718" s="45"/>
      <c r="G718" t="s">
        <v>29</v>
      </c>
      <c r="H718" t="s">
        <v>18</v>
      </c>
    </row>
    <row r="719" spans="1:9">
      <c r="A719" t="s">
        <v>249</v>
      </c>
      <c r="B719" t="s">
        <v>250</v>
      </c>
      <c r="C719">
        <v>1.5153830138359706E-4</v>
      </c>
      <c r="D719" t="s">
        <v>13</v>
      </c>
      <c r="E719" t="s">
        <v>205</v>
      </c>
      <c r="G719" t="s">
        <v>140</v>
      </c>
      <c r="H719" t="s">
        <v>12</v>
      </c>
    </row>
    <row r="720" spans="1:9">
      <c r="A720" t="s">
        <v>251</v>
      </c>
      <c r="B720" t="s">
        <v>135</v>
      </c>
      <c r="C720">
        <v>5.4000000000000001E-11</v>
      </c>
      <c r="D720" t="s">
        <v>6</v>
      </c>
      <c r="E720" t="s">
        <v>205</v>
      </c>
      <c r="G720" t="s">
        <v>140</v>
      </c>
      <c r="H720" t="s">
        <v>12</v>
      </c>
    </row>
    <row r="721" spans="1:9">
      <c r="A721" t="s">
        <v>28</v>
      </c>
      <c r="B721" t="s">
        <v>20</v>
      </c>
      <c r="C721" s="37">
        <v>0.9818888836474815</v>
      </c>
      <c r="D721" t="s">
        <v>19</v>
      </c>
      <c r="E721" t="s">
        <v>205</v>
      </c>
      <c r="G721" t="s">
        <v>29</v>
      </c>
      <c r="H721" t="s">
        <v>12</v>
      </c>
    </row>
    <row r="722" spans="1:9">
      <c r="A722" t="s">
        <v>179</v>
      </c>
      <c r="B722" t="s">
        <v>180</v>
      </c>
      <c r="C722">
        <v>1.1400000000000001E-4</v>
      </c>
      <c r="D722" t="s">
        <v>13</v>
      </c>
      <c r="E722" t="s">
        <v>205</v>
      </c>
      <c r="G722" t="s">
        <v>49</v>
      </c>
      <c r="H722" t="s">
        <v>12</v>
      </c>
    </row>
    <row r="723" spans="1:9">
      <c r="A723" t="s">
        <v>252</v>
      </c>
      <c r="B723" t="s">
        <v>253</v>
      </c>
      <c r="C723">
        <v>1.01E-4</v>
      </c>
      <c r="D723" t="s">
        <v>13</v>
      </c>
      <c r="E723" t="s">
        <v>205</v>
      </c>
      <c r="G723" t="s">
        <v>140</v>
      </c>
      <c r="H723" t="s">
        <v>12</v>
      </c>
    </row>
    <row r="724" spans="1:9">
      <c r="A724" t="s">
        <v>480</v>
      </c>
      <c r="B724" s="18" t="s">
        <v>195</v>
      </c>
      <c r="C724">
        <v>1.8942287672949629</v>
      </c>
      <c r="D724" s="40" t="s">
        <v>128</v>
      </c>
      <c r="G724" s="45" t="s">
        <v>208</v>
      </c>
      <c r="H724" t="s">
        <v>12</v>
      </c>
    </row>
    <row r="725" spans="1:9" s="40" customFormat="1">
      <c r="A725" s="45" t="s">
        <v>431</v>
      </c>
      <c r="B725" s="45" t="s">
        <v>431</v>
      </c>
      <c r="C725" s="60">
        <v>1</v>
      </c>
      <c r="D725" s="40" t="s">
        <v>6</v>
      </c>
      <c r="E725"/>
      <c r="F725" s="38"/>
      <c r="G725" s="45" t="s">
        <v>29</v>
      </c>
      <c r="H725" t="s">
        <v>12</v>
      </c>
      <c r="I725" s="38"/>
    </row>
    <row r="726" spans="1:9">
      <c r="A726" t="s">
        <v>212</v>
      </c>
      <c r="B726"/>
      <c r="C726">
        <v>1.826313948288041E-2</v>
      </c>
      <c r="D726" t="s">
        <v>13</v>
      </c>
      <c r="E726" t="s">
        <v>109</v>
      </c>
      <c r="F726" t="s">
        <v>183</v>
      </c>
      <c r="H726" t="s">
        <v>15</v>
      </c>
    </row>
    <row r="727" spans="1:9">
      <c r="A727" t="s">
        <v>245</v>
      </c>
      <c r="B727"/>
      <c r="C727">
        <v>1.28</v>
      </c>
      <c r="D727" t="s">
        <v>46</v>
      </c>
      <c r="E727" t="s">
        <v>109</v>
      </c>
      <c r="F727" t="s">
        <v>183</v>
      </c>
      <c r="H727" t="s">
        <v>15</v>
      </c>
    </row>
    <row r="728" spans="1:9">
      <c r="A728" t="s">
        <v>246</v>
      </c>
      <c r="B728"/>
      <c r="C728">
        <v>0</v>
      </c>
      <c r="D728" t="s">
        <v>13</v>
      </c>
      <c r="E728" t="s">
        <v>109</v>
      </c>
      <c r="F728" t="s">
        <v>183</v>
      </c>
      <c r="H728" t="s">
        <v>15</v>
      </c>
    </row>
    <row r="729" spans="1:9">
      <c r="A729" t="s">
        <v>184</v>
      </c>
      <c r="B729"/>
      <c r="C729">
        <v>7.0244489999999995E-3</v>
      </c>
      <c r="D729" t="s">
        <v>13</v>
      </c>
      <c r="E729" t="s">
        <v>109</v>
      </c>
      <c r="F729" t="s">
        <v>183</v>
      </c>
      <c r="H729" t="s">
        <v>15</v>
      </c>
    </row>
    <row r="730" spans="1:9">
      <c r="A730" t="s">
        <v>247</v>
      </c>
      <c r="B730"/>
      <c r="C730">
        <v>5.1560000000000002E-2</v>
      </c>
      <c r="D730" t="s">
        <v>13</v>
      </c>
      <c r="E730" t="s">
        <v>109</v>
      </c>
      <c r="F730" t="s">
        <v>25</v>
      </c>
      <c r="H730" t="s">
        <v>15</v>
      </c>
    </row>
    <row r="731" spans="1:9">
      <c r="A731" t="s">
        <v>125</v>
      </c>
      <c r="B731"/>
      <c r="C731">
        <v>6.5989999999999998E-6</v>
      </c>
      <c r="D731" t="s">
        <v>13</v>
      </c>
      <c r="E731" t="s">
        <v>109</v>
      </c>
      <c r="F731" t="s">
        <v>248</v>
      </c>
      <c r="H731" t="s">
        <v>15</v>
      </c>
    </row>
    <row r="732" spans="1:9" s="64" customFormat="1">
      <c r="B732" s="65"/>
    </row>
    <row r="733" spans="1:9">
      <c r="A733" s="38" t="s">
        <v>1</v>
      </c>
      <c r="B733" s="38" t="s">
        <v>421</v>
      </c>
    </row>
    <row r="734" spans="1:9">
      <c r="A734" s="41" t="s">
        <v>11</v>
      </c>
      <c r="B734" s="70" t="s">
        <v>502</v>
      </c>
    </row>
    <row r="735" spans="1:9">
      <c r="A735" s="41" t="s">
        <v>2</v>
      </c>
      <c r="B735" t="s">
        <v>29</v>
      </c>
    </row>
    <row r="736" spans="1:9">
      <c r="A736" s="41" t="s">
        <v>3</v>
      </c>
      <c r="B736" s="42">
        <v>1</v>
      </c>
    </row>
    <row r="737" spans="1:9">
      <c r="A737" s="41" t="s">
        <v>4</v>
      </c>
      <c r="B737" t="s">
        <v>244</v>
      </c>
    </row>
    <row r="738" spans="1:9">
      <c r="A738" s="41" t="s">
        <v>6</v>
      </c>
      <c r="B738" t="s">
        <v>128</v>
      </c>
    </row>
    <row r="739" spans="1:9">
      <c r="A739" s="41" t="s">
        <v>76</v>
      </c>
      <c r="B739"/>
    </row>
    <row r="740" spans="1:9" ht="15.75">
      <c r="A740" s="29" t="s">
        <v>7</v>
      </c>
      <c r="B740"/>
    </row>
    <row r="741" spans="1:9" s="41" customFormat="1">
      <c r="A741" s="41" t="s">
        <v>8</v>
      </c>
      <c r="B741" s="41" t="s">
        <v>4</v>
      </c>
      <c r="C741" s="41" t="s">
        <v>9</v>
      </c>
      <c r="D741" s="41" t="s">
        <v>6</v>
      </c>
      <c r="E741" s="41" t="s">
        <v>106</v>
      </c>
      <c r="F741" s="41" t="s">
        <v>10</v>
      </c>
      <c r="G741" s="41" t="s">
        <v>2</v>
      </c>
      <c r="H741" s="41" t="s">
        <v>5</v>
      </c>
      <c r="I741" s="41" t="s">
        <v>11</v>
      </c>
    </row>
    <row r="742" spans="1:9">
      <c r="A742" t="s">
        <v>421</v>
      </c>
      <c r="B742" t="s">
        <v>244</v>
      </c>
      <c r="C742">
        <v>1</v>
      </c>
      <c r="D742" t="s">
        <v>128</v>
      </c>
      <c r="E742" s="45"/>
      <c r="G742" t="s">
        <v>29</v>
      </c>
      <c r="H742" t="s">
        <v>18</v>
      </c>
    </row>
    <row r="743" spans="1:9">
      <c r="A743" t="s">
        <v>249</v>
      </c>
      <c r="B743" t="s">
        <v>250</v>
      </c>
      <c r="C743">
        <v>1.5328461905494623E-4</v>
      </c>
      <c r="D743" t="s">
        <v>13</v>
      </c>
      <c r="E743" t="s">
        <v>205</v>
      </c>
      <c r="G743" t="s">
        <v>140</v>
      </c>
      <c r="H743" t="s">
        <v>12</v>
      </c>
    </row>
    <row r="744" spans="1:9">
      <c r="A744" t="s">
        <v>251</v>
      </c>
      <c r="B744" t="s">
        <v>135</v>
      </c>
      <c r="C744">
        <v>5.4000000000000001E-11</v>
      </c>
      <c r="D744" t="s">
        <v>6</v>
      </c>
      <c r="E744" t="s">
        <v>205</v>
      </c>
      <c r="G744" t="s">
        <v>140</v>
      </c>
      <c r="H744" t="s">
        <v>12</v>
      </c>
    </row>
    <row r="745" spans="1:9">
      <c r="A745" t="s">
        <v>28</v>
      </c>
      <c r="B745" t="s">
        <v>20</v>
      </c>
      <c r="C745" s="37">
        <v>0.76289810836538974</v>
      </c>
      <c r="D745" t="s">
        <v>19</v>
      </c>
      <c r="E745" t="s">
        <v>205</v>
      </c>
      <c r="G745" t="s">
        <v>29</v>
      </c>
      <c r="H745" t="s">
        <v>12</v>
      </c>
    </row>
    <row r="746" spans="1:9">
      <c r="A746" t="s">
        <v>179</v>
      </c>
      <c r="B746" t="s">
        <v>180</v>
      </c>
      <c r="C746">
        <v>1.1400000000000001E-4</v>
      </c>
      <c r="D746" t="s">
        <v>13</v>
      </c>
      <c r="E746" t="s">
        <v>205</v>
      </c>
      <c r="G746" t="s">
        <v>49</v>
      </c>
      <c r="H746" t="s">
        <v>12</v>
      </c>
    </row>
    <row r="747" spans="1:9">
      <c r="A747" t="s">
        <v>252</v>
      </c>
      <c r="B747" t="s">
        <v>253</v>
      </c>
      <c r="C747">
        <v>1.01E-4</v>
      </c>
      <c r="D747" t="s">
        <v>13</v>
      </c>
      <c r="E747" t="s">
        <v>205</v>
      </c>
      <c r="G747" t="s">
        <v>140</v>
      </c>
      <c r="H747" t="s">
        <v>12</v>
      </c>
    </row>
    <row r="748" spans="1:9">
      <c r="A748" t="s">
        <v>480</v>
      </c>
      <c r="B748" s="18" t="s">
        <v>195</v>
      </c>
      <c r="C748">
        <v>1.9160577381868278</v>
      </c>
      <c r="D748" s="40" t="s">
        <v>128</v>
      </c>
      <c r="G748" s="45" t="s">
        <v>208</v>
      </c>
      <c r="H748" t="s">
        <v>12</v>
      </c>
    </row>
    <row r="749" spans="1:9" s="40" customFormat="1">
      <c r="A749" s="45" t="s">
        <v>431</v>
      </c>
      <c r="B749" s="45" t="s">
        <v>431</v>
      </c>
      <c r="C749" s="60">
        <v>1</v>
      </c>
      <c r="D749" s="40" t="s">
        <v>6</v>
      </c>
      <c r="E749"/>
      <c r="F749" s="38"/>
      <c r="G749" s="45" t="s">
        <v>29</v>
      </c>
      <c r="H749" t="s">
        <v>12</v>
      </c>
      <c r="I749" s="38"/>
    </row>
    <row r="750" spans="1:9">
      <c r="A750" t="s">
        <v>212</v>
      </c>
      <c r="B750"/>
      <c r="C750">
        <v>1.8473602731590951E-3</v>
      </c>
      <c r="D750" t="s">
        <v>13</v>
      </c>
      <c r="E750" t="s">
        <v>109</v>
      </c>
      <c r="F750" t="s">
        <v>183</v>
      </c>
      <c r="H750" t="s">
        <v>15</v>
      </c>
    </row>
    <row r="751" spans="1:9">
      <c r="A751" t="s">
        <v>245</v>
      </c>
      <c r="B751"/>
      <c r="C751">
        <v>1.28</v>
      </c>
      <c r="D751" t="s">
        <v>46</v>
      </c>
      <c r="E751" t="s">
        <v>109</v>
      </c>
      <c r="F751" t="s">
        <v>183</v>
      </c>
      <c r="H751" t="s">
        <v>15</v>
      </c>
    </row>
    <row r="752" spans="1:9">
      <c r="A752" t="s">
        <v>246</v>
      </c>
      <c r="B752"/>
      <c r="C752">
        <v>0</v>
      </c>
      <c r="D752" t="s">
        <v>13</v>
      </c>
      <c r="E752" t="s">
        <v>109</v>
      </c>
      <c r="F752" t="s">
        <v>183</v>
      </c>
      <c r="H752" t="s">
        <v>15</v>
      </c>
    </row>
    <row r="753" spans="1:8">
      <c r="A753" t="s">
        <v>184</v>
      </c>
      <c r="B753"/>
      <c r="C753">
        <v>7.1053982999999999E-4</v>
      </c>
      <c r="D753" t="s">
        <v>13</v>
      </c>
      <c r="E753" t="s">
        <v>109</v>
      </c>
      <c r="F753" t="s">
        <v>183</v>
      </c>
      <c r="H753" t="s">
        <v>15</v>
      </c>
    </row>
    <row r="754" spans="1:8">
      <c r="A754" t="s">
        <v>247</v>
      </c>
      <c r="B754"/>
      <c r="C754">
        <v>5.1560000000000002E-2</v>
      </c>
      <c r="D754" t="s">
        <v>13</v>
      </c>
      <c r="E754" t="s">
        <v>109</v>
      </c>
      <c r="F754" t="s">
        <v>25</v>
      </c>
      <c r="H754" t="s">
        <v>15</v>
      </c>
    </row>
    <row r="755" spans="1:8">
      <c r="A755" t="s">
        <v>125</v>
      </c>
      <c r="B755"/>
      <c r="C755">
        <v>6.5989999999999998E-6</v>
      </c>
      <c r="D755" t="s">
        <v>13</v>
      </c>
      <c r="E755" t="s">
        <v>109</v>
      </c>
      <c r="F755" t="s">
        <v>248</v>
      </c>
      <c r="H755" t="s">
        <v>15</v>
      </c>
    </row>
    <row r="756" spans="1:8">
      <c r="A756" s="45" t="s">
        <v>38</v>
      </c>
      <c r="B756" s="45" t="s">
        <v>39</v>
      </c>
      <c r="C756" s="50">
        <v>0</v>
      </c>
      <c r="D756" s="45" t="s">
        <v>13</v>
      </c>
      <c r="E756" t="s">
        <v>205</v>
      </c>
      <c r="G756" s="45" t="s">
        <v>22</v>
      </c>
      <c r="H756" t="s">
        <v>12</v>
      </c>
    </row>
    <row r="757" spans="1:8">
      <c r="A757" s="45" t="s">
        <v>258</v>
      </c>
      <c r="B757" s="45" t="s">
        <v>259</v>
      </c>
      <c r="C757">
        <v>1.2300000000000001E-4</v>
      </c>
      <c r="D757" s="45" t="s">
        <v>13</v>
      </c>
      <c r="E757" t="s">
        <v>205</v>
      </c>
      <c r="G757" s="45" t="s">
        <v>140</v>
      </c>
      <c r="H757" t="s">
        <v>12</v>
      </c>
    </row>
    <row r="758" spans="1:8">
      <c r="A758" s="45" t="s">
        <v>260</v>
      </c>
      <c r="B758" s="45" t="s">
        <v>261</v>
      </c>
      <c r="C758">
        <v>6.9700000000000003E-4</v>
      </c>
      <c r="D758" s="45" t="s">
        <v>13</v>
      </c>
      <c r="E758" t="s">
        <v>205</v>
      </c>
      <c r="G758" s="45" t="s">
        <v>140</v>
      </c>
      <c r="H758" t="s">
        <v>12</v>
      </c>
    </row>
    <row r="759" spans="1:8">
      <c r="A759" t="s">
        <v>262</v>
      </c>
      <c r="B759" t="s">
        <v>263</v>
      </c>
      <c r="C759">
        <v>2.6400000000000001E-5</v>
      </c>
      <c r="D759" s="45" t="s">
        <v>13</v>
      </c>
      <c r="E759" t="s">
        <v>205</v>
      </c>
      <c r="G759" s="45" t="s">
        <v>140</v>
      </c>
      <c r="H759" t="s">
        <v>12</v>
      </c>
    </row>
    <row r="760" spans="1:8">
      <c r="A760" s="45" t="s">
        <v>264</v>
      </c>
      <c r="B760" s="46" t="s">
        <v>265</v>
      </c>
      <c r="C760">
        <v>0</v>
      </c>
      <c r="D760" s="45" t="s">
        <v>13</v>
      </c>
      <c r="E760" t="s">
        <v>205</v>
      </c>
      <c r="G760" s="45" t="s">
        <v>140</v>
      </c>
      <c r="H760" t="s">
        <v>12</v>
      </c>
    </row>
    <row r="761" spans="1:8">
      <c r="A761" s="45" t="s">
        <v>266</v>
      </c>
      <c r="B761" s="46" t="s">
        <v>267</v>
      </c>
      <c r="C761">
        <v>9.2899999999999995E-5</v>
      </c>
      <c r="D761" s="45" t="s">
        <v>13</v>
      </c>
      <c r="E761" t="s">
        <v>205</v>
      </c>
      <c r="G761" s="45" t="s">
        <v>140</v>
      </c>
      <c r="H761" t="s">
        <v>12</v>
      </c>
    </row>
    <row r="762" spans="1:8">
      <c r="A762" s="14" t="s">
        <v>268</v>
      </c>
      <c r="B762" s="46"/>
      <c r="C762">
        <v>1.3412404167307795E-2</v>
      </c>
      <c r="D762" s="45" t="s">
        <v>13</v>
      </c>
      <c r="E762" s="45" t="s">
        <v>109</v>
      </c>
      <c r="F762" t="s">
        <v>183</v>
      </c>
      <c r="H762" t="s">
        <v>15</v>
      </c>
    </row>
    <row r="763" spans="1:8">
      <c r="A763" s="14" t="s">
        <v>108</v>
      </c>
      <c r="B763" s="45"/>
      <c r="C763">
        <v>0.35255462382637631</v>
      </c>
      <c r="D763" s="45" t="s">
        <v>13</v>
      </c>
      <c r="E763" s="45" t="s">
        <v>109</v>
      </c>
      <c r="F763" t="s">
        <v>183</v>
      </c>
      <c r="H763" t="s">
        <v>15</v>
      </c>
    </row>
    <row r="764" spans="1:8" s="64" customFormat="1">
      <c r="B764" s="65"/>
    </row>
    <row r="765" spans="1:8">
      <c r="A765" s="38" t="s">
        <v>1</v>
      </c>
      <c r="B765" s="38" t="s">
        <v>422</v>
      </c>
    </row>
    <row r="766" spans="1:8">
      <c r="A766" s="41" t="s">
        <v>11</v>
      </c>
      <c r="B766" s="70" t="s">
        <v>503</v>
      </c>
    </row>
    <row r="767" spans="1:8">
      <c r="A767" s="41" t="s">
        <v>2</v>
      </c>
      <c r="B767" t="s">
        <v>29</v>
      </c>
    </row>
    <row r="768" spans="1:8">
      <c r="A768" s="41" t="s">
        <v>3</v>
      </c>
      <c r="B768" s="42">
        <v>1</v>
      </c>
    </row>
    <row r="769" spans="1:9">
      <c r="A769" s="41" t="s">
        <v>4</v>
      </c>
      <c r="B769" t="s">
        <v>244</v>
      </c>
    </row>
    <row r="770" spans="1:9">
      <c r="A770" s="41" t="s">
        <v>6</v>
      </c>
      <c r="B770" t="s">
        <v>128</v>
      </c>
    </row>
    <row r="771" spans="1:9">
      <c r="A771" s="41" t="s">
        <v>76</v>
      </c>
      <c r="B771"/>
    </row>
    <row r="772" spans="1:9" ht="15.75">
      <c r="A772" s="29" t="s">
        <v>7</v>
      </c>
      <c r="B772"/>
    </row>
    <row r="773" spans="1:9" s="41" customFormat="1">
      <c r="A773" s="41" t="s">
        <v>8</v>
      </c>
      <c r="B773" s="41" t="s">
        <v>4</v>
      </c>
      <c r="C773" s="41" t="s">
        <v>9</v>
      </c>
      <c r="D773" s="41" t="s">
        <v>6</v>
      </c>
      <c r="E773" s="41" t="s">
        <v>106</v>
      </c>
      <c r="F773" s="41" t="s">
        <v>10</v>
      </c>
      <c r="G773" s="41" t="s">
        <v>2</v>
      </c>
      <c r="H773" s="41" t="s">
        <v>5</v>
      </c>
      <c r="I773" s="41" t="s">
        <v>11</v>
      </c>
    </row>
    <row r="774" spans="1:9">
      <c r="A774" t="s">
        <v>422</v>
      </c>
      <c r="B774" t="s">
        <v>244</v>
      </c>
      <c r="C774">
        <v>1</v>
      </c>
      <c r="D774" t="s">
        <v>128</v>
      </c>
      <c r="E774" s="45"/>
      <c r="G774" t="s">
        <v>29</v>
      </c>
      <c r="H774" t="s">
        <v>18</v>
      </c>
    </row>
    <row r="775" spans="1:9">
      <c r="A775" t="s">
        <v>249</v>
      </c>
      <c r="B775" t="s">
        <v>250</v>
      </c>
      <c r="C775">
        <v>1.5303868060521681E-4</v>
      </c>
      <c r="D775" t="s">
        <v>13</v>
      </c>
      <c r="E775" t="s">
        <v>205</v>
      </c>
      <c r="G775" t="s">
        <v>140</v>
      </c>
      <c r="H775" t="s">
        <v>12</v>
      </c>
    </row>
    <row r="776" spans="1:9">
      <c r="A776" t="s">
        <v>251</v>
      </c>
      <c r="B776" t="s">
        <v>135</v>
      </c>
      <c r="C776">
        <v>5.4000000000000001E-11</v>
      </c>
      <c r="D776" t="s">
        <v>6</v>
      </c>
      <c r="E776" t="s">
        <v>205</v>
      </c>
      <c r="G776" t="s">
        <v>140</v>
      </c>
      <c r="H776" t="s">
        <v>12</v>
      </c>
    </row>
    <row r="777" spans="1:9">
      <c r="A777" t="s">
        <v>28</v>
      </c>
      <c r="B777" t="s">
        <v>20</v>
      </c>
      <c r="C777" s="37">
        <v>0.6343270522695631</v>
      </c>
      <c r="D777" t="s">
        <v>19</v>
      </c>
      <c r="E777" t="s">
        <v>205</v>
      </c>
      <c r="G777" t="s">
        <v>29</v>
      </c>
      <c r="H777" t="s">
        <v>12</v>
      </c>
    </row>
    <row r="778" spans="1:9">
      <c r="A778" t="s">
        <v>179</v>
      </c>
      <c r="B778" t="s">
        <v>180</v>
      </c>
      <c r="C778">
        <v>1.1400000000000001E-4</v>
      </c>
      <c r="D778" t="s">
        <v>13</v>
      </c>
      <c r="E778" t="s">
        <v>205</v>
      </c>
      <c r="G778" t="s">
        <v>49</v>
      </c>
      <c r="H778" t="s">
        <v>12</v>
      </c>
    </row>
    <row r="779" spans="1:9">
      <c r="A779" t="s">
        <v>252</v>
      </c>
      <c r="B779" t="s">
        <v>253</v>
      </c>
      <c r="C779">
        <v>1.01E-4</v>
      </c>
      <c r="D779" t="s">
        <v>13</v>
      </c>
      <c r="E779" t="s">
        <v>205</v>
      </c>
      <c r="G779" t="s">
        <v>140</v>
      </c>
      <c r="H779" t="s">
        <v>12</v>
      </c>
    </row>
    <row r="780" spans="1:9">
      <c r="A780" t="s">
        <v>480</v>
      </c>
      <c r="B780" s="18" t="s">
        <v>195</v>
      </c>
      <c r="C780">
        <v>1.91298350756521</v>
      </c>
      <c r="D780" s="40" t="s">
        <v>128</v>
      </c>
      <c r="G780" s="45" t="s">
        <v>208</v>
      </c>
      <c r="H780" t="s">
        <v>12</v>
      </c>
    </row>
    <row r="781" spans="1:9" s="40" customFormat="1">
      <c r="A781" s="45" t="s">
        <v>431</v>
      </c>
      <c r="B781" s="45" t="s">
        <v>431</v>
      </c>
      <c r="C781" s="60">
        <v>1</v>
      </c>
      <c r="D781" s="40" t="s">
        <v>6</v>
      </c>
      <c r="E781"/>
      <c r="F781" s="38"/>
      <c r="G781" s="45" t="s">
        <v>29</v>
      </c>
      <c r="H781" t="s">
        <v>12</v>
      </c>
      <c r="I781" s="38"/>
    </row>
    <row r="782" spans="1:9">
      <c r="A782" t="s">
        <v>212</v>
      </c>
      <c r="B782"/>
      <c r="C782">
        <v>3.688792529215449E-2</v>
      </c>
      <c r="D782" t="s">
        <v>13</v>
      </c>
      <c r="E782" t="s">
        <v>109</v>
      </c>
      <c r="F782" t="s">
        <v>183</v>
      </c>
      <c r="H782" t="s">
        <v>15</v>
      </c>
    </row>
    <row r="783" spans="1:9">
      <c r="A783" t="s">
        <v>245</v>
      </c>
      <c r="B783"/>
      <c r="C783">
        <v>1.28</v>
      </c>
      <c r="D783" t="s">
        <v>46</v>
      </c>
      <c r="E783" t="s">
        <v>109</v>
      </c>
      <c r="F783" t="s">
        <v>183</v>
      </c>
      <c r="H783" t="s">
        <v>15</v>
      </c>
    </row>
    <row r="784" spans="1:9">
      <c r="A784" t="s">
        <v>246</v>
      </c>
      <c r="B784"/>
      <c r="C784">
        <v>0</v>
      </c>
      <c r="D784" t="s">
        <v>13</v>
      </c>
      <c r="E784" t="s">
        <v>109</v>
      </c>
      <c r="F784" t="s">
        <v>183</v>
      </c>
      <c r="H784" t="s">
        <v>15</v>
      </c>
    </row>
    <row r="785" spans="1:8">
      <c r="A785" t="s">
        <v>184</v>
      </c>
      <c r="B785"/>
      <c r="C785">
        <v>1.4187996E-2</v>
      </c>
      <c r="D785" t="s">
        <v>13</v>
      </c>
      <c r="E785" t="s">
        <v>109</v>
      </c>
      <c r="F785" t="s">
        <v>183</v>
      </c>
      <c r="H785" t="s">
        <v>15</v>
      </c>
    </row>
    <row r="786" spans="1:8">
      <c r="A786" t="s">
        <v>247</v>
      </c>
      <c r="B786"/>
      <c r="C786">
        <v>5.1560000000000002E-2</v>
      </c>
      <c r="D786" t="s">
        <v>13</v>
      </c>
      <c r="E786" t="s">
        <v>109</v>
      </c>
      <c r="F786" t="s">
        <v>25</v>
      </c>
      <c r="H786" t="s">
        <v>15</v>
      </c>
    </row>
    <row r="787" spans="1:8">
      <c r="A787" t="s">
        <v>125</v>
      </c>
      <c r="B787"/>
      <c r="C787">
        <v>6.5989999999999998E-6</v>
      </c>
      <c r="D787" t="s">
        <v>13</v>
      </c>
      <c r="E787" t="s">
        <v>109</v>
      </c>
      <c r="F787" t="s">
        <v>248</v>
      </c>
      <c r="H787" t="s">
        <v>15</v>
      </c>
    </row>
    <row r="788" spans="1:8">
      <c r="A788" s="45" t="s">
        <v>38</v>
      </c>
      <c r="B788" s="45" t="s">
        <v>39</v>
      </c>
      <c r="C788" s="50">
        <v>0.19129835075652102</v>
      </c>
      <c r="D788" s="45" t="s">
        <v>13</v>
      </c>
      <c r="E788" t="s">
        <v>205</v>
      </c>
      <c r="G788" s="45" t="s">
        <v>22</v>
      </c>
      <c r="H788" t="s">
        <v>12</v>
      </c>
    </row>
    <row r="789" spans="1:8">
      <c r="A789" s="45" t="s">
        <v>258</v>
      </c>
      <c r="B789" s="45" t="s">
        <v>259</v>
      </c>
      <c r="C789">
        <v>0</v>
      </c>
      <c r="D789" s="45" t="s">
        <v>13</v>
      </c>
      <c r="E789" t="s">
        <v>205</v>
      </c>
      <c r="G789" s="45" t="s">
        <v>140</v>
      </c>
      <c r="H789" t="s">
        <v>12</v>
      </c>
    </row>
    <row r="790" spans="1:8">
      <c r="A790" s="45" t="s">
        <v>260</v>
      </c>
      <c r="B790" s="45" t="s">
        <v>261</v>
      </c>
      <c r="C790">
        <v>0</v>
      </c>
      <c r="D790" s="45" t="s">
        <v>13</v>
      </c>
      <c r="E790" t="s">
        <v>205</v>
      </c>
      <c r="G790" s="45" t="s">
        <v>140</v>
      </c>
      <c r="H790" t="s">
        <v>12</v>
      </c>
    </row>
    <row r="791" spans="1:8">
      <c r="A791" t="s">
        <v>262</v>
      </c>
      <c r="B791" t="s">
        <v>263</v>
      </c>
      <c r="C791">
        <v>0</v>
      </c>
      <c r="D791" s="45" t="s">
        <v>13</v>
      </c>
      <c r="E791" t="s">
        <v>205</v>
      </c>
      <c r="G791" s="45" t="s">
        <v>140</v>
      </c>
      <c r="H791" t="s">
        <v>12</v>
      </c>
    </row>
    <row r="792" spans="1:8">
      <c r="A792" s="45" t="s">
        <v>264</v>
      </c>
      <c r="B792" s="46" t="s">
        <v>265</v>
      </c>
      <c r="C792">
        <v>0</v>
      </c>
      <c r="D792" s="45" t="s">
        <v>13</v>
      </c>
      <c r="E792" t="s">
        <v>205</v>
      </c>
      <c r="G792" s="45" t="s">
        <v>140</v>
      </c>
      <c r="H792" t="s">
        <v>12</v>
      </c>
    </row>
    <row r="793" spans="1:8">
      <c r="A793" s="45" t="s">
        <v>266</v>
      </c>
      <c r="B793" s="46" t="s">
        <v>267</v>
      </c>
      <c r="C793">
        <v>0</v>
      </c>
      <c r="D793" s="45" t="s">
        <v>13</v>
      </c>
      <c r="E793" t="s">
        <v>205</v>
      </c>
      <c r="G793" s="45" t="s">
        <v>140</v>
      </c>
      <c r="H793" t="s">
        <v>12</v>
      </c>
    </row>
    <row r="794" spans="1:8">
      <c r="A794" s="14" t="s">
        <v>268</v>
      </c>
      <c r="B794" s="46"/>
      <c r="C794">
        <v>0</v>
      </c>
      <c r="D794" s="45" t="s">
        <v>13</v>
      </c>
      <c r="E794" s="45" t="s">
        <v>109</v>
      </c>
      <c r="F794" t="s">
        <v>183</v>
      </c>
      <c r="H794" t="s">
        <v>15</v>
      </c>
    </row>
    <row r="795" spans="1:8">
      <c r="A795" s="14" t="s">
        <v>108</v>
      </c>
      <c r="B795" s="45"/>
      <c r="C795">
        <v>0</v>
      </c>
      <c r="D795" s="45" t="s">
        <v>13</v>
      </c>
      <c r="E795" s="45" t="s">
        <v>109</v>
      </c>
      <c r="F795" t="s">
        <v>183</v>
      </c>
      <c r="H795" t="s">
        <v>15</v>
      </c>
    </row>
    <row r="796" spans="1:8" s="64" customFormat="1">
      <c r="B796" s="65"/>
    </row>
    <row r="797" spans="1:8">
      <c r="A797" s="38" t="s">
        <v>1</v>
      </c>
      <c r="B797" s="38" t="s">
        <v>423</v>
      </c>
    </row>
    <row r="798" spans="1:8">
      <c r="A798" s="41" t="s">
        <v>11</v>
      </c>
      <c r="B798" s="70" t="s">
        <v>504</v>
      </c>
    </row>
    <row r="799" spans="1:8">
      <c r="A799" s="41" t="s">
        <v>2</v>
      </c>
      <c r="B799" t="s">
        <v>29</v>
      </c>
    </row>
    <row r="800" spans="1:8">
      <c r="A800" s="41" t="s">
        <v>3</v>
      </c>
      <c r="B800" s="42">
        <v>1</v>
      </c>
    </row>
    <row r="801" spans="1:9">
      <c r="A801" s="41" t="s">
        <v>4</v>
      </c>
      <c r="B801" t="s">
        <v>244</v>
      </c>
    </row>
    <row r="802" spans="1:9">
      <c r="A802" s="41" t="s">
        <v>6</v>
      </c>
      <c r="B802" t="s">
        <v>128</v>
      </c>
    </row>
    <row r="803" spans="1:9">
      <c r="A803" s="41" t="s">
        <v>76</v>
      </c>
      <c r="B803"/>
    </row>
    <row r="804" spans="1:9" ht="15.75">
      <c r="A804" s="29" t="s">
        <v>7</v>
      </c>
      <c r="B804"/>
    </row>
    <row r="805" spans="1:9" s="41" customFormat="1">
      <c r="A805" s="41" t="s">
        <v>8</v>
      </c>
      <c r="B805" s="41" t="s">
        <v>4</v>
      </c>
      <c r="C805" s="41" t="s">
        <v>9</v>
      </c>
      <c r="D805" s="41" t="s">
        <v>6</v>
      </c>
      <c r="E805" s="41" t="s">
        <v>106</v>
      </c>
      <c r="F805" s="41" t="s">
        <v>10</v>
      </c>
      <c r="G805" s="41" t="s">
        <v>2</v>
      </c>
      <c r="H805" s="41" t="s">
        <v>5</v>
      </c>
      <c r="I805" s="41" t="s">
        <v>11</v>
      </c>
    </row>
    <row r="806" spans="1:9">
      <c r="A806" t="s">
        <v>423</v>
      </c>
      <c r="B806" t="s">
        <v>244</v>
      </c>
      <c r="C806">
        <v>1</v>
      </c>
      <c r="D806" t="s">
        <v>128</v>
      </c>
      <c r="E806" s="45"/>
      <c r="G806" t="s">
        <v>29</v>
      </c>
      <c r="H806" t="s">
        <v>18</v>
      </c>
    </row>
    <row r="807" spans="1:9">
      <c r="A807" t="s">
        <v>249</v>
      </c>
      <c r="B807" t="s">
        <v>250</v>
      </c>
      <c r="C807">
        <v>1.5294587364305477E-4</v>
      </c>
      <c r="D807" t="s">
        <v>13</v>
      </c>
      <c r="E807" t="s">
        <v>205</v>
      </c>
      <c r="G807" t="s">
        <v>140</v>
      </c>
      <c r="H807" t="s">
        <v>12</v>
      </c>
    </row>
    <row r="808" spans="1:9">
      <c r="A808" t="s">
        <v>251</v>
      </c>
      <c r="B808" t="s">
        <v>135</v>
      </c>
      <c r="C808">
        <v>5.4000000000000001E-11</v>
      </c>
      <c r="D808" t="s">
        <v>6</v>
      </c>
      <c r="E808" t="s">
        <v>205</v>
      </c>
      <c r="G808" t="s">
        <v>140</v>
      </c>
      <c r="H808" t="s">
        <v>12</v>
      </c>
    </row>
    <row r="809" spans="1:9">
      <c r="A809" t="s">
        <v>28</v>
      </c>
      <c r="B809" t="s">
        <v>20</v>
      </c>
      <c r="C809" s="37">
        <v>0.67679502616145548</v>
      </c>
      <c r="D809" t="s">
        <v>19</v>
      </c>
      <c r="E809" t="s">
        <v>205</v>
      </c>
      <c r="G809" t="s">
        <v>29</v>
      </c>
      <c r="H809" t="s">
        <v>12</v>
      </c>
    </row>
    <row r="810" spans="1:9">
      <c r="A810" t="s">
        <v>179</v>
      </c>
      <c r="B810" t="s">
        <v>180</v>
      </c>
      <c r="C810">
        <v>1.1400000000000001E-4</v>
      </c>
      <c r="D810" t="s">
        <v>13</v>
      </c>
      <c r="E810" t="s">
        <v>205</v>
      </c>
      <c r="G810" t="s">
        <v>49</v>
      </c>
      <c r="H810" t="s">
        <v>12</v>
      </c>
    </row>
    <row r="811" spans="1:9">
      <c r="A811" t="s">
        <v>252</v>
      </c>
      <c r="B811" t="s">
        <v>253</v>
      </c>
      <c r="C811">
        <v>1.01E-4</v>
      </c>
      <c r="D811" t="s">
        <v>13</v>
      </c>
      <c r="E811" t="s">
        <v>205</v>
      </c>
      <c r="G811" t="s">
        <v>140</v>
      </c>
      <c r="H811" t="s">
        <v>12</v>
      </c>
    </row>
    <row r="812" spans="1:9">
      <c r="A812" t="s">
        <v>480</v>
      </c>
      <c r="B812" s="18" t="s">
        <v>195</v>
      </c>
      <c r="C812">
        <v>1.9118234205381845</v>
      </c>
      <c r="D812" s="40" t="s">
        <v>128</v>
      </c>
      <c r="G812" s="45" t="s">
        <v>208</v>
      </c>
      <c r="H812" t="s">
        <v>12</v>
      </c>
    </row>
    <row r="813" spans="1:9" s="40" customFormat="1">
      <c r="A813" s="45" t="s">
        <v>431</v>
      </c>
      <c r="B813" s="45" t="s">
        <v>431</v>
      </c>
      <c r="C813" s="60">
        <v>1</v>
      </c>
      <c r="D813" s="40" t="s">
        <v>6</v>
      </c>
      <c r="E813"/>
      <c r="F813" s="38"/>
      <c r="G813" s="45" t="s">
        <v>29</v>
      </c>
      <c r="H813" t="s">
        <v>12</v>
      </c>
      <c r="I813" s="38"/>
    </row>
    <row r="814" spans="1:9">
      <c r="A814" t="s">
        <v>212</v>
      </c>
      <c r="B814"/>
      <c r="C814">
        <v>5.5298333124442628E-2</v>
      </c>
      <c r="D814" t="s">
        <v>13</v>
      </c>
      <c r="E814" t="s">
        <v>109</v>
      </c>
      <c r="F814" t="s">
        <v>183</v>
      </c>
      <c r="H814" t="s">
        <v>15</v>
      </c>
    </row>
    <row r="815" spans="1:9">
      <c r="A815" t="s">
        <v>245</v>
      </c>
      <c r="B815"/>
      <c r="C815">
        <v>1.28</v>
      </c>
      <c r="D815" t="s">
        <v>46</v>
      </c>
      <c r="E815" t="s">
        <v>109</v>
      </c>
      <c r="F815" t="s">
        <v>183</v>
      </c>
      <c r="H815" t="s">
        <v>15</v>
      </c>
    </row>
    <row r="816" spans="1:9">
      <c r="A816" t="s">
        <v>246</v>
      </c>
      <c r="B816"/>
      <c r="C816">
        <v>0</v>
      </c>
      <c r="D816" t="s">
        <v>13</v>
      </c>
      <c r="E816" t="s">
        <v>109</v>
      </c>
      <c r="F816" t="s">
        <v>183</v>
      </c>
      <c r="H816" t="s">
        <v>15</v>
      </c>
    </row>
    <row r="817" spans="1:9">
      <c r="A817" t="s">
        <v>184</v>
      </c>
      <c r="B817"/>
      <c r="C817">
        <v>2.1269088000000002E-2</v>
      </c>
      <c r="D817" t="s">
        <v>13</v>
      </c>
      <c r="E817" t="s">
        <v>109</v>
      </c>
      <c r="F817" t="s">
        <v>183</v>
      </c>
      <c r="H817" t="s">
        <v>15</v>
      </c>
    </row>
    <row r="818" spans="1:9">
      <c r="A818" t="s">
        <v>247</v>
      </c>
      <c r="B818"/>
      <c r="C818">
        <v>5.1560000000000002E-2</v>
      </c>
      <c r="D818" t="s">
        <v>13</v>
      </c>
      <c r="E818" t="s">
        <v>109</v>
      </c>
      <c r="F818" t="s">
        <v>25</v>
      </c>
      <c r="H818" t="s">
        <v>15</v>
      </c>
    </row>
    <row r="819" spans="1:9">
      <c r="A819" t="s">
        <v>125</v>
      </c>
      <c r="B819"/>
      <c r="C819">
        <v>6.5989999999999998E-6</v>
      </c>
      <c r="D819" t="s">
        <v>13</v>
      </c>
      <c r="E819" t="s">
        <v>109</v>
      </c>
      <c r="F819" t="s">
        <v>248</v>
      </c>
      <c r="H819" t="s">
        <v>15</v>
      </c>
    </row>
    <row r="820" spans="1:9">
      <c r="A820" s="45" t="s">
        <v>38</v>
      </c>
      <c r="B820" s="45" t="s">
        <v>39</v>
      </c>
      <c r="C820" s="51">
        <v>0</v>
      </c>
      <c r="D820" s="45" t="s">
        <v>13</v>
      </c>
      <c r="E820" t="s">
        <v>205</v>
      </c>
      <c r="G820" s="45" t="s">
        <v>22</v>
      </c>
      <c r="H820" t="s">
        <v>12</v>
      </c>
    </row>
    <row r="821" spans="1:9">
      <c r="A821" s="45" t="s">
        <v>258</v>
      </c>
      <c r="B821" s="45" t="s">
        <v>259</v>
      </c>
      <c r="C821">
        <v>2.0799999999999999E-4</v>
      </c>
      <c r="D821" s="45" t="s">
        <v>13</v>
      </c>
      <c r="E821" t="s">
        <v>205</v>
      </c>
      <c r="G821" s="45" t="s">
        <v>140</v>
      </c>
      <c r="H821" t="s">
        <v>12</v>
      </c>
    </row>
    <row r="822" spans="1:9">
      <c r="A822" s="45" t="s">
        <v>260</v>
      </c>
      <c r="B822" s="45" t="s">
        <v>261</v>
      </c>
      <c r="C822">
        <v>0</v>
      </c>
      <c r="D822" s="45" t="s">
        <v>13</v>
      </c>
      <c r="E822" t="s">
        <v>205</v>
      </c>
      <c r="G822" s="45" t="s">
        <v>140</v>
      </c>
      <c r="H822" t="s">
        <v>12</v>
      </c>
    </row>
    <row r="823" spans="1:9">
      <c r="A823" t="s">
        <v>262</v>
      </c>
      <c r="B823" t="s">
        <v>263</v>
      </c>
      <c r="C823">
        <v>3.98E-6</v>
      </c>
      <c r="D823" s="45" t="s">
        <v>13</v>
      </c>
      <c r="E823" t="s">
        <v>205</v>
      </c>
      <c r="G823" s="45" t="s">
        <v>140</v>
      </c>
      <c r="H823" t="s">
        <v>12</v>
      </c>
    </row>
    <row r="824" spans="1:9">
      <c r="A824" s="45" t="s">
        <v>264</v>
      </c>
      <c r="B824" s="46" t="s">
        <v>265</v>
      </c>
      <c r="C824">
        <v>0</v>
      </c>
      <c r="D824" s="45" t="s">
        <v>13</v>
      </c>
      <c r="E824" t="s">
        <v>205</v>
      </c>
      <c r="G824" s="45" t="s">
        <v>140</v>
      </c>
      <c r="H824" t="s">
        <v>12</v>
      </c>
    </row>
    <row r="825" spans="1:9">
      <c r="A825" s="45" t="s">
        <v>266</v>
      </c>
      <c r="B825" s="46" t="s">
        <v>267</v>
      </c>
      <c r="C825">
        <v>0</v>
      </c>
      <c r="D825" s="45" t="s">
        <v>13</v>
      </c>
      <c r="E825" t="s">
        <v>205</v>
      </c>
      <c r="G825" s="45" t="s">
        <v>140</v>
      </c>
      <c r="H825" t="s">
        <v>12</v>
      </c>
    </row>
    <row r="826" spans="1:9">
      <c r="A826" s="14" t="s">
        <v>268</v>
      </c>
      <c r="B826" s="46"/>
      <c r="C826">
        <v>0</v>
      </c>
      <c r="D826" s="45" t="s">
        <v>13</v>
      </c>
      <c r="E826" s="45" t="s">
        <v>109</v>
      </c>
      <c r="F826" t="s">
        <v>183</v>
      </c>
      <c r="H826" t="s">
        <v>15</v>
      </c>
    </row>
    <row r="827" spans="1:9">
      <c r="A827" s="14" t="s">
        <v>108</v>
      </c>
      <c r="B827" s="45"/>
      <c r="C827">
        <v>0</v>
      </c>
      <c r="D827" s="45" t="s">
        <v>13</v>
      </c>
      <c r="E827" s="45" t="s">
        <v>109</v>
      </c>
      <c r="F827" t="s">
        <v>183</v>
      </c>
      <c r="H827" t="s">
        <v>15</v>
      </c>
    </row>
    <row r="828" spans="1:9" s="64" customFormat="1">
      <c r="B828" s="65"/>
    </row>
    <row r="829" spans="1:9">
      <c r="A829" s="38" t="s">
        <v>1</v>
      </c>
      <c r="B829" s="38" t="s">
        <v>424</v>
      </c>
    </row>
    <row r="830" spans="1:9">
      <c r="A830" s="41" t="s">
        <v>11</v>
      </c>
      <c r="B830" s="70" t="s">
        <v>505</v>
      </c>
    </row>
    <row r="831" spans="1:9">
      <c r="A831" s="41" t="s">
        <v>2</v>
      </c>
      <c r="B831" t="s">
        <v>29</v>
      </c>
    </row>
    <row r="832" spans="1:9">
      <c r="A832" s="41" t="s">
        <v>3</v>
      </c>
      <c r="B832" s="42">
        <v>1</v>
      </c>
      <c r="I832" s="18"/>
    </row>
    <row r="833" spans="1:9">
      <c r="A833" s="41" t="s">
        <v>4</v>
      </c>
      <c r="B833" t="s">
        <v>244</v>
      </c>
    </row>
    <row r="834" spans="1:9">
      <c r="A834" s="41" t="s">
        <v>6</v>
      </c>
      <c r="B834" t="s">
        <v>128</v>
      </c>
    </row>
    <row r="835" spans="1:9">
      <c r="A835" s="41" t="s">
        <v>76</v>
      </c>
      <c r="B835"/>
    </row>
    <row r="836" spans="1:9" ht="15.75">
      <c r="A836" s="29" t="s">
        <v>7</v>
      </c>
      <c r="B836"/>
    </row>
    <row r="837" spans="1:9">
      <c r="A837" s="41" t="s">
        <v>8</v>
      </c>
      <c r="B837" s="41" t="s">
        <v>4</v>
      </c>
      <c r="C837" s="41" t="s">
        <v>9</v>
      </c>
      <c r="D837" s="41" t="s">
        <v>6</v>
      </c>
      <c r="E837" s="41" t="s">
        <v>106</v>
      </c>
      <c r="F837" s="41" t="s">
        <v>10</v>
      </c>
      <c r="G837" s="41" t="s">
        <v>2</v>
      </c>
      <c r="H837" s="41" t="s">
        <v>5</v>
      </c>
      <c r="I837" s="41" t="s">
        <v>11</v>
      </c>
    </row>
    <row r="838" spans="1:9">
      <c r="A838" t="s">
        <v>424</v>
      </c>
      <c r="B838" t="s">
        <v>244</v>
      </c>
      <c r="C838">
        <v>1</v>
      </c>
      <c r="D838" t="s">
        <v>128</v>
      </c>
      <c r="E838" s="45"/>
      <c r="G838" t="s">
        <v>29</v>
      </c>
      <c r="H838" t="s">
        <v>18</v>
      </c>
    </row>
    <row r="839" spans="1:9">
      <c r="A839" t="s">
        <v>249</v>
      </c>
      <c r="B839" t="s">
        <v>250</v>
      </c>
      <c r="C839">
        <v>1.5029864785434452E-4</v>
      </c>
      <c r="D839" t="s">
        <v>13</v>
      </c>
      <c r="E839" t="s">
        <v>205</v>
      </c>
      <c r="G839" t="s">
        <v>140</v>
      </c>
      <c r="H839" t="s">
        <v>12</v>
      </c>
    </row>
    <row r="840" spans="1:9">
      <c r="A840" t="s">
        <v>251</v>
      </c>
      <c r="B840" t="s">
        <v>135</v>
      </c>
      <c r="C840">
        <v>0</v>
      </c>
      <c r="D840" t="s">
        <v>6</v>
      </c>
      <c r="E840" t="s">
        <v>205</v>
      </c>
      <c r="G840" t="s">
        <v>140</v>
      </c>
      <c r="H840" t="s">
        <v>12</v>
      </c>
    </row>
    <row r="841" spans="1:9">
      <c r="A841" t="s">
        <v>28</v>
      </c>
      <c r="B841" t="s">
        <v>20</v>
      </c>
      <c r="C841" s="37">
        <v>0.6575565843627571</v>
      </c>
      <c r="D841" t="s">
        <v>19</v>
      </c>
      <c r="E841" t="s">
        <v>205</v>
      </c>
      <c r="G841" t="s">
        <v>29</v>
      </c>
      <c r="H841" t="s">
        <v>12</v>
      </c>
    </row>
    <row r="842" spans="1:9">
      <c r="A842" t="s">
        <v>179</v>
      </c>
      <c r="B842" t="s">
        <v>180</v>
      </c>
      <c r="C842">
        <v>0</v>
      </c>
      <c r="D842" t="s">
        <v>13</v>
      </c>
      <c r="E842" t="s">
        <v>205</v>
      </c>
      <c r="G842" t="s">
        <v>49</v>
      </c>
      <c r="H842" t="s">
        <v>12</v>
      </c>
    </row>
    <row r="843" spans="1:9">
      <c r="A843" t="s">
        <v>252</v>
      </c>
      <c r="B843" t="s">
        <v>253</v>
      </c>
      <c r="C843">
        <v>0</v>
      </c>
      <c r="D843" t="s">
        <v>13</v>
      </c>
      <c r="E843" t="s">
        <v>205</v>
      </c>
      <c r="G843" t="s">
        <v>140</v>
      </c>
      <c r="H843" t="s">
        <v>12</v>
      </c>
    </row>
    <row r="844" spans="1:9">
      <c r="A844" t="s">
        <v>480</v>
      </c>
      <c r="B844" s="18" t="s">
        <v>195</v>
      </c>
      <c r="C844">
        <v>1.8787330981793062</v>
      </c>
      <c r="D844" s="40" t="s">
        <v>128</v>
      </c>
      <c r="G844" s="45" t="s">
        <v>208</v>
      </c>
      <c r="H844" t="s">
        <v>12</v>
      </c>
    </row>
    <row r="845" spans="1:9" s="40" customFormat="1">
      <c r="A845" s="45" t="s">
        <v>431</v>
      </c>
      <c r="B845" s="45" t="s">
        <v>431</v>
      </c>
      <c r="C845" s="60">
        <v>1</v>
      </c>
      <c r="D845" s="40" t="s">
        <v>6</v>
      </c>
      <c r="E845"/>
      <c r="F845" s="38"/>
      <c r="G845" s="45" t="s">
        <v>29</v>
      </c>
      <c r="H845" t="s">
        <v>12</v>
      </c>
      <c r="I845" s="38"/>
    </row>
    <row r="846" spans="1:9">
      <c r="A846" t="s">
        <v>212</v>
      </c>
      <c r="B846"/>
      <c r="C846">
        <v>9.0568692693203737E-4</v>
      </c>
      <c r="D846" t="s">
        <v>13</v>
      </c>
      <c r="E846" t="s">
        <v>109</v>
      </c>
      <c r="F846" t="s">
        <v>183</v>
      </c>
      <c r="H846" t="s">
        <v>15</v>
      </c>
    </row>
    <row r="847" spans="1:9">
      <c r="A847" t="s">
        <v>245</v>
      </c>
      <c r="B847"/>
      <c r="C847">
        <v>0</v>
      </c>
      <c r="D847" t="s">
        <v>46</v>
      </c>
      <c r="E847" t="s">
        <v>109</v>
      </c>
      <c r="F847" t="s">
        <v>183</v>
      </c>
      <c r="H847" t="s">
        <v>15</v>
      </c>
    </row>
    <row r="848" spans="1:9">
      <c r="A848" t="s">
        <v>246</v>
      </c>
      <c r="B848"/>
      <c r="C848">
        <v>0</v>
      </c>
      <c r="D848" t="s">
        <v>13</v>
      </c>
      <c r="E848" t="s">
        <v>109</v>
      </c>
      <c r="F848" t="s">
        <v>183</v>
      </c>
      <c r="H848" t="s">
        <v>15</v>
      </c>
    </row>
    <row r="849" spans="1:8">
      <c r="A849" t="s">
        <v>184</v>
      </c>
      <c r="B849"/>
      <c r="C849">
        <v>3.4834928759999994E-4</v>
      </c>
      <c r="D849" t="s">
        <v>13</v>
      </c>
      <c r="E849" t="s">
        <v>109</v>
      </c>
      <c r="F849" t="s">
        <v>183</v>
      </c>
      <c r="H849" t="s">
        <v>15</v>
      </c>
    </row>
    <row r="850" spans="1:8">
      <c r="A850" t="s">
        <v>247</v>
      </c>
      <c r="B850"/>
      <c r="C850">
        <v>0</v>
      </c>
      <c r="D850" t="s">
        <v>13</v>
      </c>
      <c r="E850" t="s">
        <v>109</v>
      </c>
      <c r="F850" t="s">
        <v>25</v>
      </c>
      <c r="H850" t="s">
        <v>15</v>
      </c>
    </row>
    <row r="851" spans="1:8">
      <c r="A851" t="s">
        <v>125</v>
      </c>
      <c r="B851"/>
      <c r="C851">
        <v>0</v>
      </c>
      <c r="D851" t="s">
        <v>13</v>
      </c>
      <c r="E851" t="s">
        <v>109</v>
      </c>
      <c r="F851" t="s">
        <v>248</v>
      </c>
      <c r="H851" t="s">
        <v>15</v>
      </c>
    </row>
    <row r="852" spans="1:8">
      <c r="A852" s="45" t="s">
        <v>38</v>
      </c>
      <c r="B852" s="45" t="s">
        <v>39</v>
      </c>
      <c r="C852" s="51">
        <v>0</v>
      </c>
      <c r="D852" s="45" t="s">
        <v>13</v>
      </c>
      <c r="E852" t="s">
        <v>205</v>
      </c>
      <c r="G852" s="45" t="s">
        <v>22</v>
      </c>
      <c r="H852" t="s">
        <v>12</v>
      </c>
    </row>
    <row r="853" spans="1:8">
      <c r="A853" s="45" t="s">
        <v>258</v>
      </c>
      <c r="B853" s="45" t="s">
        <v>259</v>
      </c>
      <c r="C853">
        <v>0</v>
      </c>
      <c r="D853" s="45" t="s">
        <v>13</v>
      </c>
      <c r="E853" t="s">
        <v>205</v>
      </c>
      <c r="G853" s="45" t="s">
        <v>140</v>
      </c>
      <c r="H853" t="s">
        <v>12</v>
      </c>
    </row>
    <row r="854" spans="1:8">
      <c r="A854" s="45" t="s">
        <v>260</v>
      </c>
      <c r="B854" s="45" t="s">
        <v>261</v>
      </c>
      <c r="C854">
        <v>0</v>
      </c>
      <c r="D854" s="45" t="s">
        <v>13</v>
      </c>
      <c r="E854" t="s">
        <v>205</v>
      </c>
      <c r="G854" s="45" t="s">
        <v>140</v>
      </c>
      <c r="H854" t="s">
        <v>12</v>
      </c>
    </row>
    <row r="855" spans="1:8">
      <c r="A855" t="s">
        <v>262</v>
      </c>
      <c r="B855" t="s">
        <v>263</v>
      </c>
      <c r="C855">
        <v>0</v>
      </c>
      <c r="D855" s="45" t="s">
        <v>13</v>
      </c>
      <c r="E855" t="s">
        <v>205</v>
      </c>
      <c r="G855" s="45" t="s">
        <v>140</v>
      </c>
      <c r="H855" t="s">
        <v>12</v>
      </c>
    </row>
    <row r="856" spans="1:8">
      <c r="A856" s="45" t="s">
        <v>264</v>
      </c>
      <c r="B856" s="46" t="s">
        <v>265</v>
      </c>
      <c r="C856">
        <v>0</v>
      </c>
      <c r="D856" s="45" t="s">
        <v>13</v>
      </c>
      <c r="E856" t="s">
        <v>205</v>
      </c>
      <c r="G856" s="45" t="s">
        <v>140</v>
      </c>
      <c r="H856" t="s">
        <v>12</v>
      </c>
    </row>
    <row r="857" spans="1:8">
      <c r="A857" s="45" t="s">
        <v>266</v>
      </c>
      <c r="B857" s="46" t="s">
        <v>267</v>
      </c>
      <c r="C857">
        <v>0</v>
      </c>
      <c r="D857" s="45" t="s">
        <v>13</v>
      </c>
      <c r="E857" t="s">
        <v>205</v>
      </c>
      <c r="G857" s="45" t="s">
        <v>140</v>
      </c>
      <c r="H857" t="s">
        <v>12</v>
      </c>
    </row>
    <row r="858" spans="1:8">
      <c r="A858" s="14" t="s">
        <v>268</v>
      </c>
      <c r="B858" s="46"/>
      <c r="C858">
        <v>0</v>
      </c>
      <c r="D858" s="45" t="s">
        <v>13</v>
      </c>
      <c r="E858" s="45" t="s">
        <v>109</v>
      </c>
      <c r="F858" t="s">
        <v>183</v>
      </c>
      <c r="H858" t="s">
        <v>15</v>
      </c>
    </row>
    <row r="859" spans="1:8">
      <c r="A859" s="14" t="s">
        <v>108</v>
      </c>
      <c r="B859" s="45"/>
      <c r="C859">
        <v>0</v>
      </c>
      <c r="D859" s="45" t="s">
        <v>13</v>
      </c>
      <c r="E859" s="45" t="s">
        <v>109</v>
      </c>
      <c r="F859" t="s">
        <v>183</v>
      </c>
      <c r="H859" t="s">
        <v>15</v>
      </c>
    </row>
    <row r="860" spans="1:8" s="64" customFormat="1">
      <c r="B860" s="65"/>
    </row>
    <row r="861" spans="1:8">
      <c r="A861" s="38" t="s">
        <v>1</v>
      </c>
      <c r="B861" s="38" t="s">
        <v>402</v>
      </c>
    </row>
    <row r="862" spans="1:8">
      <c r="A862" s="41" t="s">
        <v>11</v>
      </c>
      <c r="B862" s="18" t="s">
        <v>506</v>
      </c>
    </row>
    <row r="863" spans="1:8">
      <c r="A863" s="41" t="s">
        <v>2</v>
      </c>
      <c r="B863" s="18" t="s">
        <v>29</v>
      </c>
    </row>
    <row r="864" spans="1:8">
      <c r="A864" s="41" t="s">
        <v>3</v>
      </c>
      <c r="B864" s="18">
        <v>1</v>
      </c>
    </row>
    <row r="865" spans="1:21">
      <c r="A865" s="41" t="s">
        <v>4</v>
      </c>
      <c r="B865" s="18" t="s">
        <v>383</v>
      </c>
    </row>
    <row r="866" spans="1:21">
      <c r="A866" s="41" t="s">
        <v>6</v>
      </c>
      <c r="B866" t="s">
        <v>128</v>
      </c>
    </row>
    <row r="867" spans="1:21">
      <c r="A867" s="41" t="s">
        <v>76</v>
      </c>
      <c r="B867" s="18" t="s">
        <v>384</v>
      </c>
    </row>
    <row r="868" spans="1:21" ht="15.75">
      <c r="A868" s="29" t="s">
        <v>7</v>
      </c>
      <c r="B868" s="24"/>
      <c r="C868" s="24"/>
      <c r="D868" s="24"/>
      <c r="E868" s="24"/>
      <c r="F868" s="24"/>
      <c r="G868" s="24"/>
      <c r="H868" s="24"/>
      <c r="I868" s="24"/>
      <c r="J868" s="24"/>
      <c r="K868" s="24"/>
      <c r="L868" s="24"/>
      <c r="M868" s="24"/>
      <c r="N868" s="24"/>
      <c r="O868" s="24"/>
      <c r="P868" s="24"/>
      <c r="Q868" s="24"/>
      <c r="R868" s="24"/>
      <c r="S868" s="24"/>
      <c r="T868" s="24"/>
    </row>
    <row r="869" spans="1:21" s="41" customFormat="1">
      <c r="A869" s="41" t="s">
        <v>8</v>
      </c>
      <c r="B869" s="41" t="s">
        <v>4</v>
      </c>
      <c r="C869" s="41" t="s">
        <v>9</v>
      </c>
      <c r="D869" s="41" t="s">
        <v>6</v>
      </c>
      <c r="E869" s="38" t="s">
        <v>106</v>
      </c>
      <c r="F869" s="41" t="s">
        <v>10</v>
      </c>
      <c r="G869" s="41" t="s">
        <v>2</v>
      </c>
      <c r="H869" s="41" t="s">
        <v>5</v>
      </c>
      <c r="I869" s="41" t="s">
        <v>11</v>
      </c>
      <c r="J869" s="41" t="s">
        <v>385</v>
      </c>
      <c r="K869" s="41" t="s">
        <v>386</v>
      </c>
      <c r="L869" s="41" t="s">
        <v>387</v>
      </c>
      <c r="M869" s="41" t="s">
        <v>388</v>
      </c>
      <c r="N869" s="41" t="s">
        <v>389</v>
      </c>
      <c r="O869" s="41" t="s">
        <v>390</v>
      </c>
      <c r="P869" s="41" t="s">
        <v>391</v>
      </c>
      <c r="Q869" s="41" t="s">
        <v>392</v>
      </c>
      <c r="R869" s="41" t="s">
        <v>393</v>
      </c>
      <c r="S869" s="41" t="s">
        <v>394</v>
      </c>
      <c r="T869" s="41" t="s">
        <v>395</v>
      </c>
      <c r="U869" s="41" t="s">
        <v>396</v>
      </c>
    </row>
    <row r="870" spans="1:21">
      <c r="A870" t="s">
        <v>402</v>
      </c>
      <c r="B870" t="s">
        <v>383</v>
      </c>
      <c r="C870">
        <v>1</v>
      </c>
      <c r="D870" t="s">
        <v>128</v>
      </c>
      <c r="G870" t="s">
        <v>29</v>
      </c>
      <c r="H870" t="s">
        <v>18</v>
      </c>
      <c r="I870" t="s">
        <v>405</v>
      </c>
      <c r="U870" t="s">
        <v>397</v>
      </c>
    </row>
    <row r="871" spans="1:21">
      <c r="A871" t="s">
        <v>398</v>
      </c>
      <c r="B871" t="s">
        <v>399</v>
      </c>
      <c r="C871">
        <v>2.8299989989246005E-7</v>
      </c>
      <c r="D871" t="s">
        <v>6</v>
      </c>
      <c r="G871" t="s">
        <v>49</v>
      </c>
      <c r="H871" t="s">
        <v>12</v>
      </c>
      <c r="I871" t="s">
        <v>405</v>
      </c>
      <c r="J871">
        <v>2</v>
      </c>
      <c r="K871">
        <v>-14.745139500000001</v>
      </c>
      <c r="L871">
        <v>1.05</v>
      </c>
      <c r="M871">
        <v>1.2</v>
      </c>
      <c r="N871">
        <v>1.03</v>
      </c>
      <c r="O871">
        <v>1.01</v>
      </c>
      <c r="P871">
        <v>1.2</v>
      </c>
      <c r="Q871">
        <v>1.2</v>
      </c>
      <c r="R871">
        <v>3</v>
      </c>
      <c r="S871">
        <v>0.57228175400000003</v>
      </c>
    </row>
    <row r="872" spans="1:21">
      <c r="A872" s="45" t="s">
        <v>425</v>
      </c>
      <c r="B872" s="45" t="s">
        <v>425</v>
      </c>
      <c r="C872">
        <v>1.9717499999999999</v>
      </c>
      <c r="D872" t="s">
        <v>13</v>
      </c>
      <c r="G872" t="s">
        <v>29</v>
      </c>
      <c r="H872" t="s">
        <v>12</v>
      </c>
      <c r="I872" t="s">
        <v>403</v>
      </c>
    </row>
    <row r="873" spans="1:21">
      <c r="A873" s="45" t="s">
        <v>171</v>
      </c>
      <c r="B873" t="s">
        <v>57</v>
      </c>
      <c r="C873">
        <v>0.38744588744588737</v>
      </c>
      <c r="D873" t="s">
        <v>13</v>
      </c>
      <c r="G873" t="s">
        <v>29</v>
      </c>
      <c r="H873" t="s">
        <v>12</v>
      </c>
      <c r="I873" t="s">
        <v>403</v>
      </c>
    </row>
    <row r="874" spans="1:21">
      <c r="A874" t="s">
        <v>400</v>
      </c>
      <c r="B874" t="s">
        <v>401</v>
      </c>
      <c r="C874">
        <v>5.9999993977199999E-5</v>
      </c>
      <c r="D874" t="s">
        <v>13</v>
      </c>
      <c r="G874" t="s">
        <v>49</v>
      </c>
      <c r="H874" t="s">
        <v>12</v>
      </c>
      <c r="I874" t="s">
        <v>405</v>
      </c>
      <c r="J874">
        <v>2</v>
      </c>
      <c r="K874">
        <v>-9.3884865570000002</v>
      </c>
      <c r="L874">
        <v>1.05</v>
      </c>
      <c r="M874">
        <v>1.2</v>
      </c>
      <c r="N874">
        <v>1.03</v>
      </c>
      <c r="O874">
        <v>1.01</v>
      </c>
      <c r="P874">
        <v>1.2</v>
      </c>
      <c r="Q874">
        <v>1.2</v>
      </c>
      <c r="R874">
        <v>1.05</v>
      </c>
      <c r="S874">
        <v>0.162370827</v>
      </c>
    </row>
    <row r="875" spans="1:21" s="40" customFormat="1">
      <c r="A875" s="45" t="s">
        <v>434</v>
      </c>
      <c r="B875" s="45" t="s">
        <v>434</v>
      </c>
      <c r="C875" s="60">
        <v>1</v>
      </c>
      <c r="D875" s="40" t="s">
        <v>6</v>
      </c>
      <c r="E875"/>
      <c r="F875" s="38"/>
      <c r="G875" s="45" t="s">
        <v>29</v>
      </c>
      <c r="H875" t="s">
        <v>12</v>
      </c>
      <c r="I875" s="38"/>
    </row>
    <row r="876" spans="1:21">
      <c r="A876" t="s">
        <v>130</v>
      </c>
      <c r="C876">
        <v>1.6132499999999999</v>
      </c>
      <c r="D876" t="s">
        <v>128</v>
      </c>
      <c r="F876" t="s">
        <v>284</v>
      </c>
      <c r="H876" t="s">
        <v>15</v>
      </c>
      <c r="I876" t="s">
        <v>403</v>
      </c>
    </row>
    <row r="877" spans="1:21">
      <c r="A877" t="s">
        <v>245</v>
      </c>
      <c r="B877"/>
      <c r="C877">
        <v>11.333081249999999</v>
      </c>
      <c r="D877" t="s">
        <v>46</v>
      </c>
      <c r="F877" t="s">
        <v>183</v>
      </c>
      <c r="H877" t="s">
        <v>15</v>
      </c>
      <c r="I877" t="s">
        <v>404</v>
      </c>
    </row>
    <row r="878" spans="1:21" s="64" customFormat="1">
      <c r="B878" s="65"/>
    </row>
    <row r="879" spans="1:21" s="40" customFormat="1">
      <c r="A879" s="38" t="s">
        <v>1</v>
      </c>
      <c r="B879" s="38" t="s">
        <v>425</v>
      </c>
      <c r="C879" s="39"/>
    </row>
    <row r="880" spans="1:21" s="40" customFormat="1">
      <c r="A880" s="38" t="s">
        <v>11</v>
      </c>
      <c r="B880" s="40" t="s">
        <v>426</v>
      </c>
      <c r="C880" s="39"/>
    </row>
    <row r="881" spans="1:11" s="40" customFormat="1">
      <c r="A881" s="38" t="s">
        <v>2</v>
      </c>
      <c r="B881" s="40" t="s">
        <v>29</v>
      </c>
      <c r="C881" s="39"/>
    </row>
    <row r="882" spans="1:11" s="40" customFormat="1">
      <c r="A882" s="41" t="s">
        <v>4</v>
      </c>
      <c r="B882" s="45" t="s">
        <v>425</v>
      </c>
      <c r="C882" s="39"/>
    </row>
    <row r="883" spans="1:11" s="40" customFormat="1">
      <c r="A883" s="38" t="s">
        <v>3</v>
      </c>
      <c r="B883" s="42">
        <v>1</v>
      </c>
      <c r="C883" s="39"/>
      <c r="D883" s="43"/>
    </row>
    <row r="884" spans="1:11" s="40" customFormat="1">
      <c r="A884" s="38" t="s">
        <v>6</v>
      </c>
      <c r="B884" s="40" t="s">
        <v>13</v>
      </c>
      <c r="C884" s="39"/>
      <c r="D884" s="43"/>
    </row>
    <row r="885" spans="1:11" s="40" customFormat="1">
      <c r="A885" s="38" t="s">
        <v>76</v>
      </c>
      <c r="B885" s="40" t="s">
        <v>419</v>
      </c>
      <c r="C885" s="39"/>
      <c r="D885" s="43"/>
    </row>
    <row r="886" spans="1:11" s="40" customFormat="1">
      <c r="A886" s="38" t="s">
        <v>7</v>
      </c>
      <c r="C886" s="39"/>
    </row>
    <row r="887" spans="1:11" s="40" customFormat="1">
      <c r="A887" s="38" t="s">
        <v>8</v>
      </c>
      <c r="B887" s="38" t="s">
        <v>4</v>
      </c>
      <c r="C887" s="44" t="s">
        <v>9</v>
      </c>
      <c r="D887" s="38" t="s">
        <v>6</v>
      </c>
      <c r="E887" s="38" t="s">
        <v>106</v>
      </c>
      <c r="F887" s="38" t="s">
        <v>10</v>
      </c>
      <c r="G887" s="38" t="s">
        <v>2</v>
      </c>
      <c r="H887" s="38" t="s">
        <v>5</v>
      </c>
      <c r="I887" s="38" t="s">
        <v>11</v>
      </c>
    </row>
    <row r="888" spans="1:11" s="40" customFormat="1">
      <c r="A888" s="45" t="s">
        <v>425</v>
      </c>
      <c r="B888" s="45" t="s">
        <v>425</v>
      </c>
      <c r="C888" s="55">
        <v>1</v>
      </c>
      <c r="D888" s="40" t="s">
        <v>13</v>
      </c>
      <c r="E888" s="45"/>
      <c r="F888" s="45"/>
      <c r="G888" s="45" t="s">
        <v>29</v>
      </c>
      <c r="H888" s="45" t="s">
        <v>18</v>
      </c>
      <c r="I888" s="45"/>
      <c r="J888" s="45"/>
      <c r="K888" s="45"/>
    </row>
    <row r="889" spans="1:11" s="40" customFormat="1">
      <c r="A889" s="45" t="s">
        <v>427</v>
      </c>
      <c r="B889" s="45" t="s">
        <v>427</v>
      </c>
      <c r="C889" s="55">
        <v>1</v>
      </c>
      <c r="D889" s="40" t="s">
        <v>13</v>
      </c>
      <c r="E889" s="45"/>
      <c r="F889" s="45"/>
      <c r="G889" s="45" t="s">
        <v>29</v>
      </c>
      <c r="H889" t="s">
        <v>12</v>
      </c>
      <c r="I889" s="45" t="s">
        <v>430</v>
      </c>
      <c r="J889" s="45"/>
      <c r="K889" s="45"/>
    </row>
    <row r="890" spans="1:11" s="40" customFormat="1">
      <c r="A890" s="45" t="s">
        <v>45</v>
      </c>
      <c r="B890" s="45" t="s">
        <v>43</v>
      </c>
      <c r="C890" s="56">
        <v>0.38400000000000001</v>
      </c>
      <c r="D890" t="s">
        <v>19</v>
      </c>
      <c r="E890" t="s">
        <v>205</v>
      </c>
      <c r="F890"/>
      <c r="G890" t="s">
        <v>29</v>
      </c>
      <c r="H890" t="s">
        <v>12</v>
      </c>
      <c r="I890"/>
      <c r="J890" s="45"/>
      <c r="K890" s="45"/>
    </row>
    <row r="891" spans="1:11" s="40" customFormat="1">
      <c r="A891" t="s">
        <v>258</v>
      </c>
      <c r="B891" t="s">
        <v>259</v>
      </c>
      <c r="C891" s="18">
        <v>2.8400000000000002E-4</v>
      </c>
      <c r="D891" t="s">
        <v>13</v>
      </c>
      <c r="E891" t="s">
        <v>205</v>
      </c>
      <c r="F891"/>
      <c r="G891" t="s">
        <v>140</v>
      </c>
      <c r="H891" t="s">
        <v>12</v>
      </c>
      <c r="I891"/>
      <c r="J891" s="45"/>
      <c r="K891" s="45"/>
    </row>
    <row r="892" spans="1:11" s="40" customFormat="1">
      <c r="A892" t="s">
        <v>406</v>
      </c>
      <c r="B892" t="s">
        <v>407</v>
      </c>
      <c r="C892" s="18">
        <v>3.0400000000000002E-4</v>
      </c>
      <c r="D892" t="s">
        <v>13</v>
      </c>
      <c r="E892" t="s">
        <v>205</v>
      </c>
      <c r="F892"/>
      <c r="G892" t="s">
        <v>140</v>
      </c>
      <c r="H892" t="s">
        <v>12</v>
      </c>
      <c r="I892"/>
      <c r="J892" s="45"/>
      <c r="K892" s="45"/>
    </row>
    <row r="893" spans="1:11" s="40" customFormat="1">
      <c r="A893" t="s">
        <v>260</v>
      </c>
      <c r="B893" t="s">
        <v>261</v>
      </c>
      <c r="C893" s="18">
        <v>8.2600000000000002E-5</v>
      </c>
      <c r="D893" t="s">
        <v>13</v>
      </c>
      <c r="E893" t="s">
        <v>205</v>
      </c>
      <c r="F893"/>
      <c r="G893" t="s">
        <v>140</v>
      </c>
      <c r="H893" t="s">
        <v>12</v>
      </c>
      <c r="I893"/>
      <c r="J893" s="45"/>
      <c r="K893" s="45"/>
    </row>
    <row r="894" spans="1:11" s="40" customFormat="1">
      <c r="A894" t="s">
        <v>408</v>
      </c>
      <c r="B894" t="s">
        <v>409</v>
      </c>
      <c r="C894" s="18">
        <v>8.2699999999999996E-11</v>
      </c>
      <c r="D894" t="s">
        <v>6</v>
      </c>
      <c r="E894" t="s">
        <v>205</v>
      </c>
      <c r="F894"/>
      <c r="G894" t="s">
        <v>49</v>
      </c>
      <c r="H894" t="s">
        <v>12</v>
      </c>
      <c r="I894"/>
      <c r="J894" s="45"/>
      <c r="K894" s="45"/>
    </row>
    <row r="895" spans="1:11" s="40" customFormat="1">
      <c r="A895" t="s">
        <v>410</v>
      </c>
      <c r="B895" t="s">
        <v>411</v>
      </c>
      <c r="C895" s="18">
        <v>7.4400000000000002E-10</v>
      </c>
      <c r="D895" t="s">
        <v>6</v>
      </c>
      <c r="E895" t="s">
        <v>205</v>
      </c>
      <c r="F895"/>
      <c r="G895" t="s">
        <v>140</v>
      </c>
      <c r="H895" t="s">
        <v>12</v>
      </c>
      <c r="I895"/>
      <c r="J895" s="45"/>
      <c r="K895" s="45"/>
    </row>
    <row r="896" spans="1:11" s="40" customFormat="1">
      <c r="A896" t="s">
        <v>412</v>
      </c>
      <c r="B896" t="s">
        <v>413</v>
      </c>
      <c r="C896" s="18">
        <v>3.3099999999999999E-10</v>
      </c>
      <c r="D896" t="s">
        <v>6</v>
      </c>
      <c r="E896" t="s">
        <v>205</v>
      </c>
      <c r="F896"/>
      <c r="G896" t="s">
        <v>140</v>
      </c>
      <c r="H896" t="s">
        <v>12</v>
      </c>
      <c r="I896"/>
      <c r="J896" s="45"/>
      <c r="K896" s="45"/>
    </row>
    <row r="897" spans="1:11" s="40" customFormat="1">
      <c r="A897" t="s">
        <v>144</v>
      </c>
      <c r="B897" t="s">
        <v>145</v>
      </c>
      <c r="C897" s="18">
        <v>5.1400000000000003E-12</v>
      </c>
      <c r="D897" t="s">
        <v>6</v>
      </c>
      <c r="E897" t="s">
        <v>205</v>
      </c>
      <c r="F897"/>
      <c r="G897" t="s">
        <v>140</v>
      </c>
      <c r="H897" t="s">
        <v>12</v>
      </c>
      <c r="I897"/>
      <c r="J897" s="45"/>
      <c r="K897" s="45"/>
    </row>
    <row r="898" spans="1:11" s="40" customFormat="1">
      <c r="A898" t="s">
        <v>414</v>
      </c>
      <c r="B898" t="s">
        <v>415</v>
      </c>
      <c r="C898" s="18">
        <v>5.7899999999999997E-10</v>
      </c>
      <c r="D898" t="s">
        <v>6</v>
      </c>
      <c r="E898" t="s">
        <v>205</v>
      </c>
      <c r="F898"/>
      <c r="G898" t="s">
        <v>140</v>
      </c>
      <c r="H898" t="s">
        <v>12</v>
      </c>
      <c r="I898"/>
      <c r="J898" s="45"/>
      <c r="K898" s="45"/>
    </row>
    <row r="899" spans="1:11" s="40" customFormat="1">
      <c r="A899" t="s">
        <v>416</v>
      </c>
      <c r="B899" t="s">
        <v>417</v>
      </c>
      <c r="C899" s="18">
        <v>-2.2699999999999999E-4</v>
      </c>
      <c r="D899" t="s">
        <v>13</v>
      </c>
      <c r="E899" t="s">
        <v>205</v>
      </c>
      <c r="F899"/>
      <c r="G899" t="s">
        <v>22</v>
      </c>
      <c r="H899" t="s">
        <v>12</v>
      </c>
      <c r="I899"/>
      <c r="J899" s="45"/>
      <c r="K899" s="45"/>
    </row>
    <row r="900" spans="1:11" s="40" customFormat="1">
      <c r="A900" s="45" t="s">
        <v>127</v>
      </c>
      <c r="B900" s="45"/>
      <c r="C900" s="57">
        <v>8.3199999999999996E-2</v>
      </c>
      <c r="D900" s="40" t="s">
        <v>128</v>
      </c>
      <c r="E900" s="45" t="s">
        <v>109</v>
      </c>
      <c r="F900" s="40" t="s">
        <v>129</v>
      </c>
      <c r="G900"/>
      <c r="H900" t="s">
        <v>15</v>
      </c>
      <c r="I900" s="45"/>
      <c r="J900" s="45"/>
      <c r="K900" s="45"/>
    </row>
    <row r="901" spans="1:11" s="40" customFormat="1">
      <c r="A901" t="s">
        <v>268</v>
      </c>
      <c r="B901"/>
      <c r="C901" s="18">
        <v>1.2300000000000001E-4</v>
      </c>
      <c r="D901" t="s">
        <v>13</v>
      </c>
      <c r="E901" s="45" t="s">
        <v>109</v>
      </c>
      <c r="F901" s="42" t="s">
        <v>183</v>
      </c>
      <c r="G901"/>
      <c r="H901" t="s">
        <v>15</v>
      </c>
      <c r="I901"/>
      <c r="J901" s="45"/>
      <c r="K901" s="45"/>
    </row>
    <row r="902" spans="1:11" s="40" customFormat="1">
      <c r="A902" s="45" t="s">
        <v>418</v>
      </c>
      <c r="B902" s="45"/>
      <c r="C902" s="43">
        <v>6.0000000000000002E-6</v>
      </c>
      <c r="D902" s="40" t="s">
        <v>13</v>
      </c>
      <c r="E902" s="45" t="s">
        <v>109</v>
      </c>
      <c r="F902" s="42" t="s">
        <v>183</v>
      </c>
      <c r="G902"/>
      <c r="H902" t="s">
        <v>15</v>
      </c>
      <c r="I902" s="45"/>
      <c r="J902" s="45"/>
      <c r="K902" s="45"/>
    </row>
    <row r="903" spans="1:11" s="64" customFormat="1">
      <c r="B903" s="65"/>
    </row>
    <row r="904" spans="1:11" s="40" customFormat="1">
      <c r="A904" s="38" t="s">
        <v>1</v>
      </c>
      <c r="B904" s="58" t="s">
        <v>427</v>
      </c>
      <c r="C904" s="39"/>
    </row>
    <row r="905" spans="1:11" s="40" customFormat="1">
      <c r="A905" s="38" t="s">
        <v>11</v>
      </c>
      <c r="B905" s="45" t="s">
        <v>428</v>
      </c>
    </row>
    <row r="906" spans="1:11" s="40" customFormat="1">
      <c r="A906" s="38" t="s">
        <v>2</v>
      </c>
      <c r="B906" s="40" t="s">
        <v>29</v>
      </c>
      <c r="C906" s="39"/>
    </row>
    <row r="907" spans="1:11" s="40" customFormat="1">
      <c r="A907" s="41" t="s">
        <v>4</v>
      </c>
      <c r="B907" s="45" t="s">
        <v>427</v>
      </c>
      <c r="C907" s="39"/>
    </row>
    <row r="908" spans="1:11" s="40" customFormat="1">
      <c r="A908" s="38" t="s">
        <v>3</v>
      </c>
      <c r="B908" s="42">
        <v>1</v>
      </c>
      <c r="C908" s="39"/>
      <c r="D908" s="43"/>
    </row>
    <row r="909" spans="1:11" s="40" customFormat="1">
      <c r="A909" s="38" t="s">
        <v>6</v>
      </c>
      <c r="B909" s="40" t="s">
        <v>13</v>
      </c>
      <c r="C909" s="39"/>
      <c r="D909" s="43"/>
    </row>
    <row r="910" spans="1:11" s="40" customFormat="1">
      <c r="A910" s="38" t="s">
        <v>76</v>
      </c>
      <c r="B910" s="40" t="s">
        <v>384</v>
      </c>
      <c r="C910" s="39"/>
      <c r="D910" s="43"/>
    </row>
    <row r="911" spans="1:11" s="40" customFormat="1">
      <c r="A911" s="38" t="s">
        <v>7</v>
      </c>
      <c r="C911" s="39"/>
    </row>
    <row r="912" spans="1:11" s="40" customFormat="1">
      <c r="A912" s="38" t="s">
        <v>8</v>
      </c>
      <c r="B912" s="38" t="s">
        <v>4</v>
      </c>
      <c r="C912" s="44" t="s">
        <v>9</v>
      </c>
      <c r="D912" s="38" t="s">
        <v>6</v>
      </c>
      <c r="E912" s="38" t="s">
        <v>106</v>
      </c>
      <c r="F912" s="38" t="s">
        <v>10</v>
      </c>
      <c r="G912" s="38" t="s">
        <v>2</v>
      </c>
      <c r="H912" s="38" t="s">
        <v>5</v>
      </c>
      <c r="I912" s="38" t="s">
        <v>11</v>
      </c>
    </row>
    <row r="913" spans="1:11" s="40" customFormat="1">
      <c r="A913" s="45" t="s">
        <v>427</v>
      </c>
      <c r="B913" s="45" t="s">
        <v>427</v>
      </c>
      <c r="C913" s="55">
        <v>1</v>
      </c>
      <c r="D913" s="40" t="s">
        <v>13</v>
      </c>
      <c r="E913" s="45"/>
      <c r="F913" s="45"/>
      <c r="G913" s="45" t="s">
        <v>29</v>
      </c>
      <c r="H913" t="s">
        <v>18</v>
      </c>
      <c r="J913" s="45"/>
      <c r="K913" s="45"/>
    </row>
    <row r="914" spans="1:11" s="40" customFormat="1">
      <c r="A914" s="40" t="s">
        <v>252</v>
      </c>
      <c r="B914" s="40" t="s">
        <v>253</v>
      </c>
      <c r="C914" s="59">
        <v>1.3129534488582797E-3</v>
      </c>
      <c r="D914" s="40" t="s">
        <v>13</v>
      </c>
      <c r="E914" t="s">
        <v>205</v>
      </c>
      <c r="G914" s="40" t="s">
        <v>140</v>
      </c>
      <c r="H914" s="40" t="s">
        <v>12</v>
      </c>
      <c r="I914" s="40" t="s">
        <v>429</v>
      </c>
    </row>
    <row r="915" spans="1:11" s="64" customFormat="1">
      <c r="B915" s="65"/>
    </row>
    <row r="916" spans="1:11" s="40" customFormat="1">
      <c r="A916" s="38" t="s">
        <v>1</v>
      </c>
      <c r="B916" s="58" t="s">
        <v>431</v>
      </c>
      <c r="C916" s="39"/>
    </row>
    <row r="917" spans="1:11" s="40" customFormat="1">
      <c r="A917" s="38" t="s">
        <v>11</v>
      </c>
      <c r="B917" s="45" t="s">
        <v>484</v>
      </c>
    </row>
    <row r="918" spans="1:11" s="40" customFormat="1">
      <c r="A918" s="38" t="s">
        <v>2</v>
      </c>
      <c r="B918" s="40" t="s">
        <v>29</v>
      </c>
      <c r="C918" s="39"/>
    </row>
    <row r="919" spans="1:11" s="40" customFormat="1">
      <c r="A919" s="41" t="s">
        <v>4</v>
      </c>
      <c r="B919" s="45" t="s">
        <v>431</v>
      </c>
      <c r="C919" s="39"/>
      <c r="D919" s="43"/>
    </row>
    <row r="920" spans="1:11" s="40" customFormat="1">
      <c r="A920" s="38" t="s">
        <v>3</v>
      </c>
      <c r="B920" s="42">
        <v>1</v>
      </c>
      <c r="C920" s="39"/>
      <c r="D920" s="69"/>
    </row>
    <row r="921" spans="1:11" s="40" customFormat="1">
      <c r="A921" s="38" t="s">
        <v>6</v>
      </c>
      <c r="B921" s="40" t="s">
        <v>6</v>
      </c>
      <c r="C921" s="39"/>
      <c r="D921" s="43"/>
    </row>
    <row r="922" spans="1:11" s="40" customFormat="1">
      <c r="A922" s="38" t="s">
        <v>76</v>
      </c>
      <c r="C922" s="39"/>
    </row>
    <row r="923" spans="1:11" s="40" customFormat="1">
      <c r="A923" s="38" t="s">
        <v>7</v>
      </c>
      <c r="C923" s="39"/>
    </row>
    <row r="924" spans="1:11" s="40" customFormat="1">
      <c r="A924" s="38" t="s">
        <v>8</v>
      </c>
      <c r="B924" s="38" t="s">
        <v>4</v>
      </c>
      <c r="C924" s="44" t="s">
        <v>9</v>
      </c>
      <c r="D924" s="38" t="s">
        <v>6</v>
      </c>
      <c r="E924" s="38" t="s">
        <v>106</v>
      </c>
      <c r="F924" s="38" t="s">
        <v>10</v>
      </c>
      <c r="G924" s="38" t="s">
        <v>2</v>
      </c>
      <c r="H924" s="38" t="s">
        <v>5</v>
      </c>
      <c r="I924" s="38" t="s">
        <v>11</v>
      </c>
    </row>
    <row r="925" spans="1:11" s="40" customFormat="1">
      <c r="A925" s="45" t="s">
        <v>431</v>
      </c>
      <c r="B925" s="45" t="s">
        <v>431</v>
      </c>
      <c r="C925" s="60">
        <v>1</v>
      </c>
      <c r="D925" s="40" t="s">
        <v>6</v>
      </c>
      <c r="E925"/>
      <c r="F925" s="38"/>
      <c r="G925" s="45" t="s">
        <v>29</v>
      </c>
      <c r="H925" t="s">
        <v>18</v>
      </c>
      <c r="I925" s="38"/>
    </row>
    <row r="926" spans="1:11">
      <c r="A926" s="37" t="s">
        <v>432</v>
      </c>
      <c r="B926" s="45" t="s">
        <v>433</v>
      </c>
      <c r="C926" s="61">
        <v>0.20588960000000001</v>
      </c>
      <c r="D926" s="40" t="s">
        <v>46</v>
      </c>
      <c r="E926" s="45"/>
      <c r="G926" t="s">
        <v>22</v>
      </c>
      <c r="H926" s="45" t="s">
        <v>12</v>
      </c>
      <c r="I926" t="s">
        <v>478</v>
      </c>
    </row>
    <row r="927" spans="1:11">
      <c r="A927" s="45" t="s">
        <v>45</v>
      </c>
      <c r="B927" s="45" t="s">
        <v>43</v>
      </c>
      <c r="C927" s="68">
        <v>2.47205137945098E-3</v>
      </c>
      <c r="D927" t="s">
        <v>19</v>
      </c>
      <c r="G927" t="s">
        <v>29</v>
      </c>
      <c r="H927" t="s">
        <v>12</v>
      </c>
      <c r="I927" t="s">
        <v>479</v>
      </c>
    </row>
    <row r="928" spans="1:11">
      <c r="A928" t="s">
        <v>212</v>
      </c>
      <c r="B928"/>
      <c r="C928" s="32">
        <v>9.038187058823539E-4</v>
      </c>
      <c r="D928" t="s">
        <v>13</v>
      </c>
      <c r="E928" t="s">
        <v>109</v>
      </c>
      <c r="F928" t="s">
        <v>183</v>
      </c>
      <c r="H928" t="s">
        <v>15</v>
      </c>
      <c r="I928" t="s">
        <v>483</v>
      </c>
    </row>
    <row r="929" spans="1:9">
      <c r="A929" t="s">
        <v>184</v>
      </c>
      <c r="B929"/>
      <c r="C929" s="32">
        <v>1.0430494235294118E-2</v>
      </c>
      <c r="D929" t="s">
        <v>13</v>
      </c>
      <c r="E929" t="s">
        <v>109</v>
      </c>
      <c r="F929" t="s">
        <v>183</v>
      </c>
      <c r="H929" t="s">
        <v>15</v>
      </c>
      <c r="I929" t="s">
        <v>483</v>
      </c>
    </row>
    <row r="930" spans="1:9" s="64" customFormat="1">
      <c r="B930" s="65"/>
    </row>
    <row r="931" spans="1:9" s="40" customFormat="1">
      <c r="A931" s="38" t="s">
        <v>1</v>
      </c>
      <c r="B931" s="58" t="s">
        <v>434</v>
      </c>
      <c r="C931" s="39"/>
    </row>
    <row r="932" spans="1:9" s="40" customFormat="1">
      <c r="A932" s="38" t="s">
        <v>11</v>
      </c>
      <c r="B932" s="45" t="s">
        <v>435</v>
      </c>
    </row>
    <row r="933" spans="1:9" s="40" customFormat="1">
      <c r="A933" s="38" t="s">
        <v>2</v>
      </c>
      <c r="B933" s="40" t="s">
        <v>29</v>
      </c>
      <c r="C933" s="39"/>
    </row>
    <row r="934" spans="1:9" s="40" customFormat="1">
      <c r="A934" s="41" t="s">
        <v>4</v>
      </c>
      <c r="B934" s="45" t="s">
        <v>434</v>
      </c>
      <c r="C934" s="39"/>
    </row>
    <row r="935" spans="1:9" s="40" customFormat="1">
      <c r="A935" s="38" t="s">
        <v>3</v>
      </c>
      <c r="B935" s="42">
        <v>1</v>
      </c>
      <c r="C935" s="39"/>
      <c r="D935" s="43"/>
      <c r="F935" s="67"/>
    </row>
    <row r="936" spans="1:9" s="40" customFormat="1">
      <c r="A936" s="38" t="s">
        <v>6</v>
      </c>
      <c r="B936" s="40" t="s">
        <v>6</v>
      </c>
      <c r="C936" s="39"/>
      <c r="D936" s="43"/>
    </row>
    <row r="937" spans="1:9" s="40" customFormat="1">
      <c r="A937" s="38" t="s">
        <v>76</v>
      </c>
      <c r="C937" s="39"/>
      <c r="D937" s="43"/>
    </row>
    <row r="938" spans="1:9" s="40" customFormat="1">
      <c r="A938" s="38" t="s">
        <v>7</v>
      </c>
      <c r="C938" s="39"/>
    </row>
    <row r="939" spans="1:9" s="40" customFormat="1">
      <c r="A939" s="38" t="s">
        <v>8</v>
      </c>
      <c r="B939" s="38" t="s">
        <v>4</v>
      </c>
      <c r="C939" s="44" t="s">
        <v>9</v>
      </c>
      <c r="D939" s="38" t="s">
        <v>6</v>
      </c>
      <c r="E939" s="38" t="s">
        <v>106</v>
      </c>
      <c r="F939" s="38" t="s">
        <v>10</v>
      </c>
      <c r="G939" s="38" t="s">
        <v>2</v>
      </c>
      <c r="H939" s="38" t="s">
        <v>5</v>
      </c>
      <c r="I939" s="38" t="s">
        <v>11</v>
      </c>
    </row>
    <row r="940" spans="1:9" s="40" customFormat="1">
      <c r="A940" s="45" t="s">
        <v>434</v>
      </c>
      <c r="B940" s="45" t="s">
        <v>434</v>
      </c>
      <c r="C940" s="60">
        <v>1</v>
      </c>
      <c r="D940" s="40" t="s">
        <v>6</v>
      </c>
      <c r="E940"/>
      <c r="F940" s="38"/>
      <c r="G940" s="45" t="s">
        <v>29</v>
      </c>
      <c r="H940" t="s">
        <v>18</v>
      </c>
      <c r="I940" s="38"/>
    </row>
    <row r="941" spans="1:9">
      <c r="A941" s="37" t="s">
        <v>432</v>
      </c>
      <c r="B941" s="45" t="s">
        <v>433</v>
      </c>
      <c r="C941" s="61">
        <f>0.00593*35.8</f>
        <v>0.21229399999999998</v>
      </c>
      <c r="D941" s="40" t="s">
        <v>46</v>
      </c>
      <c r="E941" s="45"/>
      <c r="G941" t="s">
        <v>22</v>
      </c>
      <c r="H941" s="45" t="s">
        <v>12</v>
      </c>
      <c r="I941" t="s">
        <v>481</v>
      </c>
    </row>
    <row r="942" spans="1:9">
      <c r="A942" s="45" t="s">
        <v>45</v>
      </c>
      <c r="B942" s="45" t="s">
        <v>43</v>
      </c>
      <c r="C942" s="68">
        <v>2.5489599999999999E-3</v>
      </c>
      <c r="D942" t="s">
        <v>19</v>
      </c>
      <c r="G942" t="s">
        <v>29</v>
      </c>
      <c r="H942" t="s">
        <v>12</v>
      </c>
      <c r="I942" t="s">
        <v>479</v>
      </c>
    </row>
    <row r="943" spans="1:9">
      <c r="A943" t="s">
        <v>184</v>
      </c>
      <c r="B943"/>
      <c r="C943" s="18">
        <v>1.0754999999999999E-2</v>
      </c>
      <c r="D943" t="s">
        <v>13</v>
      </c>
      <c r="E943" t="s">
        <v>109</v>
      </c>
      <c r="F943" t="s">
        <v>183</v>
      </c>
      <c r="H943" t="s">
        <v>15</v>
      </c>
      <c r="I943" t="s">
        <v>485</v>
      </c>
    </row>
    <row r="944" spans="1:9" s="64" customFormat="1">
      <c r="B944" s="65"/>
    </row>
    <row r="945" spans="1:9">
      <c r="A945" s="38" t="s">
        <v>1</v>
      </c>
      <c r="B945" s="58" t="s">
        <v>460</v>
      </c>
      <c r="C945" s="39"/>
      <c r="D945" s="40"/>
      <c r="E945" s="40"/>
      <c r="F945" s="40"/>
      <c r="G945" s="40"/>
      <c r="H945" s="40"/>
      <c r="I945" s="40"/>
    </row>
    <row r="946" spans="1:9">
      <c r="A946" s="38" t="s">
        <v>11</v>
      </c>
      <c r="B946" s="45" t="s">
        <v>461</v>
      </c>
      <c r="C946" s="40"/>
      <c r="D946" s="40"/>
      <c r="E946" s="40"/>
      <c r="F946" s="40"/>
      <c r="G946" s="40"/>
      <c r="H946" s="40"/>
      <c r="I946" s="40"/>
    </row>
    <row r="947" spans="1:9">
      <c r="A947" s="38" t="s">
        <v>2</v>
      </c>
      <c r="B947" s="40" t="s">
        <v>29</v>
      </c>
      <c r="C947" s="39"/>
      <c r="D947" s="40"/>
      <c r="E947" s="40"/>
      <c r="F947" s="40"/>
      <c r="G947" s="40"/>
      <c r="H947" s="40"/>
      <c r="I947" s="40"/>
    </row>
    <row r="948" spans="1:9">
      <c r="A948" s="41" t="s">
        <v>4</v>
      </c>
      <c r="B948" s="45" t="s">
        <v>162</v>
      </c>
      <c r="C948" s="39"/>
      <c r="D948" s="40"/>
      <c r="E948" s="40"/>
      <c r="F948" s="40"/>
      <c r="G948" s="40"/>
      <c r="H948" s="40"/>
      <c r="I948" s="40"/>
    </row>
    <row r="949" spans="1:9">
      <c r="A949" s="38" t="s">
        <v>3</v>
      </c>
      <c r="B949" s="42">
        <v>1</v>
      </c>
      <c r="C949" s="39"/>
      <c r="D949" s="43"/>
      <c r="E949" s="40"/>
      <c r="F949" s="40"/>
      <c r="G949" s="40"/>
      <c r="H949" s="40"/>
      <c r="I949" s="40"/>
    </row>
    <row r="950" spans="1:9">
      <c r="A950" s="38" t="s">
        <v>6</v>
      </c>
      <c r="B950" s="66" t="s">
        <v>128</v>
      </c>
      <c r="C950" s="39"/>
      <c r="D950" s="43"/>
      <c r="E950" s="40"/>
      <c r="F950" s="40"/>
      <c r="G950" s="40"/>
      <c r="H950" s="40"/>
      <c r="I950" s="40"/>
    </row>
    <row r="951" spans="1:9">
      <c r="A951" s="38" t="s">
        <v>76</v>
      </c>
      <c r="B951" s="40"/>
      <c r="C951" s="39"/>
      <c r="D951" s="43"/>
      <c r="E951" s="40"/>
      <c r="F951" s="40"/>
      <c r="G951" s="40"/>
      <c r="H951" s="40"/>
      <c r="I951" s="40"/>
    </row>
    <row r="952" spans="1:9">
      <c r="A952" s="38" t="s">
        <v>7</v>
      </c>
      <c r="B952" s="40"/>
      <c r="C952" s="39"/>
      <c r="D952" s="40"/>
      <c r="E952" s="40"/>
      <c r="F952" s="40"/>
      <c r="G952" s="40"/>
      <c r="H952" s="40"/>
      <c r="I952" s="40"/>
    </row>
    <row r="953" spans="1:9">
      <c r="A953" s="38" t="s">
        <v>8</v>
      </c>
      <c r="B953" s="38" t="s">
        <v>4</v>
      </c>
      <c r="C953" s="44" t="s">
        <v>9</v>
      </c>
      <c r="D953" s="38" t="s">
        <v>6</v>
      </c>
      <c r="E953" s="38" t="s">
        <v>106</v>
      </c>
      <c r="F953" s="38" t="s">
        <v>10</v>
      </c>
      <c r="G953" s="38" t="s">
        <v>2</v>
      </c>
      <c r="H953" s="38" t="s">
        <v>5</v>
      </c>
      <c r="I953" s="38" t="s">
        <v>11</v>
      </c>
    </row>
    <row r="954" spans="1:9">
      <c r="A954" s="45" t="s">
        <v>460</v>
      </c>
      <c r="B954" s="45" t="s">
        <v>162</v>
      </c>
      <c r="C954" s="40">
        <v>1</v>
      </c>
      <c r="D954" s="40" t="s">
        <v>128</v>
      </c>
      <c r="F954" s="38"/>
      <c r="G954" s="45" t="s">
        <v>29</v>
      </c>
      <c r="H954" t="s">
        <v>18</v>
      </c>
      <c r="I954" s="38"/>
    </row>
    <row r="955" spans="1:9">
      <c r="A955" t="s">
        <v>462</v>
      </c>
      <c r="B955" s="18" t="s">
        <v>462</v>
      </c>
      <c r="C955">
        <v>0.1764792</v>
      </c>
      <c r="D955" s="40" t="s">
        <v>46</v>
      </c>
      <c r="G955" t="s">
        <v>29</v>
      </c>
      <c r="H955" t="s">
        <v>12</v>
      </c>
      <c r="I955" t="s">
        <v>471</v>
      </c>
    </row>
    <row r="956" spans="1:9">
      <c r="A956" t="s">
        <v>463</v>
      </c>
      <c r="B956" s="18" t="s">
        <v>162</v>
      </c>
      <c r="C956">
        <v>3.6361999999999998E-2</v>
      </c>
      <c r="D956" s="40" t="s">
        <v>128</v>
      </c>
      <c r="G956" t="s">
        <v>29</v>
      </c>
      <c r="H956" t="s">
        <v>12</v>
      </c>
    </row>
    <row r="957" spans="1:9">
      <c r="A957" t="s">
        <v>464</v>
      </c>
      <c r="B957" s="18" t="s">
        <v>162</v>
      </c>
      <c r="C957">
        <v>6.9374000000000005E-2</v>
      </c>
      <c r="D957" s="40" t="s">
        <v>128</v>
      </c>
      <c r="G957" t="s">
        <v>29</v>
      </c>
      <c r="H957" t="s">
        <v>12</v>
      </c>
    </row>
    <row r="958" spans="1:9">
      <c r="A958" t="s">
        <v>465</v>
      </c>
      <c r="B958" s="18" t="s">
        <v>162</v>
      </c>
      <c r="C958">
        <v>8.3135000000000001E-2</v>
      </c>
      <c r="D958" s="40" t="s">
        <v>128</v>
      </c>
      <c r="G958" t="s">
        <v>29</v>
      </c>
      <c r="H958" t="s">
        <v>12</v>
      </c>
    </row>
    <row r="959" spans="1:9">
      <c r="A959" t="s">
        <v>466</v>
      </c>
      <c r="B959" s="18" t="s">
        <v>162</v>
      </c>
      <c r="C959">
        <v>3.4417999999999997E-2</v>
      </c>
      <c r="D959" s="40" t="s">
        <v>128</v>
      </c>
      <c r="G959" t="s">
        <v>29</v>
      </c>
      <c r="H959" t="s">
        <v>12</v>
      </c>
    </row>
    <row r="960" spans="1:9">
      <c r="A960" t="s">
        <v>467</v>
      </c>
      <c r="B960" s="18" t="s">
        <v>162</v>
      </c>
      <c r="C960">
        <v>0.42777999999999999</v>
      </c>
      <c r="D960" s="40" t="s">
        <v>128</v>
      </c>
      <c r="G960" t="s">
        <v>29</v>
      </c>
      <c r="H960" t="s">
        <v>12</v>
      </c>
    </row>
    <row r="961" spans="1:9">
      <c r="A961" t="s">
        <v>468</v>
      </c>
      <c r="B961" s="18" t="s">
        <v>162</v>
      </c>
      <c r="C961">
        <v>0.29048000000000002</v>
      </c>
      <c r="D961" s="40" t="s">
        <v>128</v>
      </c>
      <c r="G961" t="s">
        <v>29</v>
      </c>
      <c r="H961" t="s">
        <v>12</v>
      </c>
    </row>
    <row r="962" spans="1:9">
      <c r="A962" t="s">
        <v>469</v>
      </c>
      <c r="B962" s="18" t="s">
        <v>162</v>
      </c>
      <c r="C962">
        <v>5.8443000000000002E-2</v>
      </c>
      <c r="D962" s="40" t="s">
        <v>128</v>
      </c>
      <c r="G962" t="s">
        <v>29</v>
      </c>
      <c r="H962" t="s">
        <v>12</v>
      </c>
    </row>
    <row r="963" spans="1:9">
      <c r="A963" t="s">
        <v>113</v>
      </c>
      <c r="C963" s="18">
        <v>9.6000000000000002E-5</v>
      </c>
      <c r="D963" s="40" t="s">
        <v>13</v>
      </c>
      <c r="E963" t="s">
        <v>109</v>
      </c>
      <c r="F963" t="s">
        <v>183</v>
      </c>
      <c r="G963" s="18"/>
      <c r="H963" t="s">
        <v>15</v>
      </c>
      <c r="I963" t="s">
        <v>482</v>
      </c>
    </row>
    <row r="964" spans="1:9">
      <c r="A964" t="s">
        <v>40</v>
      </c>
      <c r="C964" s="18">
        <v>3.435E-4</v>
      </c>
      <c r="D964" s="40" t="s">
        <v>13</v>
      </c>
      <c r="E964" t="s">
        <v>109</v>
      </c>
      <c r="F964" t="s">
        <v>183</v>
      </c>
      <c r="G964" s="18"/>
      <c r="H964" t="s">
        <v>15</v>
      </c>
      <c r="I964" t="s">
        <v>482</v>
      </c>
    </row>
    <row r="965" spans="1:9">
      <c r="A965" t="s">
        <v>470</v>
      </c>
      <c r="C965" s="18">
        <v>8.234999999999999E-4</v>
      </c>
      <c r="D965" s="40" t="s">
        <v>13</v>
      </c>
      <c r="E965" t="s">
        <v>109</v>
      </c>
      <c r="F965" t="s">
        <v>183</v>
      </c>
      <c r="G965" s="18"/>
      <c r="H965" t="s">
        <v>15</v>
      </c>
      <c r="I965" t="s">
        <v>482</v>
      </c>
    </row>
    <row r="966" spans="1:9">
      <c r="A966" t="s">
        <v>118</v>
      </c>
      <c r="C966" s="18">
        <v>9.9435000000000009E-3</v>
      </c>
      <c r="D966" s="40" t="s">
        <v>13</v>
      </c>
      <c r="E966" t="s">
        <v>109</v>
      </c>
      <c r="F966" t="s">
        <v>183</v>
      </c>
      <c r="H966" t="s">
        <v>15</v>
      </c>
      <c r="I966" t="s">
        <v>482</v>
      </c>
    </row>
    <row r="967" spans="1:9">
      <c r="A967" t="s">
        <v>216</v>
      </c>
      <c r="C967" s="18">
        <v>7.5000000000000002E-6</v>
      </c>
      <c r="D967" s="40" t="s">
        <v>13</v>
      </c>
      <c r="E967" t="s">
        <v>109</v>
      </c>
      <c r="F967" t="s">
        <v>183</v>
      </c>
      <c r="G967" s="18"/>
      <c r="H967" t="s">
        <v>15</v>
      </c>
      <c r="I967" t="s">
        <v>482</v>
      </c>
    </row>
    <row r="968" spans="1:9">
      <c r="A968" t="s">
        <v>123</v>
      </c>
      <c r="C968" s="18">
        <v>1.8599999999999999E-4</v>
      </c>
      <c r="D968" s="40" t="s">
        <v>13</v>
      </c>
      <c r="E968" t="s">
        <v>109</v>
      </c>
      <c r="F968" t="s">
        <v>183</v>
      </c>
      <c r="G968" s="18"/>
      <c r="H968" t="s">
        <v>15</v>
      </c>
      <c r="I968" t="s">
        <v>482</v>
      </c>
    </row>
    <row r="969" spans="1:9">
      <c r="A969" s="64"/>
      <c r="B969" s="65"/>
      <c r="C969" s="64"/>
      <c r="D969" s="64"/>
      <c r="E969" s="64"/>
      <c r="F969" s="64"/>
      <c r="G969" s="64"/>
      <c r="H969" s="64"/>
      <c r="I969" s="64"/>
    </row>
    <row r="970" spans="1:9">
      <c r="A970" s="38" t="s">
        <v>1</v>
      </c>
      <c r="B970" s="58" t="s">
        <v>476</v>
      </c>
      <c r="C970" s="39"/>
      <c r="D970" s="40"/>
      <c r="E970" s="40"/>
      <c r="F970" s="40"/>
      <c r="G970" s="40"/>
      <c r="H970" s="40"/>
      <c r="I970" s="40"/>
    </row>
    <row r="971" spans="1:9">
      <c r="A971" s="38" t="s">
        <v>11</v>
      </c>
      <c r="B971" s="45" t="s">
        <v>475</v>
      </c>
      <c r="C971" s="40"/>
      <c r="D971" s="40"/>
      <c r="E971" s="40"/>
      <c r="F971" s="40"/>
      <c r="G971" s="40"/>
      <c r="H971" s="40"/>
      <c r="I971" s="40"/>
    </row>
    <row r="972" spans="1:9">
      <c r="A972" s="38" t="s">
        <v>2</v>
      </c>
      <c r="B972" s="40" t="s">
        <v>29</v>
      </c>
      <c r="C972" s="39"/>
      <c r="D972" s="40"/>
      <c r="E972" s="40"/>
      <c r="F972" s="40"/>
      <c r="G972" s="40"/>
      <c r="H972" s="40"/>
      <c r="I972" s="40"/>
    </row>
    <row r="973" spans="1:9">
      <c r="A973" s="41" t="s">
        <v>4</v>
      </c>
      <c r="B973" s="45" t="s">
        <v>244</v>
      </c>
      <c r="C973" s="39"/>
      <c r="D973" s="40"/>
      <c r="E973" s="40"/>
      <c r="F973" s="40"/>
      <c r="G973" s="40"/>
      <c r="H973" s="40"/>
      <c r="I973" s="40"/>
    </row>
    <row r="974" spans="1:9">
      <c r="A974" s="38" t="s">
        <v>3</v>
      </c>
      <c r="B974" s="42">
        <v>1</v>
      </c>
      <c r="C974" s="39"/>
      <c r="D974" s="43"/>
      <c r="E974" s="40"/>
      <c r="F974" s="40"/>
      <c r="G974" s="40"/>
      <c r="H974" s="40"/>
      <c r="I974" s="40"/>
    </row>
    <row r="975" spans="1:9">
      <c r="A975" s="38" t="s">
        <v>6</v>
      </c>
      <c r="B975" s="42" t="s">
        <v>128</v>
      </c>
      <c r="C975" s="39"/>
      <c r="D975" s="43"/>
      <c r="E975" s="40"/>
      <c r="F975" s="40"/>
      <c r="G975" s="40"/>
      <c r="H975" s="40"/>
      <c r="I975" s="40"/>
    </row>
    <row r="976" spans="1:9">
      <c r="A976" s="38" t="s">
        <v>76</v>
      </c>
      <c r="B976" s="40" t="s">
        <v>477</v>
      </c>
      <c r="C976" s="39"/>
      <c r="D976" s="43"/>
      <c r="E976" s="40"/>
      <c r="F976" s="40"/>
      <c r="G976" s="40"/>
      <c r="H976" s="40"/>
      <c r="I976" s="40"/>
    </row>
    <row r="977" spans="1:9">
      <c r="A977" s="38" t="s">
        <v>7</v>
      </c>
      <c r="B977" s="40"/>
      <c r="C977" s="39"/>
      <c r="D977" s="40"/>
      <c r="E977" s="40"/>
      <c r="F977" s="40"/>
      <c r="G977" s="40"/>
      <c r="H977" s="40"/>
      <c r="I977" s="40"/>
    </row>
    <row r="978" spans="1:9">
      <c r="A978" s="38" t="s">
        <v>8</v>
      </c>
      <c r="B978" s="38" t="s">
        <v>4</v>
      </c>
      <c r="C978" s="44" t="s">
        <v>9</v>
      </c>
      <c r="D978" s="38" t="s">
        <v>6</v>
      </c>
      <c r="E978" s="38" t="s">
        <v>106</v>
      </c>
      <c r="F978" s="38" t="s">
        <v>10</v>
      </c>
      <c r="G978" s="38" t="s">
        <v>2</v>
      </c>
      <c r="H978" s="38" t="s">
        <v>5</v>
      </c>
      <c r="I978" s="38" t="s">
        <v>11</v>
      </c>
    </row>
    <row r="979" spans="1:9">
      <c r="A979" s="45" t="s">
        <v>473</v>
      </c>
      <c r="B979" s="45" t="s">
        <v>244</v>
      </c>
      <c r="C979" s="40">
        <v>1</v>
      </c>
      <c r="D979" s="40" t="s">
        <v>128</v>
      </c>
      <c r="F979" s="38"/>
      <c r="G979" s="45" t="s">
        <v>29</v>
      </c>
      <c r="H979" t="s">
        <v>18</v>
      </c>
      <c r="I979" s="38"/>
    </row>
    <row r="980" spans="1:9">
      <c r="A980" s="37" t="s">
        <v>474</v>
      </c>
      <c r="B980" s="45" t="s">
        <v>244</v>
      </c>
      <c r="C980" s="40">
        <v>1</v>
      </c>
      <c r="D980" s="40" t="s">
        <v>128</v>
      </c>
      <c r="G980" t="s">
        <v>208</v>
      </c>
      <c r="H980" t="s">
        <v>12</v>
      </c>
    </row>
    <row r="981" spans="1:9">
      <c r="A981" s="45"/>
      <c r="B981" s="45"/>
      <c r="C981" s="40"/>
      <c r="D981" s="40"/>
      <c r="F981" s="38"/>
      <c r="G981" s="45"/>
    </row>
  </sheetData>
  <phoneticPr fontId="19" type="noConversion"/>
  <hyperlinks>
    <hyperlink ref="G555" r:id="rId1" display="https://doi.org/10.1016/j.jclepro.2017.02.032" xr:uid="{452A1D98-DB73-468C-B117-F061F357C33B}"/>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33916-1C4C-4A86-8A8C-AB33DBD5A2E2}">
  <dimension ref="A1:K57"/>
  <sheetViews>
    <sheetView workbookViewId="0">
      <selection activeCell="A16" sqref="A16"/>
    </sheetView>
  </sheetViews>
  <sheetFormatPr defaultColWidth="11.42578125" defaultRowHeight="15"/>
  <sheetData>
    <row r="1" spans="1:11">
      <c r="A1" t="s">
        <v>173</v>
      </c>
    </row>
    <row r="3" spans="1:11">
      <c r="A3" s="4" t="s">
        <v>1</v>
      </c>
      <c r="B3" s="11" t="s">
        <v>170</v>
      </c>
      <c r="C3" s="8"/>
      <c r="D3" s="8"/>
      <c r="E3" s="8"/>
      <c r="F3" s="8"/>
      <c r="G3" s="8"/>
      <c r="H3" s="8"/>
      <c r="I3" s="3"/>
      <c r="J3" s="20"/>
      <c r="K3" s="21"/>
    </row>
    <row r="4" spans="1:11">
      <c r="A4" s="6" t="s">
        <v>3</v>
      </c>
      <c r="B4" s="13">
        <v>1</v>
      </c>
      <c r="C4" s="8"/>
      <c r="D4" s="8"/>
      <c r="E4" s="8"/>
      <c r="F4" s="8"/>
      <c r="G4" s="8"/>
      <c r="H4" s="8"/>
      <c r="I4" s="3"/>
      <c r="J4" s="12"/>
      <c r="K4" s="21"/>
    </row>
    <row r="5" spans="1:11">
      <c r="A5" s="6" t="s">
        <v>11</v>
      </c>
      <c r="B5" s="22" t="s">
        <v>41</v>
      </c>
      <c r="C5" s="8"/>
      <c r="D5" s="8"/>
      <c r="E5" s="8"/>
      <c r="F5" s="8"/>
      <c r="G5" s="8"/>
      <c r="H5" s="8"/>
      <c r="I5" s="3"/>
      <c r="K5" s="21"/>
    </row>
    <row r="6" spans="1:11">
      <c r="A6" s="6" t="s">
        <v>4</v>
      </c>
      <c r="B6" s="9" t="s">
        <v>26</v>
      </c>
      <c r="C6" s="8"/>
      <c r="D6" s="8"/>
      <c r="E6" s="8"/>
      <c r="F6" s="8"/>
      <c r="G6" s="8"/>
      <c r="H6" s="8"/>
      <c r="I6" s="3"/>
    </row>
    <row r="7" spans="1:11" ht="16.350000000000001" customHeight="1">
      <c r="A7" s="6" t="s">
        <v>2</v>
      </c>
      <c r="B7" s="14" t="s">
        <v>29</v>
      </c>
      <c r="C7" s="8"/>
      <c r="D7" s="8"/>
      <c r="E7" s="8"/>
      <c r="F7" s="8"/>
      <c r="G7" s="8"/>
      <c r="H7" s="8"/>
      <c r="I7" s="3"/>
    </row>
    <row r="8" spans="1:11">
      <c r="A8" s="6" t="s">
        <v>6</v>
      </c>
      <c r="B8" s="9" t="s">
        <v>13</v>
      </c>
      <c r="C8" s="8"/>
      <c r="D8" s="8"/>
      <c r="E8" s="8"/>
      <c r="F8" s="8"/>
      <c r="G8" s="8"/>
      <c r="H8" s="15"/>
      <c r="I8" s="3"/>
    </row>
    <row r="9" spans="1:11">
      <c r="A9" s="15" t="s">
        <v>7</v>
      </c>
      <c r="B9" s="11"/>
      <c r="C9" s="15"/>
      <c r="D9" s="15"/>
      <c r="E9" s="15"/>
      <c r="F9" s="15"/>
      <c r="G9" s="15"/>
      <c r="H9" s="12"/>
      <c r="I9" s="3"/>
    </row>
    <row r="10" spans="1:11">
      <c r="A10" t="s">
        <v>8</v>
      </c>
      <c r="B10" s="18" t="s">
        <v>9</v>
      </c>
      <c r="C10" t="s">
        <v>2</v>
      </c>
      <c r="D10" t="s">
        <v>6</v>
      </c>
      <c r="E10" t="s">
        <v>5</v>
      </c>
      <c r="F10" t="s">
        <v>4</v>
      </c>
      <c r="G10" s="1" t="s">
        <v>10</v>
      </c>
      <c r="H10" s="19" t="s">
        <v>11</v>
      </c>
      <c r="I10" s="3"/>
    </row>
    <row r="11" spans="1:11">
      <c r="A11" t="s">
        <v>44</v>
      </c>
      <c r="B11" s="18">
        <v>1</v>
      </c>
      <c r="C11" t="s">
        <v>29</v>
      </c>
      <c r="D11" t="s">
        <v>13</v>
      </c>
      <c r="E11" t="s">
        <v>18</v>
      </c>
      <c r="F11" s="9" t="s">
        <v>26</v>
      </c>
      <c r="G11" s="12"/>
      <c r="I11" s="3"/>
    </row>
    <row r="12" spans="1:11">
      <c r="A12" t="s">
        <v>35</v>
      </c>
      <c r="B12" s="18">
        <f>4.3*28.6</f>
        <v>122.98</v>
      </c>
      <c r="C12" t="s">
        <v>42</v>
      </c>
      <c r="D12" t="s">
        <v>46</v>
      </c>
      <c r="E12" t="s">
        <v>12</v>
      </c>
      <c r="F12" t="s">
        <v>36</v>
      </c>
      <c r="I12" s="3"/>
    </row>
    <row r="13" spans="1:11">
      <c r="A13" t="s">
        <v>35</v>
      </c>
      <c r="B13" s="18">
        <v>1.34</v>
      </c>
      <c r="C13" t="s">
        <v>42</v>
      </c>
      <c r="D13" t="s">
        <v>13</v>
      </c>
      <c r="E13" t="s">
        <v>12</v>
      </c>
      <c r="F13" t="s">
        <v>37</v>
      </c>
      <c r="I13" s="3"/>
    </row>
    <row r="14" spans="1:11">
      <c r="A14" t="s">
        <v>38</v>
      </c>
      <c r="B14" s="18">
        <v>4.03</v>
      </c>
      <c r="C14" t="s">
        <v>22</v>
      </c>
      <c r="D14" t="s">
        <v>13</v>
      </c>
      <c r="E14" t="s">
        <v>12</v>
      </c>
      <c r="F14" t="s">
        <v>39</v>
      </c>
      <c r="I14" s="3"/>
    </row>
    <row r="15" spans="1:11">
      <c r="A15" t="s">
        <v>40</v>
      </c>
      <c r="B15" s="18">
        <v>8.34</v>
      </c>
      <c r="D15" t="s">
        <v>13</v>
      </c>
      <c r="E15" t="s">
        <v>15</v>
      </c>
      <c r="G15" t="s">
        <v>25</v>
      </c>
      <c r="I15" s="3"/>
    </row>
    <row r="16" spans="1:11">
      <c r="A16" t="s">
        <v>45</v>
      </c>
      <c r="B16" s="18">
        <v>4.6399999999999997</v>
      </c>
      <c r="C16" t="s">
        <v>29</v>
      </c>
      <c r="D16" t="s">
        <v>19</v>
      </c>
      <c r="E16" t="s">
        <v>12</v>
      </c>
      <c r="F16" t="s">
        <v>43</v>
      </c>
      <c r="I16" s="3"/>
    </row>
    <row r="17" spans="1:11">
      <c r="B17" s="18"/>
      <c r="I17" s="3"/>
    </row>
    <row r="18" spans="1:11">
      <c r="A18" s="4" t="s">
        <v>1</v>
      </c>
      <c r="B18" s="11" t="s">
        <v>169</v>
      </c>
      <c r="C18" s="8"/>
      <c r="D18" s="8"/>
      <c r="E18" s="8"/>
      <c r="F18" s="8"/>
      <c r="G18" s="8"/>
      <c r="H18" s="8"/>
      <c r="I18" s="3"/>
      <c r="J18" s="20"/>
      <c r="K18" s="21"/>
    </row>
    <row r="19" spans="1:11">
      <c r="A19" s="6" t="s">
        <v>3</v>
      </c>
      <c r="B19" s="13">
        <v>1</v>
      </c>
      <c r="C19" s="8"/>
      <c r="D19" s="8"/>
      <c r="E19" s="8"/>
      <c r="F19" s="8"/>
      <c r="G19" s="8"/>
      <c r="H19" s="8"/>
      <c r="I19" s="3"/>
      <c r="J19" s="12"/>
      <c r="K19" s="21"/>
    </row>
    <row r="20" spans="1:11">
      <c r="A20" s="6" t="s">
        <v>11</v>
      </c>
      <c r="B20" s="22" t="s">
        <v>48</v>
      </c>
      <c r="C20" s="8"/>
      <c r="D20" s="8"/>
      <c r="E20" s="8"/>
      <c r="F20" s="8"/>
      <c r="G20" s="8"/>
      <c r="H20" s="8"/>
      <c r="I20" s="3"/>
      <c r="K20" s="21"/>
    </row>
    <row r="21" spans="1:11">
      <c r="A21" s="6" t="s">
        <v>4</v>
      </c>
      <c r="B21" s="9" t="s">
        <v>26</v>
      </c>
      <c r="C21" s="8"/>
      <c r="D21" s="8"/>
      <c r="E21" s="8"/>
      <c r="F21" s="8"/>
      <c r="G21" s="8"/>
      <c r="H21" s="8"/>
      <c r="I21" s="3"/>
    </row>
    <row r="22" spans="1:11" ht="16.350000000000001" customHeight="1">
      <c r="A22" s="6" t="s">
        <v>2</v>
      </c>
      <c r="B22" s="14" t="s">
        <v>29</v>
      </c>
      <c r="C22" s="8"/>
      <c r="D22" s="8"/>
      <c r="E22" s="8"/>
      <c r="F22" s="8"/>
      <c r="G22" s="8"/>
      <c r="H22" s="8"/>
      <c r="I22" s="3"/>
    </row>
    <row r="23" spans="1:11">
      <c r="A23" s="6" t="s">
        <v>6</v>
      </c>
      <c r="B23" s="9" t="s">
        <v>13</v>
      </c>
      <c r="C23" s="8"/>
      <c r="D23" s="8"/>
      <c r="E23" s="8"/>
      <c r="F23" s="8"/>
      <c r="G23" s="8"/>
      <c r="H23" s="15"/>
      <c r="I23" s="3"/>
    </row>
    <row r="24" spans="1:11">
      <c r="A24" s="15" t="s">
        <v>7</v>
      </c>
      <c r="B24" s="11"/>
      <c r="C24" s="15"/>
      <c r="D24" s="15"/>
      <c r="E24" s="15"/>
      <c r="F24" s="15"/>
      <c r="G24" s="15"/>
      <c r="H24" s="12"/>
      <c r="I24" s="3"/>
    </row>
    <row r="25" spans="1:11">
      <c r="A25" t="s">
        <v>8</v>
      </c>
      <c r="B25" s="18" t="s">
        <v>9</v>
      </c>
      <c r="C25" t="s">
        <v>2</v>
      </c>
      <c r="D25" t="s">
        <v>6</v>
      </c>
      <c r="E25" t="s">
        <v>5</v>
      </c>
      <c r="F25" t="s">
        <v>4</v>
      </c>
      <c r="G25" s="1" t="s">
        <v>10</v>
      </c>
      <c r="H25" s="19" t="s">
        <v>11</v>
      </c>
      <c r="I25" s="3"/>
    </row>
    <row r="26" spans="1:11">
      <c r="A26" t="s">
        <v>47</v>
      </c>
      <c r="B26" s="18">
        <v>1</v>
      </c>
      <c r="C26" t="s">
        <v>29</v>
      </c>
      <c r="D26" t="s">
        <v>13</v>
      </c>
      <c r="E26" t="s">
        <v>18</v>
      </c>
      <c r="F26" s="9" t="s">
        <v>26</v>
      </c>
      <c r="G26" s="12"/>
      <c r="I26" s="3"/>
    </row>
    <row r="27" spans="1:11">
      <c r="A27" t="s">
        <v>35</v>
      </c>
      <c r="B27" s="18">
        <f>4.3*28.6</f>
        <v>122.98</v>
      </c>
      <c r="C27" t="s">
        <v>42</v>
      </c>
      <c r="D27" t="s">
        <v>46</v>
      </c>
      <c r="E27" t="s">
        <v>12</v>
      </c>
      <c r="F27" t="s">
        <v>36</v>
      </c>
      <c r="I27" s="3"/>
    </row>
    <row r="28" spans="1:11">
      <c r="A28" t="s">
        <v>35</v>
      </c>
      <c r="B28" s="18">
        <v>1.34</v>
      </c>
      <c r="C28" t="s">
        <v>42</v>
      </c>
      <c r="D28" t="s">
        <v>13</v>
      </c>
      <c r="E28" t="s">
        <v>12</v>
      </c>
      <c r="F28" t="s">
        <v>37</v>
      </c>
      <c r="I28" s="3"/>
    </row>
    <row r="29" spans="1:11">
      <c r="A29" t="s">
        <v>38</v>
      </c>
      <c r="B29" s="18">
        <v>4.03</v>
      </c>
      <c r="C29" t="s">
        <v>22</v>
      </c>
      <c r="D29" t="s">
        <v>13</v>
      </c>
      <c r="E29" t="s">
        <v>12</v>
      </c>
      <c r="F29" t="s">
        <v>39</v>
      </c>
      <c r="I29" s="3"/>
    </row>
    <row r="30" spans="1:11">
      <c r="A30" t="s">
        <v>45</v>
      </c>
      <c r="B30" s="18">
        <v>4.6399999999999997</v>
      </c>
      <c r="C30" t="s">
        <v>29</v>
      </c>
      <c r="D30" t="s">
        <v>19</v>
      </c>
      <c r="E30" t="s">
        <v>12</v>
      </c>
      <c r="F30" t="s">
        <v>43</v>
      </c>
      <c r="I30" s="3"/>
    </row>
    <row r="31" spans="1:11">
      <c r="A31" t="s">
        <v>45</v>
      </c>
      <c r="B31" s="18">
        <v>0.7</v>
      </c>
      <c r="C31" t="s">
        <v>29</v>
      </c>
      <c r="D31" t="s">
        <v>19</v>
      </c>
      <c r="E31" t="s">
        <v>12</v>
      </c>
      <c r="F31" t="s">
        <v>43</v>
      </c>
      <c r="I31" s="3"/>
    </row>
    <row r="33" spans="1:11">
      <c r="A33" s="4" t="s">
        <v>1</v>
      </c>
      <c r="B33" s="11" t="s">
        <v>99</v>
      </c>
      <c r="C33" s="12"/>
      <c r="D33" s="8"/>
      <c r="E33" s="8"/>
      <c r="F33" s="8"/>
      <c r="G33" s="8"/>
      <c r="H33" s="8"/>
      <c r="I33" s="10"/>
      <c r="K33" s="7"/>
    </row>
    <row r="34" spans="1:11">
      <c r="A34" s="6" t="s">
        <v>3</v>
      </c>
      <c r="B34" s="13">
        <v>1</v>
      </c>
      <c r="C34" s="8"/>
      <c r="D34" s="8"/>
      <c r="E34" s="8"/>
      <c r="F34" s="8"/>
      <c r="G34" s="8"/>
      <c r="H34" s="8"/>
      <c r="I34" s="10"/>
      <c r="K34" s="7"/>
    </row>
    <row r="35" spans="1:11">
      <c r="A35" s="6" t="s">
        <v>11</v>
      </c>
      <c r="B35" s="14" t="s">
        <v>50</v>
      </c>
      <c r="C35" s="8"/>
      <c r="D35" s="8"/>
      <c r="E35" s="8"/>
      <c r="F35" s="8"/>
      <c r="G35" s="8"/>
      <c r="H35" s="8"/>
      <c r="I35" s="10"/>
      <c r="K35" s="7"/>
    </row>
    <row r="36" spans="1:11">
      <c r="A36" s="6" t="s">
        <v>4</v>
      </c>
      <c r="B36" s="2" t="s">
        <v>31</v>
      </c>
      <c r="C36" s="8"/>
      <c r="D36" s="8"/>
      <c r="E36" s="8"/>
      <c r="F36" s="8"/>
      <c r="G36" s="8"/>
      <c r="H36" s="8"/>
      <c r="I36" s="10"/>
      <c r="K36" s="7"/>
    </row>
    <row r="37" spans="1:11">
      <c r="A37" s="6" t="s">
        <v>2</v>
      </c>
      <c r="B37" s="14" t="s">
        <v>29</v>
      </c>
      <c r="C37" s="8"/>
      <c r="D37" s="8"/>
      <c r="E37" s="8"/>
      <c r="F37" s="8"/>
      <c r="G37" s="8"/>
      <c r="H37" s="8"/>
      <c r="I37" s="10"/>
      <c r="K37" s="7"/>
    </row>
    <row r="38" spans="1:11">
      <c r="A38" s="6" t="s">
        <v>6</v>
      </c>
      <c r="B38" s="9" t="s">
        <v>19</v>
      </c>
      <c r="C38" s="8"/>
      <c r="D38" s="8"/>
      <c r="E38" s="8"/>
      <c r="F38" s="8"/>
      <c r="G38" s="8"/>
      <c r="H38" s="15"/>
      <c r="I38" s="16"/>
      <c r="K38" s="7"/>
    </row>
    <row r="39" spans="1:11">
      <c r="A39" s="15" t="s">
        <v>7</v>
      </c>
      <c r="B39" s="11"/>
      <c r="C39" s="15"/>
      <c r="D39" s="15"/>
      <c r="E39" s="15"/>
      <c r="F39" s="15"/>
      <c r="G39" s="15"/>
      <c r="H39" s="12"/>
      <c r="I39" s="17"/>
      <c r="K39" s="7"/>
    </row>
    <row r="40" spans="1:11">
      <c r="A40" t="s">
        <v>8</v>
      </c>
      <c r="B40" s="18" t="s">
        <v>9</v>
      </c>
      <c r="C40" t="s">
        <v>2</v>
      </c>
      <c r="D40" t="s">
        <v>6</v>
      </c>
      <c r="E40" t="s">
        <v>5</v>
      </c>
      <c r="F40" t="s">
        <v>4</v>
      </c>
      <c r="G40" t="s">
        <v>10</v>
      </c>
      <c r="H40" s="19" t="s">
        <v>11</v>
      </c>
      <c r="I40" s="3"/>
      <c r="J40" s="1"/>
      <c r="K40" s="7"/>
    </row>
    <row r="41" spans="1:11">
      <c r="A41" s="18" t="str">
        <f>B33</f>
        <v>electricity production, from stationary battery, Tr2050</v>
      </c>
      <c r="B41" s="18">
        <v>1</v>
      </c>
      <c r="C41" t="str">
        <f>B37</f>
        <v>FR</v>
      </c>
      <c r="D41" t="s">
        <v>19</v>
      </c>
      <c r="E41" t="s">
        <v>18</v>
      </c>
      <c r="F41" t="s">
        <v>31</v>
      </c>
      <c r="G41" s="12"/>
      <c r="H41" s="17"/>
      <c r="I41" s="3"/>
      <c r="K41" s="7"/>
    </row>
    <row r="42" spans="1:11">
      <c r="A42" s="6" t="s">
        <v>28</v>
      </c>
      <c r="B42" s="18">
        <f>1*1.19</f>
        <v>1.19</v>
      </c>
      <c r="C42" t="s">
        <v>29</v>
      </c>
      <c r="D42" t="s">
        <v>19</v>
      </c>
      <c r="E42" t="s">
        <v>12</v>
      </c>
      <c r="F42" t="s">
        <v>20</v>
      </c>
      <c r="G42" s="12"/>
      <c r="H42" s="19" t="s">
        <v>51</v>
      </c>
      <c r="I42" s="3"/>
    </row>
    <row r="43" spans="1:11">
      <c r="A43" s="6" t="s">
        <v>28</v>
      </c>
      <c r="B43" s="18">
        <f>((22/1000)*6000*13)/(2500*19.5*0.8)</f>
        <v>4.3999999999999997E-2</v>
      </c>
      <c r="C43" t="s">
        <v>29</v>
      </c>
      <c r="D43" t="s">
        <v>19</v>
      </c>
      <c r="E43" t="s">
        <v>12</v>
      </c>
      <c r="F43" t="s">
        <v>20</v>
      </c>
      <c r="G43" s="12"/>
      <c r="H43" s="19" t="s">
        <v>52</v>
      </c>
      <c r="I43" s="3"/>
    </row>
    <row r="44" spans="1:11">
      <c r="A44" s="6" t="s">
        <v>53</v>
      </c>
      <c r="B44" s="18">
        <f>1/(2500*80%*19.5)</f>
        <v>2.564102564102564E-5</v>
      </c>
      <c r="C44" t="s">
        <v>49</v>
      </c>
      <c r="D44" t="s">
        <v>6</v>
      </c>
      <c r="E44" t="s">
        <v>12</v>
      </c>
      <c r="F44" t="s">
        <v>54</v>
      </c>
      <c r="G44" s="12"/>
      <c r="H44" s="1" t="s">
        <v>55</v>
      </c>
      <c r="I44" s="3"/>
    </row>
    <row r="45" spans="1:11">
      <c r="A45" s="6"/>
      <c r="B45" s="18"/>
      <c r="G45" s="12"/>
      <c r="H45" s="1"/>
      <c r="I45" s="3"/>
    </row>
    <row r="46" spans="1:11">
      <c r="A46" s="18"/>
      <c r="B46" s="18"/>
      <c r="G46" s="12"/>
      <c r="H46" s="12"/>
      <c r="I46" s="3"/>
      <c r="K46" s="7"/>
    </row>
    <row r="47" spans="1:11">
      <c r="A47" s="4" t="s">
        <v>1</v>
      </c>
      <c r="B47" s="11" t="s">
        <v>101</v>
      </c>
      <c r="C47" s="12"/>
      <c r="D47" s="8"/>
      <c r="E47" s="8"/>
      <c r="F47" s="8"/>
      <c r="G47" s="8"/>
      <c r="H47" s="8"/>
      <c r="I47" s="10"/>
      <c r="K47" s="7"/>
    </row>
    <row r="48" spans="1:11">
      <c r="A48" s="6" t="s">
        <v>3</v>
      </c>
      <c r="B48" s="13">
        <v>1</v>
      </c>
      <c r="C48" s="8"/>
      <c r="D48" s="8"/>
      <c r="E48" s="8"/>
      <c r="F48" s="8"/>
      <c r="G48" s="8"/>
      <c r="H48" s="8"/>
      <c r="I48" s="10"/>
      <c r="K48" s="7"/>
    </row>
    <row r="49" spans="1:11">
      <c r="A49" s="6" t="s">
        <v>11</v>
      </c>
      <c r="B49" s="14" t="s">
        <v>34</v>
      </c>
      <c r="C49" s="8"/>
      <c r="D49" s="8"/>
      <c r="E49" s="8"/>
      <c r="F49" s="8"/>
      <c r="G49" s="8"/>
      <c r="H49" s="8"/>
      <c r="I49" s="10"/>
      <c r="K49" s="7"/>
    </row>
    <row r="50" spans="1:11">
      <c r="A50" s="6" t="s">
        <v>4</v>
      </c>
      <c r="B50" s="2" t="s">
        <v>31</v>
      </c>
      <c r="C50" s="8"/>
      <c r="D50" s="8"/>
      <c r="E50" s="8"/>
      <c r="F50" s="8"/>
      <c r="G50" s="8"/>
      <c r="H50" s="8"/>
      <c r="I50" s="10"/>
      <c r="K50" s="7"/>
    </row>
    <row r="51" spans="1:11">
      <c r="A51" s="6" t="s">
        <v>2</v>
      </c>
      <c r="B51" s="14" t="s">
        <v>29</v>
      </c>
      <c r="C51" s="8"/>
      <c r="D51" s="8"/>
      <c r="E51" s="8"/>
      <c r="F51" s="8"/>
      <c r="G51" s="8"/>
      <c r="H51" s="8"/>
      <c r="I51" s="10"/>
      <c r="K51" s="7"/>
    </row>
    <row r="52" spans="1:11">
      <c r="A52" s="6" t="s">
        <v>6</v>
      </c>
      <c r="B52" s="9" t="s">
        <v>19</v>
      </c>
      <c r="C52" s="8"/>
      <c r="D52" s="8"/>
      <c r="E52" s="8"/>
      <c r="F52" s="8"/>
      <c r="G52" s="8"/>
      <c r="H52" s="15"/>
      <c r="I52" s="16"/>
      <c r="K52" s="7"/>
    </row>
    <row r="53" spans="1:11">
      <c r="A53" s="15" t="s">
        <v>7</v>
      </c>
      <c r="B53" s="11"/>
      <c r="C53" s="15"/>
      <c r="D53" s="15"/>
      <c r="E53" s="15"/>
      <c r="F53" s="15"/>
      <c r="G53" s="15"/>
      <c r="H53" s="12"/>
      <c r="I53" s="17"/>
      <c r="K53" s="7"/>
    </row>
    <row r="54" spans="1:11">
      <c r="A54" t="s">
        <v>8</v>
      </c>
      <c r="B54" s="18" t="s">
        <v>9</v>
      </c>
      <c r="C54" t="s">
        <v>2</v>
      </c>
      <c r="D54" t="s">
        <v>6</v>
      </c>
      <c r="E54" t="s">
        <v>5</v>
      </c>
      <c r="F54" t="s">
        <v>4</v>
      </c>
      <c r="G54" t="s">
        <v>10</v>
      </c>
      <c r="H54" s="19" t="s">
        <v>11</v>
      </c>
      <c r="I54" s="3"/>
      <c r="J54" s="1"/>
      <c r="K54" s="7"/>
    </row>
    <row r="55" spans="1:11">
      <c r="A55" s="18" t="s">
        <v>30</v>
      </c>
      <c r="B55" s="18">
        <v>1</v>
      </c>
      <c r="C55" t="str">
        <f>B51</f>
        <v>FR</v>
      </c>
      <c r="D55" t="s">
        <v>19</v>
      </c>
      <c r="E55" t="s">
        <v>18</v>
      </c>
      <c r="F55" t="s">
        <v>31</v>
      </c>
      <c r="G55" s="12"/>
      <c r="H55" s="17"/>
      <c r="I55" s="3"/>
      <c r="K55" s="7"/>
    </row>
    <row r="56" spans="1:11">
      <c r="A56" s="18" t="s">
        <v>32</v>
      </c>
      <c r="B56" s="18">
        <f>1/30000*2</f>
        <v>6.666666666666667E-5</v>
      </c>
      <c r="C56" t="s">
        <v>27</v>
      </c>
      <c r="D56" t="s">
        <v>6</v>
      </c>
      <c r="E56" t="s">
        <v>12</v>
      </c>
      <c r="F56" t="s">
        <v>33</v>
      </c>
      <c r="G56" s="12"/>
      <c r="H56" s="17"/>
      <c r="I56" s="3"/>
      <c r="K56" s="7"/>
    </row>
    <row r="57" spans="1:11" ht="15.75">
      <c r="A57" s="27" t="s">
        <v>73</v>
      </c>
      <c r="B57" s="18">
        <f>3.6/0.5/120</f>
        <v>6.0000000000000005E-2</v>
      </c>
      <c r="C57" t="s">
        <v>29</v>
      </c>
      <c r="D57" t="s">
        <v>13</v>
      </c>
      <c r="E57" t="s">
        <v>12</v>
      </c>
      <c r="F57" s="26" t="s">
        <v>57</v>
      </c>
      <c r="H57" s="12"/>
      <c r="I57" s="17"/>
      <c r="K57" s="7"/>
    </row>
  </sheetData>
  <pageMargins left="0.7" right="0.7" top="0.75" bottom="0.75" header="0.3" footer="0.3"/>
</worksheet>
</file>

<file path=docMetadata/LabelInfo.xml><?xml version="1.0" encoding="utf-8"?>
<clbl:labelList xmlns:clbl="http://schemas.microsoft.com/office/2020/mipLabelMetadata">
  <clbl:label id="{0a9b9e15-83d2-4075-9282-a04e05c6580a}" enabled="1" method="Standard" siteId="{24139d14-c62c-4c47-8bdd-ce71ea1d50cf}"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lci</vt:lpstr>
      <vt:lpstr>Feuil1</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Terlouw Tom Mike</dc:creator>
  <cp:lastModifiedBy>PUIG-SAMPER Gonzalo (ENGIE SA)</cp:lastModifiedBy>
  <dcterms:created xsi:type="dcterms:W3CDTF">2020-12-17T11:52:00Z</dcterms:created>
  <dcterms:modified xsi:type="dcterms:W3CDTF">2025-07-07T07:51:49Z</dcterms:modified>
</cp:coreProperties>
</file>