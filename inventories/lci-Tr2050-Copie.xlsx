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409" documentId="13_ncr:1_{6A9A1C53-53B4-4DAF-B82F-70FF83AECA95}" xr6:coauthVersionLast="47" xr6:coauthVersionMax="47" xr10:uidLastSave="{301C550D-A113-4C7A-AF75-8514A9FBF668}"/>
  <bookViews>
    <workbookView xWindow="-120" yWindow="-120" windowWidth="29040" windowHeight="15720"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66" i="1" l="1"/>
  <c r="B454" i="1" l="1"/>
  <c r="B453" i="1"/>
  <c r="B449" i="1"/>
  <c r="B448" i="1"/>
  <c r="B447" i="1"/>
  <c r="B445" i="1"/>
  <c r="B441" i="1"/>
  <c r="B437" i="1"/>
  <c r="B436" i="1"/>
  <c r="B426" i="1"/>
  <c r="G178" i="1"/>
  <c r="D178" i="1"/>
  <c r="A178" i="1"/>
  <c r="C33" i="1" l="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<sst xmlns="http://schemas.openxmlformats.org/spreadsheetml/2006/main" count="3849" uniqueCount="458">
  <si>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</si>
  <si>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</si>
  <si>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</si>
  <si>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</si>
  <si>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</si>
  <si>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</si>
  <si>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</si>
  <si>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</si>
  <si>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</si>
  <si>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</si>
  <si>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</si>
  <si>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</si>
  <si>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</si>
  <si>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</si>
  <si>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</si>
  <si>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</si>
  <si>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</si>
  <si>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</si>
  <si>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</si>
  <si>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</si>
  <si>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</si>
  <si>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</si>
  <si>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</si>
  <si>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</si>
  <si>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</si>
  <si>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</si>
  <si>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</si>
  <si>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</si>
  <si>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</si>
  <si>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</si>
  <si>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</si>
  <si>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</si>
  <si>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</si>
  <si>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</si>
  <si>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</si>
  <si>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</si>
  <si>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</si>
  <si>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</si>
  <si>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</si>
  <si>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</si>
  <si>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</si>
  <si>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</si>
  <si>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</si>
  <si>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</si>
  <si>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</si>
  <si>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</si>
  <si>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</si>
  <si>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</si>
  <si>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</si>
  <si>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</si>
  <si>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</si>
  <si>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</si>
  <si>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</si>
  <si>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</si>
  <si>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</si>
  <si>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</si>
  <si>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</si>
  <si>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</si>
  <si>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</si>
  <si>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</si>
  <si>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</si>
  <si>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</si>
  <si>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</si>
  <si>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</si>
  <si>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</si>
  <si>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</si>
  <si>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</si>
  <si>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</si>
  <si>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</si>
  <si>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</si>
  <si>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</si>
  <si>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</si>
  <si>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</si>
  <si>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</si>
  <si>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</si>
  <si>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</si>
  <si>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</si>
  <si>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</si>
  <si>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</si>
  <si>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</si>
  <si>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</si>
  <si>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</si>
  <si>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</si>
  <si>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</si>
  <si>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</si>
  <si>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</si>
  <si>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</si>
  <si>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</si>
  <si>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</si>
  <si>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</si>
  <si>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</si>
  <si>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</si>
  <si>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</si>
  <si>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</si>
  <si>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</si>
  <si>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</si>
  <si>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</si>
  <si>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</si>
  <si>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</si>
  <si>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</si>
  <si>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</si>
  <si>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</si>
  <si>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</si>
  <si>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</si>
  <si>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</si>
  <si>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</si>
  <si>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</si>
  <si>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</si>
  <si>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</si>
  <si>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</si>
  <si>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</si>
  <si>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</si>
  <si>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</si>
  <si>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</si>
  <si>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</si>
  <si>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</si>
  <si>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</si>
  <si>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</si>
  <si>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</si>
  <si>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</si>
  <si>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</si>
  <si>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</si>
  <si>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</si>
  <si>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</si>
  <si>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</si>
  <si>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</si>
  <si>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</si>
  <si>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</si>
  <si>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</si>
  <si>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</si>
  <si>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</si>
  <si>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</si>
  <si>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</si>
  <si>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</si>
  <si>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</si>
  <si>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</si>
  <si>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</si>
  <si>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</si>
  <si>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</si>
  <si>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</si>
  <si>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</si>
  <si>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</si>
  <si>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</si>
  <si>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</si>
  <si>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</si>
  <si>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</si>
  <si>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</si>
  <si>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</si>
  <si>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</si>
  <si>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</si>
  <si>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</si>
  <si>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</si>
  <si>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</si>
  <si>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</si>
  <si>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</si>
  <si>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</si>
  <si>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</si>
  <si>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</si>
  <si>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</si>
  <si>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</si>
  <si>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</si>
  <si>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</si>
  <si>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</si>
  <si>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</si>
  <si>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</si>
  <si>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</si>
  <si>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</si>
  <si>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</si>
  <si>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</si>
  <si>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</si>
  <si>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</si>
  <si>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</si>
  <si>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</si>
  <si>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</si>
  <si>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</si>
  <si>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</si>
  <si>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</si>
  <si>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</si>
  <si>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</si>
  <si>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</si>
  <si>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</si>
  <si>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</si>
  <si>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</si>
  <si>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</si>
  <si>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</si>
  <si>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</si>
  <si>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</si>
  <si>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</si>
  <si>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</si>
  <si>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</si>
  <si>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</si>
  <si>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</si>
  <si>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</si>
  <si>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</si>
  <si>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</si>
  <si>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</si>
  <si>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This is the activity for the production of biogas by anaerobic digestion of biowaste (food and green waste). Biogas is a by-product of the main activity (biowaste treatment) and comes free of burdens. The inventory includes the corresponding CO2 removed from the atmosphere during biomass growth and contained in the biogas. This ensures the carbon neutrality of the biogas supply chain from cradle to grave</t>
  </si>
  <si>
    <t>biogas</t>
  </si>
  <si>
    <t>biogas_inventories</t>
  </si>
  <si>
    <t>Carbon dioxide, in air</t>
  </si>
  <si>
    <t>natural resource::in air</t>
  </si>
  <si>
    <t>mass of carbon (as CO2) contained in the biogas that has been removed from the atmosphere during biomass growth</t>
  </si>
  <si>
    <t>treatment of industrial wastewater by anaerobic digestion, cut-off with biogenic carbon uptake</t>
  </si>
  <si>
    <t>This is the activity for the production of biogas by anaerobic digestion of industrial wastewater. Biogas is a by-product of the main activity (wastewater treatment) and comes free of burdens. The inventory includes the corresponding CO2 removed from the atmosphere during biomass growth and contained in the biogas. This ensures the carbon neutrality of the biogas supply chain from cradle to grave</t>
  </si>
  <si>
    <t>treatment of sewage sludge by anaerobic digestion, cut-off with biogenic carbon uptake</t>
  </si>
  <si>
    <t>This is the activity for the production of biogas by anaerobic digestion of sewage sludge. Biogas is a by-product of the main activity (sewage sludge treatment) and comes free of burdens. The inventory includes the corresponding CO2 removed from the atmosphere during biomass growth and contained in the biogas. This ensures the carbon neutrality of the biogas supply chain from cradle to grave</t>
  </si>
  <si>
    <t>anaerobic digestion of animal manure, with biogenic carbon uptake</t>
  </si>
  <si>
    <t>This is the activity for the production of biogas and digestate by anaerobic digestion of animal manure. Biogas is the single purpose of this process and, therefore, all the environmental burdens of waste treatment are allocated to the biogas (i.e., digestate leaves the process free of burdens). Manure is transported over a short distance from the farm to the biogas plant. Heat demand is satisfied internaly through the combustion of biogas in a boiler. Emissions include leakage emissions and emissions from the combustion of biogas in a boiler and in flaring. The inventory includes the corresponding CO2 removed from the atmosphere during biomass growth and contained in the biogas. This ensures the carbon neutrality of the biogas supply chain from cradle to grave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</si>
  <si>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</si>
  <si>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</si>
  <si>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</si>
  <si>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</si>
  <si>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</si>
  <si>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</si>
  <si>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</si>
  <si>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</si>
  <si>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</si>
  <si>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</si>
  <si>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</si>
  <si>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</si>
  <si>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</si>
  <si>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</si>
  <si>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</si>
  <si>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</si>
  <si>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</si>
  <si>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This is the activity for the production of biogas and digestate by anaerobic digestion of agricultural residues. Biogas is the single purpose of this process and, therefore, all the environmental burdens of waste treatment are allocated to the biogas (i.e., digestate leaves the process free of burdens). Crop residues were assumed to come free of burdens (collection and transportation were included). The inventory includes the corresponding CO2 removed from the atmosphere during biomass growth and contained in the biogas. This ensures the carbon neutrality of the biogas supply chain from cradle to grave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</si>
  <si>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</si>
  <si>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</si>
  <si>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</si>
  <si>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</si>
  <si>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</si>
  <si>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This is the activity for the production of biogas and digestate by anaerobic digestion of sequential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</si>
  <si>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oat forage production, sequential crop for anaerobic digestion</t>
  </si>
  <si>
    <t>oat forage, sequential crop</t>
  </si>
  <si>
    <t>anaerobic digestion of dedicated crops, with biogenic carbon uptake</t>
  </si>
  <si>
    <t>This is the activity for the production of biogas and digestate by anaerobic digestion of dedicated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</si>
  <si>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dedicated crops collection</t>
  </si>
  <si>
    <t>dedicated crops</t>
  </si>
  <si>
    <t>anaerobic digestion of grass and pastures, with biogenic carbon uptake</t>
  </si>
  <si>
    <t>grass collection</t>
  </si>
  <si>
    <t>grass</t>
  </si>
  <si>
    <t>This is the activity for the collection and supply of animal manure. Animal manure is transported over a short distance to the anaerobic digestion plant. Note that the inventory does not include the CO2 removed from the atmosphere during biomass growth since this CO2 is included in the anaerobic digestion inventory</t>
  </si>
  <si>
    <t>market for transport, freight, lorry, unspecified</t>
  </si>
  <si>
    <t>transport, freight, lorry, unspecified</t>
  </si>
  <si>
    <t>ton kilometer</t>
  </si>
  <si>
    <t xml:space="preserve">grass </t>
  </si>
  <si>
    <t>This is the activity for the collection and supply of agricultural residues. Agricultural residues are transported over a short distance to the anaerobic digestion plant. Note that the inventory does not include the CO2 removed from the atmosphere during biomass growth since this CO2 is included in the anaerobic digestion inventory</t>
  </si>
  <si>
    <t>This is the activity for the production of oat forage as sequential crop to be used in anaerobic digestion. Inventory based on Lodato et al. (2022) with a crop yield of 20,000 kg wet mass per ha. Crops are transported over a short distance to the anaerobic digestion plant. Note that the inventory does not include the CO2 removed from the atmosphere during biomass growth since this CO2 is included in the anaerobic digestion inventory</t>
  </si>
  <si>
    <t>Lodato et al. (2022). Towards sustainable methane supply from local bioresources: Anaerobic digestion, gasification, and gas upgrading. Applied Energy 323 (2022) 119568; Vassilev et al. (2010). An overview of the chemical composition of biomass. Fuel 89 (2010) 913–933</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</si>
  <si>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</si>
  <si>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</si>
  <si>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</si>
  <si>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</si>
  <si>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</si>
  <si>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</si>
  <si>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</si>
  <si>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</si>
  <si>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</si>
  <si>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</si>
  <si>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</si>
  <si>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</si>
  <si>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</si>
  <si>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</si>
  <si>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</si>
  <si>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</si>
  <si>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</si>
  <si>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</si>
  <si>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</si>
  <si>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</si>
  <si>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market for biogas to biomethane, Tr2050</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</si>
  <si>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</si>
  <si>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</si>
  <si>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</si>
  <si>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</si>
  <si>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</si>
  <si>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</si>
  <si>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</si>
  <si>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</si>
  <si>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</si>
  <si>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</si>
  <si>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</si>
  <si>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</si>
  <si>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</si>
  <si>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</si>
  <si>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</si>
  <si>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</si>
  <si>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</si>
  <si>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</si>
  <si>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</si>
  <si>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</si>
  <si>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</si>
  <si>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</si>
  <si>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</si>
  <si>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</si>
  <si>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</si>
  <si>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This is the activity for the collection and supply of biowaste. The inventory includes a shreeding activity based on the inventory provided in Agribalyse for France.</t>
  </si>
  <si>
    <t>Shreeding operation based on inventory provided by Agribalyse</t>
  </si>
  <si>
    <t>Distance considered by Agribalyse</t>
  </si>
  <si>
    <t>Istrate et al. (2025) and Mano Esteves et al. (2019)</t>
  </si>
  <si>
    <t>This is the activity for the collection and supply of animal manure. Animal manure is transported over a short distance to the anaerobic digestion plant. No pretreatment is considered based on Mano Esteves et al. (2019)</t>
  </si>
  <si>
    <t>Atrazine</t>
  </si>
  <si>
    <t>soil::agricultural</t>
  </si>
  <si>
    <t>water::surface water</t>
  </si>
  <si>
    <t>Energy, gross calorific value, in biomass</t>
  </si>
  <si>
    <t>natural resource::biotic</t>
  </si>
  <si>
    <t>Glyphosate</t>
  </si>
  <si>
    <t>Metolachlor</t>
  </si>
  <si>
    <t>Occupation, annual crop, non-irrigated, intensive</t>
  </si>
  <si>
    <t>Phosphate</t>
  </si>
  <si>
    <t>Phosphorus</t>
  </si>
  <si>
    <t>Transformation, to annual crop, non-irrigated, intensive</t>
  </si>
  <si>
    <t>market for inorganic phosphorus fertiliser, as P2O5</t>
  </si>
  <si>
    <t>inorganic phosphorus fertiliser, as P2O5</t>
  </si>
  <si>
    <t>market for pesticide, unspecified</t>
  </si>
  <si>
    <t>pesticide, unspecified</t>
  </si>
  <si>
    <t>oat forage production and collection, sequential crop for anaerobic digestion</t>
  </si>
  <si>
    <t>INRAE Transfert (2021)</t>
  </si>
  <si>
    <t>corn, harvested, at ethanol plant</t>
  </si>
  <si>
    <t>LHV [MJ/kg dry]</t>
  </si>
  <si>
    <t>Moisture content [% wt]</t>
  </si>
  <si>
    <t>Francesco TH::BioEthanol::corn to EtOH</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</si>
  <si>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</si>
  <si>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</si>
  <si>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</si>
  <si>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Materials/fuels</t>
  </si>
  <si>
    <t>49 kg per ha per yearFaostat data accessed in October 2016</t>
  </si>
  <si>
    <t>maize seed, for sowing</t>
  </si>
  <si>
    <t>market for natural gas, medium pressure, vehicle grade</t>
  </si>
  <si>
    <t>DryingDrying data calculated in CAPRI by Markus Kempen of Bonn University, October 2016 Kraus, K.; Niklas, G.; Tappe, M.; Umweltbundesamt (UBA), Deutschland: Aktuelle Bewertung des Einsatzes von RapsÃ¶l/RME im Vergleich zu DK; Texte79/99; ISSN 0722-186X</t>
  </si>
  <si>
    <t>natural gas, medium pressure, vehicle grade</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</si>
  <si>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</si>
  <si>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7 kg per ha per yearCAPRI database, Energy use data extracted by Markus Kempen of Bonn University, March 2012, converted to JEC format</t>
  </si>
  <si>
    <t>market for bipyridylium-compound</t>
  </si>
  <si>
    <t>herbicide. From RED II.</t>
  </si>
  <si>
    <t>bipyridylium-compound</t>
  </si>
  <si>
    <t>4.1 kg P / ton wet biomassInternational fertilizer Association: fertilizer use by crop http://www.fertilizer.org/ifa/Home-Page/STATISTICS acessed 2013</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</si>
  <si>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</si>
  <si>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</si>
  <si>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</si>
  <si>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</si>
  <si>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</si>
  <si>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</si>
  <si>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</si>
  <si>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</si>
  <si>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</si>
  <si>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Electricity/heat</t>
  </si>
  <si>
    <t>Handling &amp; StorageKaltschmitt, M.; Reinhardt, G., A.: Nachwachsende EnergietrÃ¤ger: Grundlagen, Verfahren, Ã¶kologische Bilanzierung; Vieweg 1997; ISBN 3-528-06778-0</t>
  </si>
  <si>
    <t>market group for light fuel oil</t>
  </si>
  <si>
    <t>light fuel oil</t>
  </si>
  <si>
    <t>To account for primary energy in oil</t>
  </si>
  <si>
    <t>Based on an annual production of 7.129 t/ha. Assumes 1-year rotation.</t>
  </si>
  <si>
    <t>Transformation, from annual crop, non-irrigated</t>
  </si>
  <si>
    <t>Based on an annual production of 7.129 t/ha</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</si>
  <si>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</si>
  <si>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</si>
  <si>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</si>
  <si>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</si>
  <si>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</si>
  <si>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</si>
  <si>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</si>
  <si>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</si>
  <si>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</si>
  <si>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</si>
  <si>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</si>
  <si>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</si>
  <si>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</si>
  <si>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</si>
  <si>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</si>
  <si>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</si>
  <si>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</si>
  <si>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</si>
  <si>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</si>
  <si>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</si>
  <si>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</si>
  <si>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</si>
  <si>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</si>
  <si>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</si>
  <si>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</si>
  <si>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</si>
  <si>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</si>
  <si>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Dimethenamid</t>
  </si>
  <si>
    <t>Simazine</t>
  </si>
  <si>
    <t>Dicamba</t>
  </si>
  <si>
    <t>Fipronil</t>
  </si>
  <si>
    <t>Glufosinate</t>
  </si>
  <si>
    <t>Diflufenzopyr-sodium</t>
  </si>
  <si>
    <t>2,4-D</t>
  </si>
  <si>
    <t>Chlorpyrifos</t>
  </si>
  <si>
    <t>Acetochlor</t>
  </si>
  <si>
    <t>Flumetsulam</t>
  </si>
  <si>
    <t>Imazethapyr</t>
  </si>
  <si>
    <t>Isoxaflutole</t>
  </si>
  <si>
    <t>Prosulfuron</t>
  </si>
  <si>
    <t>Cypermethrin</t>
  </si>
  <si>
    <t>Nicosulfuron</t>
  </si>
  <si>
    <t>Primisulfuron</t>
  </si>
  <si>
    <t>Lead</t>
  </si>
  <si>
    <t>Water, unspecified natural origin</t>
  </si>
  <si>
    <t>WF for corn from https://doi.org/10.1016/j.jclepro.2017.02.032</t>
  </si>
  <si>
    <t>Already considered in the biogas production stage</t>
  </si>
  <si>
    <t>Farming of corn</t>
  </si>
  <si>
    <t>Life Cycle Assessment of Biofuels in EU/CH, F. Cozzolini 2018, PSI. Herbicide input from RED II. Taken from additional lci provided by premise</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</si>
  <si>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</si>
  <si>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</si>
  <si>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</si>
  <si>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</si>
  <si>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</si>
  <si>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</si>
  <si>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</si>
  <si>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</si>
  <si>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</si>
  <si>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</si>
  <si>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</si>
  <si>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</si>
  <si>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</si>
  <si>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</si>
  <si>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</si>
  <si>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</si>
  <si>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</si>
  <si>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</si>
  <si>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</si>
  <si>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Material/Fuels/Synthetic/Infrastructure</t>
  </si>
  <si>
    <t>market for steel, chromium steel 18/8, hot rolled</t>
  </si>
  <si>
    <t>steel, chromium steel 18/8, hot rolled</t>
  </si>
  <si>
    <t>market for polyethylene, high density, granulate</t>
  </si>
  <si>
    <t>polyethylene, high density, granulate</t>
  </si>
  <si>
    <t>Life cycle assessment of power-to-gas with biogas as the carbon source, Zhang et al., 2020, Sustainable Energy and Fuels, https://doi.org/10.1039/C9SE00986H</t>
  </si>
  <si>
    <t>market for aluminium alloy, AlMg3</t>
  </si>
  <si>
    <t>aluminium alloy, AlMg3</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</si>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</sst>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E+00"/>
    <numFmt numFmtId="165" formatCode="0.000"/>
    <numFmt numFmtId="166" formatCode="0.0000000000"/>
    <numFmt numFmtId="167" formatCode="0.0000"/>
  </numFmts>
  <fonts count="19">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u/>
      <sz val="11"/>
      <color theme="10"/>
      <name val="Calibri"/>
      <family val="2"/>
      <scheme val="minor"/>
    </font>
    <font>
      <sz val="12"/>
      <color theme="1"/>
      <name val="Calibri"/>
      <family val="2"/>
      <scheme val="minor"/>
    </font>
  </fonts>
  <fills count="7">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0000"/>
        <bgColor indexed="64"/>
      </patternFill>
    </fill>
  </fills>
  <borders count="2">
    <border>
      <left/>
      <right/>
      <top/>
      <bottom/>
      <diagonal/>
    </border>
    <border>
      <left/>
      <right style="thin">
        <color indexed="64"/>
      </right>
      <top/>
      <bottom/>
      <diagonal/>
    </border>
  </borders>
  <cellStyleXfs count="7">
    <xf numFmtId="0" fontId="0" fillId="0" borderId="0"/>
    <xf numFmtId="0" fontId="1" fillId="0" borderId="0"/>
    <xf numFmtId="0" fontId="1" fillId="0" borderId="0"/>
    <xf numFmtId="0" fontId="5" fillId="0" borderId="0"/>
    <xf numFmtId="0" fontId="6" fillId="2" borderId="0" applyNumberFormat="0" applyBorder="0" applyAlignment="0" applyProtection="0"/>
    <xf numFmtId="9" fontId="1" fillId="0" borderId="0" applyFont="0" applyFill="0" applyBorder="0" applyAlignment="0" applyProtection="0"/>
    <xf numFmtId="0" fontId="17" fillId="0" borderId="0" applyNumberFormat="0" applyFill="0" applyBorder="0" applyAlignment="0" applyProtection="0"/>
  </cellStyleXfs>
  <cellXfs count="70">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4" fillId="4" borderId="0" xfId="0" applyFont="1" applyFill="1"/>
    <xf numFmtId="0" fontId="14" fillId="4" borderId="0" xfId="0" applyFont="1" applyFill="1" applyAlignment="1">
      <alignment horizontal="left"/>
    </xf>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165" fontId="14" fillId="0" borderId="0" xfId="1" applyNumberFormat="1" applyFont="1"/>
    <xf numFmtId="0" fontId="16" fillId="0" borderId="0" xfId="0" applyFont="1"/>
    <xf numFmtId="0" fontId="0" fillId="5" borderId="0" xfId="0" applyFill="1"/>
    <xf numFmtId="11" fontId="0" fillId="5" borderId="0" xfId="0" applyNumberFormat="1" applyFill="1"/>
    <xf numFmtId="0" fontId="0" fillId="6" borderId="0" xfId="0" applyFill="1"/>
    <xf numFmtId="166" fontId="0" fillId="0" borderId="0" xfId="0" applyNumberFormat="1"/>
    <xf numFmtId="1" fontId="0" fillId="0" borderId="0" xfId="0" applyNumberFormat="1"/>
    <xf numFmtId="0" fontId="15" fillId="3" borderId="0" xfId="0" applyFont="1" applyFill="1"/>
    <xf numFmtId="11" fontId="0" fillId="0" borderId="0" xfId="0" applyNumberFormat="1" applyAlignment="1">
      <alignment horizontal="left"/>
    </xf>
    <xf numFmtId="0" fontId="18" fillId="0" borderId="0" xfId="0" applyFont="1"/>
    <xf numFmtId="11" fontId="0" fillId="0" borderId="0" xfId="5" applyNumberFormat="1" applyFont="1"/>
    <xf numFmtId="0" fontId="17" fillId="0" borderId="0" xfId="6"/>
    <xf numFmtId="0" fontId="10" fillId="0" borderId="0" xfId="0" applyFont="1"/>
    <xf numFmtId="0" fontId="13" fillId="0" borderId="0" xfId="1" applyFont="1"/>
    <xf numFmtId="165" fontId="14" fillId="0" borderId="0" xfId="0" applyNumberFormat="1" applyFont="1"/>
    <xf numFmtId="165" fontId="0" fillId="0" borderId="0" xfId="0" applyNumberFormat="1"/>
    <xf numFmtId="167" fontId="14" fillId="0" borderId="0" xfId="0" applyNumberFormat="1" applyFont="1"/>
    <xf numFmtId="0" fontId="15" fillId="0" borderId="0" xfId="1" applyFont="1"/>
    <xf numFmtId="11" fontId="14" fillId="0" borderId="0" xfId="0" applyNumberFormat="1" applyFont="1" applyAlignment="1">
      <alignment horizontal="right"/>
    </xf>
  </cellXfs>
  <cellStyles count="7">
    <cellStyle name="Hyperlink" xfId="6" builtinId="8"/>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1016/j.jclepro.2017.02.0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876"/>
  <sheetViews>
    <sheetView tabSelected="1" topLeftCell="A326" zoomScaleNormal="100" workbookViewId="0">
      <selection activeCell="D333" sqref="D333"/>
    </sheetView>
  </sheetViews>
  <sheetFormatPr defaultColWidth="8.85546875" defaultRowHeight="15"/>
  <cols>
    <col min="1" max="1" width="73.140625" customWidth="1"/>
    <col min="2" max="2" width="18.5703125" style="18"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4" t="s">
        <v>0</v>
      </c>
      <c r="B2" s="5" t="s">
        <v>100</v>
      </c>
      <c r="C2" s="6"/>
      <c r="D2" s="6"/>
      <c r="E2" s="6"/>
      <c r="F2" s="6"/>
      <c r="G2" s="6"/>
      <c r="H2" s="6"/>
      <c r="I2" s="6"/>
      <c r="K2" s="7"/>
    </row>
    <row r="3" spans="1:14">
      <c r="A3" s="4"/>
      <c r="B3" s="5"/>
      <c r="C3" s="6"/>
      <c r="D3" s="6"/>
      <c r="E3" s="6"/>
      <c r="F3" s="6"/>
      <c r="G3" s="6"/>
      <c r="H3" s="6"/>
      <c r="I3" s="6"/>
      <c r="K3" s="7"/>
    </row>
    <row r="4" spans="1:14">
      <c r="A4" s="8"/>
      <c r="B4" s="9"/>
      <c r="C4" s="8"/>
      <c r="D4" s="8"/>
      <c r="E4" s="8"/>
      <c r="F4" s="8"/>
      <c r="G4" s="8"/>
      <c r="H4" s="8"/>
      <c r="I4" s="8"/>
      <c r="K4" s="7"/>
    </row>
    <row r="5" spans="1:14" ht="15.75">
      <c r="A5" s="29" t="s">
        <v>1</v>
      </c>
      <c r="B5" s="29" t="s">
        <v>173</v>
      </c>
      <c r="M5" t="s">
        <v>74</v>
      </c>
    </row>
    <row r="6" spans="1:14">
      <c r="A6" t="s">
        <v>2</v>
      </c>
      <c r="B6" t="s">
        <v>29</v>
      </c>
      <c r="M6" t="s">
        <v>74</v>
      </c>
    </row>
    <row r="7" spans="1:14">
      <c r="A7" t="s">
        <v>11</v>
      </c>
      <c r="B7" t="s">
        <v>75</v>
      </c>
    </row>
    <row r="8" spans="1:14">
      <c r="A8" t="s">
        <v>3</v>
      </c>
      <c r="B8">
        <v>1</v>
      </c>
      <c r="M8" t="s">
        <v>74</v>
      </c>
    </row>
    <row r="9" spans="1:14">
      <c r="A9" t="s">
        <v>76</v>
      </c>
      <c r="B9" t="s">
        <v>77</v>
      </c>
    </row>
    <row r="10" spans="1:14">
      <c r="A10" t="s">
        <v>4</v>
      </c>
      <c r="B10" t="s">
        <v>31</v>
      </c>
      <c r="M10" t="s">
        <v>74</v>
      </c>
    </row>
    <row r="11" spans="1:14">
      <c r="A11" t="s">
        <v>5</v>
      </c>
      <c r="B11" t="s">
        <v>78</v>
      </c>
      <c r="M11" t="s">
        <v>74</v>
      </c>
    </row>
    <row r="12" spans="1:14">
      <c r="A12" t="s">
        <v>6</v>
      </c>
      <c r="B12" t="s">
        <v>19</v>
      </c>
      <c r="M12" t="s">
        <v>74</v>
      </c>
    </row>
    <row r="13" spans="1:14" ht="15.75">
      <c r="A13" s="29" t="s">
        <v>7</v>
      </c>
      <c r="B13"/>
      <c r="M13" t="s">
        <v>74</v>
      </c>
    </row>
    <row r="14" spans="1:14" ht="15.75">
      <c r="A14" s="29" t="s">
        <v>8</v>
      </c>
      <c r="B14" s="29" t="s">
        <v>9</v>
      </c>
      <c r="C14" s="29" t="s">
        <v>2</v>
      </c>
      <c r="D14" s="29" t="s">
        <v>6</v>
      </c>
      <c r="E14" s="29" t="s">
        <v>10</v>
      </c>
      <c r="F14" s="29" t="s">
        <v>5</v>
      </c>
      <c r="G14" s="29" t="s">
        <v>4</v>
      </c>
      <c r="H14" s="29" t="s">
        <v>11</v>
      </c>
      <c r="I14" s="63"/>
    </row>
    <row r="15" spans="1:14">
      <c r="A15" t="str">
        <f>B5</f>
        <v>electricity supply, high voltage, from vanadium-redox flow battery system, Tr2050</v>
      </c>
      <c r="B15">
        <v>1</v>
      </c>
      <c r="C15" t="s">
        <v>29</v>
      </c>
      <c r="D15" t="str">
        <f>B12</f>
        <v>kilowatt hour</v>
      </c>
      <c r="F15" t="s">
        <v>18</v>
      </c>
      <c r="G15" t="str">
        <f>B10</f>
        <v>electricity, high voltage</v>
      </c>
      <c r="I15" s="7"/>
      <c r="J15" s="7"/>
      <c r="K15" s="7"/>
      <c r="L15" s="7"/>
      <c r="M15" s="7"/>
      <c r="N15" s="7"/>
    </row>
    <row r="16" spans="1:14">
      <c r="A16" t="s">
        <v>98</v>
      </c>
      <c r="B16">
        <v>1.33</v>
      </c>
      <c r="C16" t="s">
        <v>29</v>
      </c>
      <c r="D16" t="s">
        <v>19</v>
      </c>
      <c r="F16" t="s">
        <v>12</v>
      </c>
      <c r="G16" t="s">
        <v>31</v>
      </c>
      <c r="H16" t="s">
        <v>79</v>
      </c>
      <c r="I16" s="7"/>
      <c r="J16" s="7"/>
      <c r="K16" s="7"/>
      <c r="L16" s="7"/>
      <c r="M16" s="7"/>
      <c r="N16" s="7"/>
    </row>
    <row r="17" spans="1:11">
      <c r="A17" t="s">
        <v>80</v>
      </c>
      <c r="B17" s="32">
        <f>1/(49000000)</f>
        <v>2.0408163265306123E-8</v>
      </c>
      <c r="C17" t="s">
        <v>49</v>
      </c>
      <c r="D17" t="s">
        <v>6</v>
      </c>
      <c r="F17" t="s">
        <v>12</v>
      </c>
      <c r="G17" t="s">
        <v>81</v>
      </c>
      <c r="H17" t="s">
        <v>82</v>
      </c>
    </row>
    <row r="18" spans="1:11">
      <c r="A18" t="s">
        <v>83</v>
      </c>
      <c r="B18" s="32">
        <f>1/(49000000)</f>
        <v>2.0408163265306123E-8</v>
      </c>
      <c r="C18" t="s">
        <v>49</v>
      </c>
      <c r="D18" t="s">
        <v>6</v>
      </c>
      <c r="F18" t="s">
        <v>12</v>
      </c>
      <c r="G18" t="s">
        <v>84</v>
      </c>
      <c r="H18" t="s">
        <v>85</v>
      </c>
    </row>
    <row r="19" spans="1:11">
      <c r="A19" t="s">
        <v>86</v>
      </c>
      <c r="B19" s="32">
        <f>-0.41/1000</f>
        <v>-4.0999999999999999E-4</v>
      </c>
      <c r="C19" t="s">
        <v>49</v>
      </c>
      <c r="D19" t="s">
        <v>13</v>
      </c>
      <c r="F19" t="s">
        <v>12</v>
      </c>
      <c r="G19" t="s">
        <v>87</v>
      </c>
      <c r="H19" t="s">
        <v>88</v>
      </c>
    </row>
    <row r="20" spans="1:11">
      <c r="A20" t="s">
        <v>89</v>
      </c>
      <c r="B20">
        <f>-0.66/1000</f>
        <v>-6.6E-4</v>
      </c>
      <c r="C20" t="s">
        <v>49</v>
      </c>
      <c r="D20" t="s">
        <v>13</v>
      </c>
      <c r="F20" t="s">
        <v>12</v>
      </c>
      <c r="G20" t="s">
        <v>90</v>
      </c>
      <c r="H20" t="s">
        <v>91</v>
      </c>
    </row>
    <row r="21" spans="1:11">
      <c r="A21" t="s">
        <v>92</v>
      </c>
      <c r="B21">
        <f>-5.55/1000</f>
        <v>-5.5500000000000002E-3</v>
      </c>
      <c r="C21" t="s">
        <v>49</v>
      </c>
      <c r="D21" t="s">
        <v>13</v>
      </c>
      <c r="F21" t="s">
        <v>12</v>
      </c>
      <c r="G21" t="s">
        <v>93</v>
      </c>
      <c r="H21" t="s">
        <v>94</v>
      </c>
    </row>
    <row r="22" spans="1:11">
      <c r="A22" t="s">
        <v>95</v>
      </c>
      <c r="B22">
        <f>-0.1/1000</f>
        <v>-1E-4</v>
      </c>
      <c r="C22" t="s">
        <v>49</v>
      </c>
      <c r="D22" t="s">
        <v>13</v>
      </c>
      <c r="F22" t="s">
        <v>12</v>
      </c>
      <c r="G22" t="s">
        <v>96</v>
      </c>
      <c r="H22" t="s">
        <v>97</v>
      </c>
    </row>
    <row r="23" spans="1:11">
      <c r="B23"/>
    </row>
    <row r="24" spans="1:11">
      <c r="B24"/>
    </row>
    <row r="25" spans="1:11">
      <c r="A25" s="4" t="s">
        <v>1</v>
      </c>
      <c r="B25" s="37" t="s">
        <v>194</v>
      </c>
      <c r="C25" s="12"/>
      <c r="D25" s="8"/>
      <c r="E25" s="8"/>
      <c r="F25" s="8"/>
      <c r="G25" s="8"/>
      <c r="H25" s="8"/>
      <c r="I25" s="8"/>
      <c r="K25" s="7"/>
    </row>
    <row r="26" spans="1:11">
      <c r="A26" s="6" t="s">
        <v>3</v>
      </c>
      <c r="B26" s="13">
        <v>1</v>
      </c>
      <c r="C26" s="8"/>
      <c r="D26" s="8"/>
      <c r="E26" s="8"/>
      <c r="F26" s="8"/>
      <c r="G26" s="8"/>
      <c r="H26" s="8"/>
      <c r="I26" s="8"/>
      <c r="K26" s="7"/>
    </row>
    <row r="27" spans="1:11">
      <c r="A27" s="6" t="s">
        <v>11</v>
      </c>
      <c r="B27" s="14" t="s">
        <v>177</v>
      </c>
      <c r="C27" s="8"/>
      <c r="D27" s="8"/>
      <c r="E27" s="8"/>
      <c r="F27" s="8"/>
      <c r="G27" s="8"/>
      <c r="H27" s="8"/>
      <c r="I27" s="8"/>
      <c r="K27" s="7"/>
    </row>
    <row r="28" spans="1:11">
      <c r="A28" s="6" t="s">
        <v>4</v>
      </c>
      <c r="B28" t="s">
        <v>31</v>
      </c>
      <c r="C28" s="8"/>
      <c r="D28" s="8"/>
      <c r="E28" s="8"/>
      <c r="F28" s="8"/>
      <c r="G28" s="8"/>
      <c r="H28" s="8"/>
      <c r="I28" s="8"/>
      <c r="K28" s="7"/>
    </row>
    <row r="29" spans="1:11">
      <c r="A29" s="6" t="s">
        <v>2</v>
      </c>
      <c r="B29" s="14" t="s">
        <v>29</v>
      </c>
      <c r="C29" s="8"/>
      <c r="D29" s="8"/>
      <c r="E29" s="8"/>
      <c r="F29" s="8"/>
      <c r="G29" s="8"/>
      <c r="H29" s="8"/>
      <c r="I29" s="8"/>
      <c r="K29" s="7"/>
    </row>
    <row r="30" spans="1:11">
      <c r="A30" s="6" t="s">
        <v>6</v>
      </c>
      <c r="B30" s="9" t="s">
        <v>19</v>
      </c>
      <c r="C30" s="8"/>
      <c r="D30" s="8"/>
      <c r="E30" s="8"/>
      <c r="F30" s="8"/>
      <c r="G30" s="8"/>
      <c r="H30" s="15"/>
      <c r="I30" s="15"/>
      <c r="K30" s="7"/>
    </row>
    <row r="31" spans="1:11">
      <c r="A31" s="15" t="s">
        <v>7</v>
      </c>
      <c r="B31" s="11"/>
      <c r="C31" s="15"/>
      <c r="D31" s="15"/>
      <c r="E31" s="15"/>
      <c r="F31" s="15"/>
      <c r="G31" s="15"/>
      <c r="H31" s="12"/>
      <c r="I31" s="12"/>
      <c r="K31" s="7"/>
    </row>
    <row r="32" spans="1:11">
      <c r="A32" t="s">
        <v>8</v>
      </c>
      <c r="B32" s="18" t="s">
        <v>9</v>
      </c>
      <c r="C32" t="s">
        <v>2</v>
      </c>
      <c r="D32" t="s">
        <v>6</v>
      </c>
      <c r="E32" t="s">
        <v>5</v>
      </c>
      <c r="F32" t="s">
        <v>4</v>
      </c>
      <c r="G32" t="s">
        <v>10</v>
      </c>
      <c r="H32" s="1" t="s">
        <v>11</v>
      </c>
      <c r="J32" s="1"/>
      <c r="K32" s="7"/>
    </row>
    <row r="33" spans="1:11">
      <c r="A33" s="18" t="s">
        <v>194</v>
      </c>
      <c r="B33" s="18">
        <v>1</v>
      </c>
      <c r="C33" t="str">
        <f>B29</f>
        <v>FR</v>
      </c>
      <c r="D33" s="9" t="s">
        <v>19</v>
      </c>
      <c r="E33" t="s">
        <v>18</v>
      </c>
      <c r="F33" t="s">
        <v>31</v>
      </c>
      <c r="G33" s="12"/>
      <c r="H33" s="12"/>
      <c r="K33" s="7"/>
    </row>
    <row r="34" spans="1:11">
      <c r="A34" t="s">
        <v>178</v>
      </c>
      <c r="B34" s="18">
        <v>4.0404040404040398E-13</v>
      </c>
      <c r="C34" t="s">
        <v>49</v>
      </c>
      <c r="D34" t="s">
        <v>6</v>
      </c>
      <c r="E34" t="s">
        <v>12</v>
      </c>
      <c r="F34" t="s">
        <v>179</v>
      </c>
    </row>
    <row r="35" spans="1:11">
      <c r="A35" t="s">
        <v>180</v>
      </c>
      <c r="B35" s="18">
        <v>7.5599999999999996E-6</v>
      </c>
      <c r="C35" t="s">
        <v>49</v>
      </c>
      <c r="D35" t="s">
        <v>13</v>
      </c>
      <c r="E35" t="s">
        <v>12</v>
      </c>
      <c r="F35" t="s">
        <v>181</v>
      </c>
    </row>
    <row r="36" spans="1:11">
      <c r="A36" t="s">
        <v>182</v>
      </c>
      <c r="B36" s="18">
        <v>-7.5599999999999996E-6</v>
      </c>
      <c r="C36" t="s">
        <v>22</v>
      </c>
      <c r="D36" t="s">
        <v>13</v>
      </c>
      <c r="E36" t="s">
        <v>12</v>
      </c>
      <c r="F36" t="s">
        <v>183</v>
      </c>
    </row>
    <row r="37" spans="1:11">
      <c r="A37" t="s">
        <v>98</v>
      </c>
      <c r="B37" s="18">
        <v>1.25125</v>
      </c>
      <c r="C37" s="38" t="s">
        <v>29</v>
      </c>
      <c r="D37" t="s">
        <v>19</v>
      </c>
      <c r="E37" t="s">
        <v>12</v>
      </c>
      <c r="F37" t="s">
        <v>31</v>
      </c>
    </row>
    <row r="38" spans="1:11">
      <c r="A38" t="s">
        <v>115</v>
      </c>
      <c r="B38" s="18">
        <v>7.7000000000000001E-8</v>
      </c>
      <c r="D38" t="s">
        <v>13</v>
      </c>
      <c r="E38" t="s">
        <v>15</v>
      </c>
      <c r="G38" t="s">
        <v>184</v>
      </c>
    </row>
    <row r="39" spans="1:11">
      <c r="A39" t="s">
        <v>185</v>
      </c>
      <c r="B39" s="18">
        <v>1.4E-5</v>
      </c>
      <c r="D39" t="s">
        <v>13</v>
      </c>
      <c r="E39" t="s">
        <v>15</v>
      </c>
      <c r="G39" t="s">
        <v>184</v>
      </c>
    </row>
    <row r="40" spans="1:11">
      <c r="A40" t="s">
        <v>130</v>
      </c>
      <c r="B40" s="18">
        <v>2.49876858810916E-4</v>
      </c>
      <c r="D40" t="s">
        <v>128</v>
      </c>
      <c r="E40" t="s">
        <v>15</v>
      </c>
      <c r="G40" t="s">
        <v>25</v>
      </c>
    </row>
    <row r="41" spans="1:11">
      <c r="A41" t="s">
        <v>130</v>
      </c>
      <c r="B41" s="18">
        <v>1.1580501231411899</v>
      </c>
      <c r="D41" t="s">
        <v>128</v>
      </c>
      <c r="E41" t="s">
        <v>15</v>
      </c>
      <c r="G41" t="s">
        <v>131</v>
      </c>
    </row>
    <row r="42" spans="1:11">
      <c r="A42" t="s">
        <v>186</v>
      </c>
      <c r="B42" s="18">
        <v>3.4499999999999999E-3</v>
      </c>
      <c r="D42" t="s">
        <v>17</v>
      </c>
      <c r="E42" t="s">
        <v>15</v>
      </c>
      <c r="G42" t="s">
        <v>16</v>
      </c>
    </row>
    <row r="43" spans="1:11">
      <c r="A43" t="s">
        <v>187</v>
      </c>
      <c r="B43" s="18">
        <v>2.3E-5</v>
      </c>
      <c r="D43" t="s">
        <v>188</v>
      </c>
      <c r="E43" t="s">
        <v>15</v>
      </c>
      <c r="G43" t="s">
        <v>16</v>
      </c>
    </row>
    <row r="44" spans="1:11">
      <c r="A44" t="s">
        <v>189</v>
      </c>
      <c r="B44" s="18">
        <v>2.2999999999999999E-7</v>
      </c>
      <c r="D44" t="s">
        <v>188</v>
      </c>
      <c r="E44" t="s">
        <v>15</v>
      </c>
      <c r="G44" t="s">
        <v>16</v>
      </c>
    </row>
    <row r="45" spans="1:11">
      <c r="A45" t="s">
        <v>190</v>
      </c>
      <c r="B45" s="18">
        <v>2.2770000000000001E-5</v>
      </c>
      <c r="D45" t="s">
        <v>188</v>
      </c>
      <c r="E45" t="s">
        <v>15</v>
      </c>
      <c r="G45" t="s">
        <v>16</v>
      </c>
    </row>
    <row r="46" spans="1:11">
      <c r="A46" t="s">
        <v>191</v>
      </c>
      <c r="B46" s="18">
        <v>0.15</v>
      </c>
      <c r="D46" t="s">
        <v>192</v>
      </c>
      <c r="E46" t="s">
        <v>15</v>
      </c>
      <c r="G46" t="s">
        <v>129</v>
      </c>
    </row>
    <row r="47" spans="1:11">
      <c r="A47" t="s">
        <v>193</v>
      </c>
      <c r="B47" s="18">
        <v>1.1583000000000001</v>
      </c>
      <c r="D47" t="s">
        <v>128</v>
      </c>
      <c r="E47" t="s">
        <v>15</v>
      </c>
      <c r="G47" t="s">
        <v>129</v>
      </c>
    </row>
    <row r="48" spans="1:11">
      <c r="B48"/>
    </row>
    <row r="49" spans="1:20">
      <c r="B49"/>
    </row>
    <row r="50" spans="1:20" s="24" customFormat="1" ht="15.75">
      <c r="A50" s="4" t="s">
        <v>1</v>
      </c>
      <c r="B50" s="37" t="s">
        <v>172</v>
      </c>
      <c r="C50" s="4"/>
      <c r="D50" s="37"/>
      <c r="E50" s="4"/>
      <c r="F50" s="37"/>
      <c r="G50" s="4"/>
      <c r="H50" s="37"/>
      <c r="K50" s="25"/>
      <c r="L50" s="25"/>
      <c r="M50" s="25"/>
      <c r="N50" s="25"/>
      <c r="O50" s="25"/>
      <c r="P50" s="25"/>
    </row>
    <row r="51" spans="1:20" s="24" customFormat="1" ht="15.75">
      <c r="A51" s="4" t="s">
        <v>3</v>
      </c>
      <c r="B51">
        <v>1</v>
      </c>
      <c r="C51" s="4"/>
      <c r="D51" s="37"/>
      <c r="E51" s="4"/>
      <c r="F51" s="37"/>
      <c r="G51" s="4"/>
      <c r="H51" s="37"/>
      <c r="K51" s="25"/>
      <c r="L51" s="25"/>
      <c r="M51" s="25"/>
      <c r="N51" s="25"/>
      <c r="O51" s="25"/>
      <c r="P51" s="25"/>
    </row>
    <row r="52" spans="1:20" s="24" customFormat="1" ht="15.75">
      <c r="A52" s="4" t="s">
        <v>11</v>
      </c>
      <c r="B52" t="s">
        <v>56</v>
      </c>
      <c r="C52" s="4"/>
      <c r="D52" s="37"/>
      <c r="E52" s="4"/>
      <c r="F52" s="37"/>
      <c r="G52" s="4"/>
      <c r="H52" s="37"/>
      <c r="K52" s="25"/>
      <c r="L52" s="25"/>
      <c r="M52" s="25"/>
      <c r="N52" s="25"/>
      <c r="O52" s="25"/>
      <c r="P52" s="25"/>
    </row>
    <row r="53" spans="1:20" s="24" customFormat="1" ht="15.75">
      <c r="A53" s="4" t="s">
        <v>4</v>
      </c>
      <c r="B53" t="s">
        <v>57</v>
      </c>
      <c r="C53" s="4"/>
      <c r="D53" s="37"/>
      <c r="E53" s="4"/>
      <c r="F53" s="37"/>
      <c r="G53" s="4"/>
      <c r="H53" s="37"/>
      <c r="K53" s="25"/>
      <c r="L53" s="25"/>
      <c r="M53" s="25"/>
      <c r="N53" s="25"/>
      <c r="O53" s="25"/>
      <c r="P53" s="25"/>
    </row>
    <row r="54" spans="1:20" s="24" customFormat="1" ht="15.75">
      <c r="A54" s="4" t="s">
        <v>2</v>
      </c>
      <c r="B54" t="s">
        <v>29</v>
      </c>
      <c r="C54" s="4"/>
      <c r="D54" s="37"/>
      <c r="E54" s="4"/>
      <c r="F54" s="37"/>
      <c r="G54" s="4"/>
      <c r="H54" s="37"/>
      <c r="K54" s="25"/>
      <c r="L54" s="25"/>
      <c r="M54" s="25"/>
      <c r="N54" s="25"/>
      <c r="O54" s="25"/>
      <c r="P54" s="25"/>
    </row>
    <row r="55" spans="1:20" s="24" customFormat="1" ht="15.75">
      <c r="A55" s="4" t="s">
        <v>6</v>
      </c>
      <c r="B55" t="s">
        <v>13</v>
      </c>
      <c r="C55" s="4"/>
      <c r="D55" s="37"/>
      <c r="E55" s="4"/>
      <c r="F55" s="37"/>
      <c r="G55" s="4"/>
      <c r="H55" s="37"/>
      <c r="I55" s="28"/>
      <c r="J55" s="28"/>
      <c r="K55" s="25"/>
      <c r="L55" s="25"/>
      <c r="M55" s="25"/>
      <c r="N55" s="25"/>
      <c r="O55" s="25"/>
      <c r="P55" s="25"/>
    </row>
    <row r="56" spans="1:20" s="24" customFormat="1" ht="15.75">
      <c r="A56" s="4" t="s">
        <v>7</v>
      </c>
      <c r="B56" s="37"/>
      <c r="C56" s="4"/>
      <c r="D56" s="37"/>
      <c r="E56" s="4"/>
      <c r="F56" s="37"/>
      <c r="G56" s="4"/>
      <c r="H56" s="37"/>
      <c r="I56" s="23"/>
      <c r="J56" s="23"/>
      <c r="K56" s="25"/>
      <c r="L56" s="25"/>
      <c r="M56" s="25"/>
      <c r="N56" s="25"/>
      <c r="O56" s="25"/>
      <c r="P56" s="25"/>
    </row>
    <row r="57" spans="1:20" s="24" customFormat="1" ht="15.75">
      <c r="A57" s="4" t="s">
        <v>8</v>
      </c>
      <c r="B57" s="37" t="s">
        <v>9</v>
      </c>
      <c r="C57" s="4" t="s">
        <v>2</v>
      </c>
      <c r="D57" s="37" t="s">
        <v>6</v>
      </c>
      <c r="E57" s="4" t="s">
        <v>10</v>
      </c>
      <c r="F57" s="37" t="s">
        <v>5</v>
      </c>
      <c r="G57" s="4" t="s">
        <v>4</v>
      </c>
      <c r="H57" s="37" t="s">
        <v>11</v>
      </c>
      <c r="I57" s="28"/>
      <c r="J57" s="29"/>
      <c r="K57" s="30"/>
      <c r="L57" s="30"/>
      <c r="M57" s="30"/>
      <c r="N57" s="30"/>
      <c r="O57" s="30"/>
      <c r="P57" s="30"/>
      <c r="Q57" s="29"/>
      <c r="R57" s="29"/>
      <c r="S57" s="28"/>
      <c r="T57" s="29"/>
    </row>
    <row r="58" spans="1:20" s="24" customFormat="1" ht="15.75">
      <c r="A58" t="s">
        <v>73</v>
      </c>
      <c r="B58">
        <v>1</v>
      </c>
      <c r="C58" t="str">
        <f>B54</f>
        <v>FR</v>
      </c>
      <c r="D58" t="str">
        <f>B55</f>
        <v>kilogram</v>
      </c>
      <c r="E58"/>
      <c r="F58" t="s">
        <v>18</v>
      </c>
      <c r="G58" t="s">
        <v>57</v>
      </c>
      <c r="H58"/>
      <c r="I58" s="23"/>
      <c r="K58" s="25"/>
      <c r="L58" s="25"/>
      <c r="M58" s="25"/>
      <c r="N58" s="25"/>
      <c r="O58" s="25"/>
      <c r="P58" s="25"/>
      <c r="T58"/>
    </row>
    <row r="59" spans="1:20" s="24" customFormat="1" ht="15.75">
      <c r="A59" t="s">
        <v>71</v>
      </c>
      <c r="B59">
        <f>(1/2963200)*4</f>
        <v>1.3498920086393089E-6</v>
      </c>
      <c r="C59" t="s">
        <v>49</v>
      </c>
      <c r="D59" t="s">
        <v>6</v>
      </c>
      <c r="E59"/>
      <c r="F59" t="s">
        <v>12</v>
      </c>
      <c r="G59" t="s">
        <v>58</v>
      </c>
      <c r="H59" t="s">
        <v>59</v>
      </c>
      <c r="J59"/>
      <c r="K59" s="31"/>
      <c r="L59" s="31"/>
      <c r="M59" s="31"/>
      <c r="N59" s="31"/>
      <c r="O59" s="31"/>
      <c r="P59" s="31"/>
      <c r="Q59"/>
      <c r="R59"/>
    </row>
    <row r="60" spans="1:20" s="24" customFormat="1" ht="15.75">
      <c r="A60" t="s">
        <v>72</v>
      </c>
      <c r="B60">
        <f>1/2963200</f>
        <v>3.3747300215982723E-7</v>
      </c>
      <c r="C60" t="s">
        <v>49</v>
      </c>
      <c r="D60" t="s">
        <v>6</v>
      </c>
      <c r="E60"/>
      <c r="F60" t="s">
        <v>12</v>
      </c>
      <c r="G60" t="s">
        <v>60</v>
      </c>
      <c r="H60" t="s">
        <v>61</v>
      </c>
      <c r="J60"/>
      <c r="K60" s="31"/>
      <c r="L60" s="31"/>
      <c r="M60" s="31"/>
      <c r="N60" s="31"/>
      <c r="O60" s="31"/>
      <c r="P60" s="31"/>
      <c r="Q60"/>
      <c r="R60"/>
    </row>
    <row r="61" spans="1:20" s="24" customFormat="1" ht="15.75">
      <c r="A61" t="s">
        <v>62</v>
      </c>
      <c r="B61">
        <f>B59*-1</f>
        <v>-1.3498920086393089E-6</v>
      </c>
      <c r="C61" t="s">
        <v>49</v>
      </c>
      <c r="D61" t="s">
        <v>6</v>
      </c>
      <c r="E61"/>
      <c r="F61" t="s">
        <v>12</v>
      </c>
      <c r="G61" t="s">
        <v>63</v>
      </c>
      <c r="H61" t="s">
        <v>64</v>
      </c>
      <c r="J61"/>
      <c r="K61" s="31"/>
      <c r="L61" s="31"/>
      <c r="M61" s="31"/>
      <c r="N61" s="31"/>
      <c r="O61" s="31"/>
      <c r="P61" s="31"/>
      <c r="Q61"/>
      <c r="R61"/>
    </row>
    <row r="62" spans="1:20" s="24" customFormat="1" ht="15.75">
      <c r="A62" t="s">
        <v>65</v>
      </c>
      <c r="B62">
        <f>-1*B60</f>
        <v>-3.3747300215982723E-7</v>
      </c>
      <c r="C62" t="s">
        <v>49</v>
      </c>
      <c r="D62" t="s">
        <v>6</v>
      </c>
      <c r="E62"/>
      <c r="F62" t="s">
        <v>12</v>
      </c>
      <c r="G62" t="s">
        <v>66</v>
      </c>
      <c r="H62" t="s">
        <v>67</v>
      </c>
      <c r="J62"/>
      <c r="K62" s="31"/>
      <c r="L62" s="31"/>
      <c r="M62" s="31"/>
      <c r="N62" s="31"/>
      <c r="O62" s="31"/>
      <c r="P62" s="31"/>
      <c r="Q62"/>
      <c r="R62"/>
    </row>
    <row r="63" spans="1:20" s="24" customFormat="1" ht="15.75">
      <c r="A63" t="s">
        <v>28</v>
      </c>
      <c r="B63">
        <v>54</v>
      </c>
      <c r="C63" t="s">
        <v>29</v>
      </c>
      <c r="D63" t="s">
        <v>19</v>
      </c>
      <c r="E63"/>
      <c r="F63" t="s">
        <v>12</v>
      </c>
      <c r="G63" t="s">
        <v>20</v>
      </c>
      <c r="H63" t="s">
        <v>68</v>
      </c>
      <c r="J63"/>
      <c r="K63" s="31"/>
      <c r="L63" s="31"/>
      <c r="M63" s="31"/>
      <c r="N63" s="31"/>
      <c r="O63" s="31"/>
      <c r="P63" s="31"/>
      <c r="Q63"/>
      <c r="R63"/>
    </row>
    <row r="64" spans="1:20" s="24" customFormat="1" ht="15.75">
      <c r="A64" t="s">
        <v>21</v>
      </c>
      <c r="B64">
        <v>14</v>
      </c>
      <c r="C64" t="s">
        <v>22</v>
      </c>
      <c r="D64" t="s">
        <v>13</v>
      </c>
      <c r="E64"/>
      <c r="F64" t="s">
        <v>12</v>
      </c>
      <c r="G64" t="s">
        <v>23</v>
      </c>
      <c r="H64" t="s">
        <v>69</v>
      </c>
      <c r="J64"/>
      <c r="K64" s="31"/>
      <c r="L64" s="31"/>
      <c r="M64" s="31"/>
      <c r="N64" s="31"/>
      <c r="O64" s="31"/>
      <c r="P64" s="31"/>
      <c r="Q64"/>
      <c r="R64"/>
    </row>
    <row r="65" spans="1:18" s="24" customFormat="1" ht="15.75">
      <c r="A65" t="s">
        <v>24</v>
      </c>
      <c r="B65">
        <v>8</v>
      </c>
      <c r="C65"/>
      <c r="D65" t="s">
        <v>13</v>
      </c>
      <c r="E65" t="s">
        <v>25</v>
      </c>
      <c r="F65" t="s">
        <v>15</v>
      </c>
      <c r="G65"/>
      <c r="H65"/>
      <c r="J65"/>
      <c r="K65" s="31"/>
      <c r="L65" s="31"/>
      <c r="M65" s="31"/>
      <c r="N65" s="31"/>
      <c r="O65" s="31"/>
      <c r="P65" s="31"/>
      <c r="Q65" s="31"/>
      <c r="R65"/>
    </row>
    <row r="66" spans="1:18" s="24" customFormat="1" ht="15.75">
      <c r="A66" t="s">
        <v>70</v>
      </c>
      <c r="B66">
        <f>(0.09*1000*20)/2963200</f>
        <v>6.0745140388768898E-4</v>
      </c>
      <c r="C66"/>
      <c r="D66" t="s">
        <v>17</v>
      </c>
      <c r="E66" t="s">
        <v>16</v>
      </c>
      <c r="F66" t="s">
        <v>15</v>
      </c>
      <c r="G66">
        <f>120/3.6/0.72</f>
        <v>46.296296296296305</v>
      </c>
      <c r="H66"/>
      <c r="J66"/>
      <c r="K66" s="31"/>
      <c r="L66" s="31"/>
      <c r="M66" s="31"/>
      <c r="N66" s="31"/>
      <c r="O66" s="31"/>
      <c r="P66" s="31"/>
      <c r="Q66" s="31"/>
      <c r="R66"/>
    </row>
    <row r="67" spans="1:18" s="24" customFormat="1">
      <c r="K67" s="25"/>
      <c r="L67" s="25"/>
      <c r="M67" s="25"/>
      <c r="N67" s="25"/>
      <c r="O67" s="25"/>
      <c r="P67" s="25"/>
    </row>
    <row r="70" spans="1:18" ht="15.75">
      <c r="A70" s="33" t="s">
        <v>1</v>
      </c>
      <c r="B70" s="33" t="s">
        <v>175</v>
      </c>
      <c r="C70" s="34"/>
      <c r="D70" s="34"/>
      <c r="E70" s="34"/>
      <c r="F70" s="34"/>
      <c r="G70" s="34"/>
      <c r="H70" s="34"/>
      <c r="I70" s="34"/>
    </row>
    <row r="71" spans="1:18">
      <c r="A71" s="34" t="s">
        <v>103</v>
      </c>
      <c r="B71" s="34">
        <v>1.310870633</v>
      </c>
      <c r="C71" s="34"/>
      <c r="D71" s="34"/>
      <c r="E71" s="34"/>
      <c r="F71" s="34"/>
      <c r="G71" s="34"/>
      <c r="H71" s="34"/>
      <c r="I71" s="34"/>
    </row>
    <row r="72" spans="1:18">
      <c r="A72" s="34" t="s">
        <v>2</v>
      </c>
      <c r="B72" s="34" t="s">
        <v>29</v>
      </c>
      <c r="C72" s="34"/>
      <c r="D72" s="34"/>
      <c r="E72" s="34"/>
      <c r="F72" s="34"/>
      <c r="G72" s="34"/>
      <c r="H72" s="34"/>
      <c r="I72" s="34"/>
    </row>
    <row r="73" spans="1:18">
      <c r="A73" s="34" t="s">
        <v>4</v>
      </c>
      <c r="B73" s="34" t="s">
        <v>104</v>
      </c>
      <c r="C73" s="34"/>
      <c r="D73" s="34"/>
      <c r="E73" s="34"/>
      <c r="F73" s="34"/>
      <c r="G73" s="34"/>
      <c r="H73" s="34"/>
      <c r="I73" s="34"/>
    </row>
    <row r="74" spans="1:18">
      <c r="A74" s="34" t="s">
        <v>6</v>
      </c>
      <c r="B74" s="34" t="s">
        <v>13</v>
      </c>
      <c r="C74" s="34"/>
      <c r="D74" s="34"/>
      <c r="E74" s="34"/>
      <c r="F74" s="34"/>
      <c r="G74" s="34"/>
      <c r="H74" s="34"/>
      <c r="I74" s="34"/>
    </row>
    <row r="75" spans="1:18">
      <c r="A75" s="34" t="s">
        <v>11</v>
      </c>
      <c r="B75" s="34" t="s">
        <v>105</v>
      </c>
      <c r="C75" s="34"/>
      <c r="D75" s="34"/>
      <c r="E75" s="34"/>
      <c r="F75" s="34"/>
      <c r="G75" s="34"/>
      <c r="H75" s="34"/>
      <c r="I75" s="34"/>
    </row>
    <row r="76" spans="1:18" ht="15.75">
      <c r="A76" s="33" t="s">
        <v>7</v>
      </c>
      <c r="B76" s="34"/>
      <c r="C76" s="34"/>
      <c r="D76" s="34"/>
      <c r="E76" s="34"/>
      <c r="F76" s="34"/>
      <c r="G76" s="34"/>
      <c r="H76" s="34"/>
      <c r="I76" s="34"/>
    </row>
    <row r="77" spans="1:18">
      <c r="A77" s="34" t="s">
        <v>8</v>
      </c>
      <c r="B77" s="34" t="s">
        <v>9</v>
      </c>
      <c r="C77" s="34" t="s">
        <v>106</v>
      </c>
      <c r="D77" s="34" t="s">
        <v>2</v>
      </c>
      <c r="E77" s="34" t="s">
        <v>6</v>
      </c>
      <c r="F77" s="34" t="s">
        <v>10</v>
      </c>
      <c r="G77" s="34" t="s">
        <v>5</v>
      </c>
      <c r="H77" s="34" t="s">
        <v>4</v>
      </c>
      <c r="I77" s="34" t="s">
        <v>11</v>
      </c>
    </row>
    <row r="78" spans="1:18">
      <c r="A78" s="34" t="s">
        <v>102</v>
      </c>
      <c r="B78" s="34">
        <v>1</v>
      </c>
      <c r="C78" s="34" t="s">
        <v>107</v>
      </c>
      <c r="D78" s="34" t="s">
        <v>29</v>
      </c>
      <c r="E78" s="34" t="s">
        <v>13</v>
      </c>
      <c r="F78" s="34"/>
      <c r="G78" s="34" t="s">
        <v>18</v>
      </c>
      <c r="H78" s="34" t="s">
        <v>104</v>
      </c>
      <c r="I78" s="34"/>
    </row>
    <row r="79" spans="1:18">
      <c r="A79" s="34" t="s">
        <v>108</v>
      </c>
      <c r="B79" s="35">
        <v>3.0676600000000002E-8</v>
      </c>
      <c r="C79" s="34" t="s">
        <v>109</v>
      </c>
      <c r="D79" s="34"/>
      <c r="E79" s="34" t="s">
        <v>13</v>
      </c>
      <c r="F79" s="34" t="s">
        <v>25</v>
      </c>
      <c r="G79" s="34" t="s">
        <v>15</v>
      </c>
      <c r="H79" s="34"/>
      <c r="I79" s="34"/>
    </row>
    <row r="80" spans="1:18">
      <c r="A80" s="34" t="s">
        <v>110</v>
      </c>
      <c r="B80" s="35">
        <v>4.6014800000000002E-6</v>
      </c>
      <c r="C80" s="34" t="s">
        <v>109</v>
      </c>
      <c r="D80" s="34"/>
      <c r="E80" s="34" t="s">
        <v>13</v>
      </c>
      <c r="F80" s="34" t="s">
        <v>25</v>
      </c>
      <c r="G80" s="34" t="s">
        <v>15</v>
      </c>
      <c r="H80" s="34"/>
      <c r="I80" s="34"/>
    </row>
    <row r="81" spans="1:9">
      <c r="A81" s="34" t="s">
        <v>111</v>
      </c>
      <c r="B81" s="35">
        <v>1.22709E-5</v>
      </c>
      <c r="C81" s="34" t="s">
        <v>109</v>
      </c>
      <c r="D81" s="34"/>
      <c r="E81" s="34" t="s">
        <v>13</v>
      </c>
      <c r="F81" s="34" t="s">
        <v>25</v>
      </c>
      <c r="G81" s="34" t="s">
        <v>15</v>
      </c>
      <c r="H81" s="34"/>
      <c r="I81" s="34"/>
    </row>
    <row r="82" spans="1:9">
      <c r="A82" s="34" t="s">
        <v>112</v>
      </c>
      <c r="B82" s="35">
        <v>3.0676599999999998E-10</v>
      </c>
      <c r="C82" s="34" t="s">
        <v>109</v>
      </c>
      <c r="D82" s="34"/>
      <c r="E82" s="34" t="s">
        <v>13</v>
      </c>
      <c r="F82" s="34" t="s">
        <v>25</v>
      </c>
      <c r="G82" s="34" t="s">
        <v>15</v>
      </c>
      <c r="H82" s="34"/>
      <c r="I82" s="34"/>
    </row>
    <row r="83" spans="1:9">
      <c r="A83" s="34" t="s">
        <v>113</v>
      </c>
      <c r="B83" s="35">
        <v>2.1474199999999998E-5</v>
      </c>
      <c r="C83" s="34" t="s">
        <v>109</v>
      </c>
      <c r="D83" s="34"/>
      <c r="E83" s="34" t="s">
        <v>13</v>
      </c>
      <c r="F83" s="34" t="s">
        <v>25</v>
      </c>
      <c r="G83" s="34" t="s">
        <v>15</v>
      </c>
      <c r="H83" s="34"/>
      <c r="I83" s="34"/>
    </row>
    <row r="84" spans="1:9">
      <c r="A84" s="34" t="s">
        <v>40</v>
      </c>
      <c r="B84" s="34">
        <v>8.9222937859999991</v>
      </c>
      <c r="C84" s="34" t="s">
        <v>109</v>
      </c>
      <c r="D84" s="34"/>
      <c r="E84" s="34" t="s">
        <v>13</v>
      </c>
      <c r="F84" s="34" t="s">
        <v>25</v>
      </c>
      <c r="G84" s="34" t="s">
        <v>15</v>
      </c>
      <c r="H84" s="34"/>
      <c r="I84" s="34"/>
    </row>
    <row r="85" spans="1:9">
      <c r="A85" s="34" t="s">
        <v>114</v>
      </c>
      <c r="B85" s="35">
        <v>6.4421899999999994E-5</v>
      </c>
      <c r="C85" s="34" t="s">
        <v>109</v>
      </c>
      <c r="D85" s="34"/>
      <c r="E85" s="34" t="s">
        <v>13</v>
      </c>
      <c r="F85" s="34" t="s">
        <v>25</v>
      </c>
      <c r="G85" s="34" t="s">
        <v>15</v>
      </c>
      <c r="H85" s="34"/>
      <c r="I85" s="34"/>
    </row>
    <row r="86" spans="1:9">
      <c r="A86" s="34" t="s">
        <v>115</v>
      </c>
      <c r="B86" s="35">
        <v>3.06766E-6</v>
      </c>
      <c r="C86" s="34" t="s">
        <v>109</v>
      </c>
      <c r="D86" s="34"/>
      <c r="E86" s="34" t="s">
        <v>13</v>
      </c>
      <c r="F86" s="34" t="s">
        <v>25</v>
      </c>
      <c r="G86" s="34" t="s">
        <v>15</v>
      </c>
      <c r="H86" s="34"/>
      <c r="I86" s="34"/>
    </row>
    <row r="87" spans="1:9">
      <c r="A87" s="34" t="s">
        <v>116</v>
      </c>
      <c r="B87" s="35">
        <v>3.06766E-6</v>
      </c>
      <c r="C87" s="34" t="s">
        <v>109</v>
      </c>
      <c r="D87" s="34"/>
      <c r="E87" s="34" t="s">
        <v>13</v>
      </c>
      <c r="F87" s="34" t="s">
        <v>25</v>
      </c>
      <c r="G87" s="34" t="s">
        <v>15</v>
      </c>
      <c r="H87" s="34"/>
      <c r="I87" s="34"/>
    </row>
    <row r="88" spans="1:9">
      <c r="A88" s="34" t="s">
        <v>117</v>
      </c>
      <c r="B88" s="35">
        <v>9.2032600000000003E-10</v>
      </c>
      <c r="C88" s="34" t="s">
        <v>109</v>
      </c>
      <c r="D88" s="34"/>
      <c r="E88" s="34" t="s">
        <v>13</v>
      </c>
      <c r="F88" s="34" t="s">
        <v>25</v>
      </c>
      <c r="G88" s="34" t="s">
        <v>15</v>
      </c>
      <c r="H88" s="34"/>
      <c r="I88" s="34"/>
    </row>
    <row r="89" spans="1:9">
      <c r="A89" s="34" t="s">
        <v>118</v>
      </c>
      <c r="B89" s="35">
        <v>6.1356E-5</v>
      </c>
      <c r="C89" s="34" t="s">
        <v>109</v>
      </c>
      <c r="D89" s="34"/>
      <c r="E89" s="34" t="s">
        <v>13</v>
      </c>
      <c r="F89" s="34" t="s">
        <v>25</v>
      </c>
      <c r="G89" s="34" t="s">
        <v>15</v>
      </c>
      <c r="H89" s="34"/>
      <c r="I89" s="34"/>
    </row>
    <row r="90" spans="1:9">
      <c r="A90" s="34" t="s">
        <v>119</v>
      </c>
      <c r="B90" s="34">
        <v>5.4912400000000001E-4</v>
      </c>
      <c r="C90" s="34" t="s">
        <v>109</v>
      </c>
      <c r="D90" s="34"/>
      <c r="E90" s="34" t="s">
        <v>13</v>
      </c>
      <c r="F90" s="34" t="s">
        <v>25</v>
      </c>
      <c r="G90" s="34" t="s">
        <v>15</v>
      </c>
      <c r="H90" s="34"/>
      <c r="I90" s="34"/>
    </row>
    <row r="91" spans="1:9">
      <c r="A91" s="34" t="s">
        <v>120</v>
      </c>
      <c r="B91" s="35">
        <v>3.0676599999999998E-7</v>
      </c>
      <c r="C91" s="34" t="s">
        <v>109</v>
      </c>
      <c r="D91" s="34"/>
      <c r="E91" s="34" t="s">
        <v>13</v>
      </c>
      <c r="F91" s="34" t="s">
        <v>25</v>
      </c>
      <c r="G91" s="34" t="s">
        <v>15</v>
      </c>
      <c r="H91" s="34"/>
      <c r="I91" s="34"/>
    </row>
    <row r="92" spans="1:9">
      <c r="A92" s="34" t="s">
        <v>121</v>
      </c>
      <c r="B92" s="35">
        <v>6.1356000000000002E-6</v>
      </c>
      <c r="C92" s="34" t="s">
        <v>109</v>
      </c>
      <c r="D92" s="34"/>
      <c r="E92" s="34" t="s">
        <v>13</v>
      </c>
      <c r="F92" s="34" t="s">
        <v>25</v>
      </c>
      <c r="G92" s="34" t="s">
        <v>15</v>
      </c>
      <c r="H92" s="34"/>
      <c r="I92" s="34"/>
    </row>
    <row r="93" spans="1:9">
      <c r="A93" s="34" t="s">
        <v>122</v>
      </c>
      <c r="B93" s="35">
        <v>3.6814199999999997E-5</v>
      </c>
      <c r="C93" s="34" t="s">
        <v>109</v>
      </c>
      <c r="D93" s="34"/>
      <c r="E93" s="34" t="s">
        <v>13</v>
      </c>
      <c r="F93" s="34" t="s">
        <v>25</v>
      </c>
      <c r="G93" s="34" t="s">
        <v>15</v>
      </c>
      <c r="H93" s="34"/>
      <c r="I93" s="34"/>
    </row>
    <row r="94" spans="1:9">
      <c r="A94" s="34" t="s">
        <v>123</v>
      </c>
      <c r="B94" s="35">
        <v>6.1356000000000002E-6</v>
      </c>
      <c r="C94" s="34" t="s">
        <v>109</v>
      </c>
      <c r="D94" s="34"/>
      <c r="E94" s="34" t="s">
        <v>13</v>
      </c>
      <c r="F94" s="34" t="s">
        <v>25</v>
      </c>
      <c r="G94" s="34" t="s">
        <v>15</v>
      </c>
      <c r="H94" s="34"/>
      <c r="I94" s="34"/>
    </row>
    <row r="95" spans="1:9">
      <c r="A95" s="34" t="s">
        <v>124</v>
      </c>
      <c r="B95" s="35">
        <v>6.1356E-7</v>
      </c>
      <c r="C95" s="34" t="s">
        <v>109</v>
      </c>
      <c r="D95" s="34"/>
      <c r="E95" s="34" t="s">
        <v>13</v>
      </c>
      <c r="F95" s="34" t="s">
        <v>25</v>
      </c>
      <c r="G95" s="34" t="s">
        <v>15</v>
      </c>
      <c r="H95" s="34"/>
      <c r="I95" s="34"/>
    </row>
    <row r="96" spans="1:9">
      <c r="A96" s="34" t="s">
        <v>125</v>
      </c>
      <c r="B96" s="35">
        <v>1.6872699999999999E-5</v>
      </c>
      <c r="C96" s="34" t="s">
        <v>109</v>
      </c>
      <c r="D96" s="34"/>
      <c r="E96" s="34" t="s">
        <v>13</v>
      </c>
      <c r="F96" s="34" t="s">
        <v>25</v>
      </c>
      <c r="G96" s="34" t="s">
        <v>15</v>
      </c>
      <c r="H96" s="34"/>
      <c r="I96" s="34"/>
    </row>
    <row r="97" spans="1:9">
      <c r="A97" s="34" t="s">
        <v>126</v>
      </c>
      <c r="B97" s="35">
        <v>6.1356000000000002E-6</v>
      </c>
      <c r="C97" s="34" t="s">
        <v>109</v>
      </c>
      <c r="D97" s="34"/>
      <c r="E97" s="34" t="s">
        <v>13</v>
      </c>
      <c r="F97" s="34" t="s">
        <v>25</v>
      </c>
      <c r="G97" s="34" t="s">
        <v>15</v>
      </c>
      <c r="H97" s="34"/>
      <c r="I97" s="34"/>
    </row>
    <row r="98" spans="1:9">
      <c r="A98" s="34" t="s">
        <v>127</v>
      </c>
      <c r="B98" s="34">
        <v>0.38040000000000002</v>
      </c>
      <c r="C98" s="34" t="s">
        <v>109</v>
      </c>
      <c r="D98" s="34"/>
      <c r="E98" s="34" t="s">
        <v>128</v>
      </c>
      <c r="F98" s="34" t="s">
        <v>129</v>
      </c>
      <c r="G98" s="34" t="s">
        <v>15</v>
      </c>
      <c r="H98" s="34"/>
      <c r="I98" s="34"/>
    </row>
    <row r="99" spans="1:9">
      <c r="A99" s="34" t="s">
        <v>130</v>
      </c>
      <c r="B99" s="34">
        <v>0.37130000000000002</v>
      </c>
      <c r="C99" s="34" t="s">
        <v>109</v>
      </c>
      <c r="D99" s="34"/>
      <c r="E99" s="34" t="s">
        <v>128</v>
      </c>
      <c r="F99" s="34" t="s">
        <v>131</v>
      </c>
      <c r="G99" s="34" t="s">
        <v>15</v>
      </c>
      <c r="H99" s="34"/>
      <c r="I99" s="34"/>
    </row>
    <row r="100" spans="1:9">
      <c r="A100" s="34" t="s">
        <v>130</v>
      </c>
      <c r="B100" s="34">
        <v>9.1000000000000004E-3</v>
      </c>
      <c r="C100" s="34" t="s">
        <v>109</v>
      </c>
      <c r="D100" s="34"/>
      <c r="E100" s="34" t="s">
        <v>128</v>
      </c>
      <c r="F100" s="34" t="s">
        <v>25</v>
      </c>
      <c r="G100" s="34" t="s">
        <v>15</v>
      </c>
      <c r="H100" s="34"/>
      <c r="I100" s="34" t="s">
        <v>132</v>
      </c>
    </row>
    <row r="101" spans="1:9">
      <c r="A101" s="34" t="s">
        <v>133</v>
      </c>
      <c r="B101" s="35">
        <v>5.3483200000000002E-10</v>
      </c>
      <c r="C101" s="34" t="s">
        <v>134</v>
      </c>
      <c r="D101" s="34" t="s">
        <v>49</v>
      </c>
      <c r="E101" s="34" t="s">
        <v>6</v>
      </c>
      <c r="F101" s="34"/>
      <c r="G101" s="34" t="s">
        <v>12</v>
      </c>
      <c r="H101" s="34" t="s">
        <v>135</v>
      </c>
      <c r="I101" s="34"/>
    </row>
    <row r="102" spans="1:9">
      <c r="A102" s="34" t="s">
        <v>136</v>
      </c>
      <c r="B102" s="34">
        <v>5.32728E-4</v>
      </c>
      <c r="C102" s="34" t="s">
        <v>134</v>
      </c>
      <c r="D102" s="34" t="s">
        <v>137</v>
      </c>
      <c r="E102" s="34" t="s">
        <v>13</v>
      </c>
      <c r="F102" s="34"/>
      <c r="G102" s="34" t="s">
        <v>12</v>
      </c>
      <c r="H102" s="34" t="s">
        <v>138</v>
      </c>
      <c r="I102" s="34"/>
    </row>
    <row r="103" spans="1:9">
      <c r="A103" s="34" t="s">
        <v>139</v>
      </c>
      <c r="B103" s="34">
        <v>3.6000000000000001E-5</v>
      </c>
      <c r="C103" s="34" t="s">
        <v>134</v>
      </c>
      <c r="D103" s="34" t="s">
        <v>140</v>
      </c>
      <c r="E103" s="34" t="s">
        <v>13</v>
      </c>
      <c r="F103" s="34"/>
      <c r="G103" s="34" t="s">
        <v>12</v>
      </c>
      <c r="H103" s="34" t="s">
        <v>141</v>
      </c>
      <c r="I103" s="34"/>
    </row>
    <row r="104" spans="1:9">
      <c r="A104" s="34" t="s">
        <v>142</v>
      </c>
      <c r="B104" s="34">
        <v>3.6240000000000003E-4</v>
      </c>
      <c r="C104" s="34" t="s">
        <v>134</v>
      </c>
      <c r="D104" s="34" t="s">
        <v>140</v>
      </c>
      <c r="E104" s="34" t="s">
        <v>13</v>
      </c>
      <c r="F104" s="34"/>
      <c r="G104" s="34" t="s">
        <v>12</v>
      </c>
      <c r="H104" s="34" t="s">
        <v>143</v>
      </c>
      <c r="I104" s="34"/>
    </row>
    <row r="105" spans="1:9">
      <c r="A105" s="34" t="s">
        <v>144</v>
      </c>
      <c r="B105" s="35">
        <v>2.54628E-9</v>
      </c>
      <c r="C105" s="34" t="s">
        <v>134</v>
      </c>
      <c r="D105" s="34" t="s">
        <v>140</v>
      </c>
      <c r="E105" s="34" t="s">
        <v>6</v>
      </c>
      <c r="F105" s="34"/>
      <c r="G105" s="34" t="s">
        <v>12</v>
      </c>
      <c r="H105" s="34" t="s">
        <v>145</v>
      </c>
      <c r="I105" s="34"/>
    </row>
    <row r="106" spans="1:9">
      <c r="A106" s="34" t="s">
        <v>146</v>
      </c>
      <c r="B106" s="34">
        <v>2.796E-5</v>
      </c>
      <c r="C106" s="34" t="s">
        <v>134</v>
      </c>
      <c r="D106" s="34" t="s">
        <v>140</v>
      </c>
      <c r="E106" s="34" t="s">
        <v>13</v>
      </c>
      <c r="F106" s="34"/>
      <c r="G106" s="34" t="s">
        <v>12</v>
      </c>
      <c r="H106" s="34" t="s">
        <v>147</v>
      </c>
      <c r="I106" s="34"/>
    </row>
    <row r="107" spans="1:9">
      <c r="A107" s="34" t="s">
        <v>148</v>
      </c>
      <c r="B107" s="34">
        <v>1.668E-5</v>
      </c>
      <c r="C107" s="34" t="s">
        <v>134</v>
      </c>
      <c r="D107" s="34" t="s">
        <v>140</v>
      </c>
      <c r="E107" s="34" t="s">
        <v>13</v>
      </c>
      <c r="F107" s="34"/>
      <c r="G107" s="34" t="s">
        <v>12</v>
      </c>
      <c r="H107" s="34" t="s">
        <v>149</v>
      </c>
      <c r="I107" s="34"/>
    </row>
    <row r="108" spans="1:9">
      <c r="A108" s="34" t="s">
        <v>150</v>
      </c>
      <c r="B108" s="34">
        <v>2.0291999999999999E-4</v>
      </c>
      <c r="C108" s="34" t="s">
        <v>134</v>
      </c>
      <c r="D108" s="34" t="s">
        <v>140</v>
      </c>
      <c r="E108" s="34" t="s">
        <v>13</v>
      </c>
      <c r="F108" s="34"/>
      <c r="G108" s="34" t="s">
        <v>12</v>
      </c>
      <c r="H108" s="34" t="s">
        <v>151</v>
      </c>
      <c r="I108" s="34"/>
    </row>
    <row r="109" spans="1:9">
      <c r="A109" s="34" t="s">
        <v>152</v>
      </c>
      <c r="B109" s="34">
        <v>3.1236000000000002E-4</v>
      </c>
      <c r="C109" s="34" t="s">
        <v>134</v>
      </c>
      <c r="D109" s="34" t="s">
        <v>140</v>
      </c>
      <c r="E109" s="34" t="s">
        <v>13</v>
      </c>
      <c r="F109" s="34"/>
      <c r="G109" s="34" t="s">
        <v>12</v>
      </c>
      <c r="H109" s="34" t="s">
        <v>153</v>
      </c>
      <c r="I109" s="34"/>
    </row>
    <row r="110" spans="1:9">
      <c r="A110" s="34" t="s">
        <v>154</v>
      </c>
      <c r="B110" s="34">
        <v>4.8000000000000001E-5</v>
      </c>
      <c r="C110" s="34" t="s">
        <v>134</v>
      </c>
      <c r="D110" s="34" t="s">
        <v>49</v>
      </c>
      <c r="E110" s="34" t="s">
        <v>13</v>
      </c>
      <c r="F110" s="34"/>
      <c r="G110" s="34" t="s">
        <v>12</v>
      </c>
      <c r="H110" s="34" t="s">
        <v>155</v>
      </c>
      <c r="I110" s="34"/>
    </row>
    <row r="111" spans="1:9">
      <c r="A111" s="34" t="s">
        <v>156</v>
      </c>
      <c r="B111" s="34">
        <v>1.1592E-5</v>
      </c>
      <c r="C111" s="34" t="s">
        <v>134</v>
      </c>
      <c r="D111" s="34" t="s">
        <v>140</v>
      </c>
      <c r="E111" s="34" t="s">
        <v>13</v>
      </c>
      <c r="F111" s="34"/>
      <c r="G111" s="34" t="s">
        <v>12</v>
      </c>
      <c r="H111" s="34" t="s">
        <v>157</v>
      </c>
      <c r="I111" s="34"/>
    </row>
    <row r="112" spans="1:9">
      <c r="A112" s="34" t="s">
        <v>21</v>
      </c>
      <c r="B112" s="34">
        <v>7.538413555</v>
      </c>
      <c r="C112" s="34" t="s">
        <v>134</v>
      </c>
      <c r="D112" s="34" t="s">
        <v>22</v>
      </c>
      <c r="E112" s="34" t="s">
        <v>13</v>
      </c>
      <c r="F112" s="34"/>
      <c r="G112" s="34" t="s">
        <v>12</v>
      </c>
      <c r="H112" s="34" t="s">
        <v>23</v>
      </c>
      <c r="I112" s="34"/>
    </row>
    <row r="113" spans="1:9">
      <c r="A113" s="34" t="s">
        <v>158</v>
      </c>
      <c r="B113" s="34">
        <v>8.8290199999999997E-4</v>
      </c>
      <c r="C113" s="34" t="s">
        <v>134</v>
      </c>
      <c r="D113" s="34" t="s">
        <v>140</v>
      </c>
      <c r="E113" s="34" t="s">
        <v>13</v>
      </c>
      <c r="F113" s="34"/>
      <c r="G113" s="34" t="s">
        <v>12</v>
      </c>
      <c r="H113" s="34" t="s">
        <v>159</v>
      </c>
      <c r="I113" s="34"/>
    </row>
    <row r="114" spans="1:9">
      <c r="A114" s="34" t="s">
        <v>160</v>
      </c>
      <c r="B114" s="34">
        <v>3.7139999999999997E-4</v>
      </c>
      <c r="C114" s="34" t="s">
        <v>134</v>
      </c>
      <c r="D114" s="34" t="s">
        <v>140</v>
      </c>
      <c r="E114" s="34" t="s">
        <v>13</v>
      </c>
      <c r="F114" s="34"/>
      <c r="G114" s="34" t="s">
        <v>12</v>
      </c>
      <c r="H114" s="34" t="s">
        <v>161</v>
      </c>
      <c r="I114" s="34"/>
    </row>
    <row r="115" spans="1:9">
      <c r="A115" s="34" t="s">
        <v>98</v>
      </c>
      <c r="B115" s="34">
        <v>0</v>
      </c>
      <c r="C115" s="34" t="s">
        <v>134</v>
      </c>
      <c r="D115" s="34" t="s">
        <v>29</v>
      </c>
      <c r="E115" s="34" t="s">
        <v>19</v>
      </c>
      <c r="F115" s="34"/>
      <c r="G115" s="34" t="s">
        <v>12</v>
      </c>
      <c r="H115" s="34" t="s">
        <v>31</v>
      </c>
      <c r="I115" s="34"/>
    </row>
    <row r="116" spans="1:9">
      <c r="A116" s="36" t="s">
        <v>162</v>
      </c>
      <c r="B116" s="34">
        <v>4.3695687769999996</v>
      </c>
      <c r="C116" s="34" t="s">
        <v>134</v>
      </c>
      <c r="D116" s="34" t="s">
        <v>22</v>
      </c>
      <c r="E116" s="34" t="s">
        <v>128</v>
      </c>
      <c r="F116" s="34"/>
      <c r="G116" s="34" t="s">
        <v>12</v>
      </c>
      <c r="H116" s="34" t="s">
        <v>163</v>
      </c>
      <c r="I116" s="34"/>
    </row>
    <row r="117" spans="1:9">
      <c r="A117" s="34"/>
      <c r="B117" s="34"/>
      <c r="C117" s="34"/>
      <c r="D117" s="34"/>
      <c r="E117" s="34"/>
      <c r="F117" s="34"/>
      <c r="G117" s="34"/>
      <c r="H117" s="34"/>
      <c r="I117" s="34"/>
    </row>
    <row r="118" spans="1:9">
      <c r="A118" s="52" t="s">
        <v>1</v>
      </c>
      <c r="B118" s="52" t="s">
        <v>176</v>
      </c>
      <c r="C118" s="34"/>
      <c r="D118" s="34"/>
      <c r="E118" s="34"/>
      <c r="F118" s="34"/>
      <c r="G118" s="34"/>
      <c r="H118" s="34"/>
      <c r="I118" s="34"/>
    </row>
    <row r="119" spans="1:9">
      <c r="A119" s="34" t="s">
        <v>103</v>
      </c>
      <c r="B119" s="34">
        <v>1.290350439</v>
      </c>
      <c r="C119" s="34"/>
      <c r="D119" s="34"/>
      <c r="E119" s="34"/>
      <c r="F119" s="34"/>
      <c r="G119" s="34"/>
      <c r="H119" s="34"/>
      <c r="I119" s="34"/>
    </row>
    <row r="120" spans="1:9">
      <c r="A120" s="34" t="s">
        <v>2</v>
      </c>
      <c r="B120" s="34" t="s">
        <v>29</v>
      </c>
      <c r="C120" s="34"/>
      <c r="D120" s="34"/>
      <c r="E120" s="34"/>
      <c r="F120" s="34"/>
      <c r="G120" s="34"/>
      <c r="H120" s="34"/>
      <c r="I120" s="34"/>
    </row>
    <row r="121" spans="1:9">
      <c r="A121" s="34" t="s">
        <v>4</v>
      </c>
      <c r="B121" s="34" t="s">
        <v>104</v>
      </c>
      <c r="C121" s="34"/>
      <c r="D121" s="34"/>
      <c r="E121" s="34"/>
      <c r="F121" s="34"/>
      <c r="G121" s="34"/>
      <c r="H121" s="34"/>
      <c r="I121" s="34"/>
    </row>
    <row r="122" spans="1:9">
      <c r="A122" s="34" t="s">
        <v>6</v>
      </c>
      <c r="B122" s="34" t="s">
        <v>13</v>
      </c>
      <c r="C122" s="34"/>
      <c r="D122" s="34"/>
      <c r="E122" s="34"/>
      <c r="F122" s="34"/>
      <c r="G122" s="34"/>
      <c r="H122" s="34"/>
      <c r="I122" s="34"/>
    </row>
    <row r="123" spans="1:9">
      <c r="A123" s="34" t="s">
        <v>11</v>
      </c>
      <c r="B123" s="34" t="s">
        <v>105</v>
      </c>
      <c r="C123" s="34"/>
      <c r="D123" s="34"/>
      <c r="E123" s="34"/>
      <c r="F123" s="34"/>
      <c r="G123" s="34"/>
      <c r="H123" s="34"/>
      <c r="I123" s="34"/>
    </row>
    <row r="124" spans="1:9">
      <c r="A124" s="52" t="s">
        <v>7</v>
      </c>
      <c r="B124" s="34"/>
      <c r="C124" s="34"/>
      <c r="D124" s="34"/>
      <c r="E124" s="34"/>
      <c r="F124" s="34"/>
      <c r="G124" s="34"/>
      <c r="H124" s="34"/>
      <c r="I124" s="34"/>
    </row>
    <row r="125" spans="1:9">
      <c r="A125" s="34" t="s">
        <v>8</v>
      </c>
      <c r="B125" s="34" t="s">
        <v>9</v>
      </c>
      <c r="C125" s="34" t="s">
        <v>106</v>
      </c>
      <c r="D125" s="34" t="s">
        <v>2</v>
      </c>
      <c r="E125" s="34" t="s">
        <v>6</v>
      </c>
      <c r="F125" s="34" t="s">
        <v>10</v>
      </c>
      <c r="G125" s="34" t="s">
        <v>5</v>
      </c>
      <c r="H125" s="34" t="s">
        <v>4</v>
      </c>
      <c r="I125" s="34" t="s">
        <v>11</v>
      </c>
    </row>
    <row r="126" spans="1:9">
      <c r="A126" s="34" t="s">
        <v>164</v>
      </c>
      <c r="B126" s="34">
        <v>1</v>
      </c>
      <c r="C126" s="34" t="s">
        <v>107</v>
      </c>
      <c r="D126" s="34" t="s">
        <v>29</v>
      </c>
      <c r="E126" s="34" t="s">
        <v>13</v>
      </c>
      <c r="F126" s="34"/>
      <c r="G126" s="34" t="s">
        <v>18</v>
      </c>
      <c r="H126" s="34" t="s">
        <v>104</v>
      </c>
      <c r="I126" s="34"/>
    </row>
    <row r="127" spans="1:9">
      <c r="A127" s="34" t="s">
        <v>108</v>
      </c>
      <c r="B127" s="35">
        <v>2.8033E-8</v>
      </c>
      <c r="C127" s="34" t="s">
        <v>109</v>
      </c>
      <c r="D127" s="34"/>
      <c r="E127" s="34" t="s">
        <v>13</v>
      </c>
      <c r="F127" s="34" t="s">
        <v>25</v>
      </c>
      <c r="G127" s="34" t="s">
        <v>15</v>
      </c>
      <c r="H127" s="34"/>
      <c r="I127" s="34"/>
    </row>
    <row r="128" spans="1:9">
      <c r="A128" s="34" t="s">
        <v>110</v>
      </c>
      <c r="B128" s="35">
        <v>4.2049500000000003E-6</v>
      </c>
      <c r="C128" s="34" t="s">
        <v>109</v>
      </c>
      <c r="D128" s="34"/>
      <c r="E128" s="34" t="s">
        <v>13</v>
      </c>
      <c r="F128" s="34" t="s">
        <v>25</v>
      </c>
      <c r="G128" s="34" t="s">
        <v>15</v>
      </c>
      <c r="H128" s="34"/>
      <c r="I128" s="34"/>
    </row>
    <row r="129" spans="1:9">
      <c r="A129" s="34" t="s">
        <v>111</v>
      </c>
      <c r="B129" s="35">
        <v>1.12135E-5</v>
      </c>
      <c r="C129" s="34" t="s">
        <v>109</v>
      </c>
      <c r="D129" s="34"/>
      <c r="E129" s="34" t="s">
        <v>13</v>
      </c>
      <c r="F129" s="34" t="s">
        <v>25</v>
      </c>
      <c r="G129" s="34" t="s">
        <v>15</v>
      </c>
      <c r="H129" s="34"/>
      <c r="I129" s="34"/>
    </row>
    <row r="130" spans="1:9">
      <c r="A130" s="34" t="s">
        <v>112</v>
      </c>
      <c r="B130" s="35">
        <v>2.8033E-10</v>
      </c>
      <c r="C130" s="34" t="s">
        <v>109</v>
      </c>
      <c r="D130" s="34"/>
      <c r="E130" s="34" t="s">
        <v>13</v>
      </c>
      <c r="F130" s="34" t="s">
        <v>25</v>
      </c>
      <c r="G130" s="34" t="s">
        <v>15</v>
      </c>
      <c r="H130" s="34"/>
      <c r="I130" s="34"/>
    </row>
    <row r="131" spans="1:9">
      <c r="A131" s="34" t="s">
        <v>113</v>
      </c>
      <c r="B131" s="35">
        <v>1.96236E-5</v>
      </c>
      <c r="C131" s="34" t="s">
        <v>109</v>
      </c>
      <c r="D131" s="34"/>
      <c r="E131" s="34" t="s">
        <v>13</v>
      </c>
      <c r="F131" s="34" t="s">
        <v>25</v>
      </c>
      <c r="G131" s="34" t="s">
        <v>15</v>
      </c>
      <c r="H131" s="34"/>
      <c r="I131" s="34"/>
    </row>
    <row r="132" spans="1:9">
      <c r="A132" s="34" t="s">
        <v>40</v>
      </c>
      <c r="B132" s="34">
        <v>2.6104586730000001</v>
      </c>
      <c r="C132" s="34" t="s">
        <v>109</v>
      </c>
      <c r="D132" s="34"/>
      <c r="E132" s="34" t="s">
        <v>13</v>
      </c>
      <c r="F132" s="34" t="s">
        <v>25</v>
      </c>
      <c r="G132" s="34" t="s">
        <v>15</v>
      </c>
      <c r="H132" s="34"/>
      <c r="I132" s="34"/>
    </row>
    <row r="133" spans="1:9">
      <c r="A133" s="34" t="s">
        <v>114</v>
      </c>
      <c r="B133" s="35">
        <v>5.8870399999999998E-5</v>
      </c>
      <c r="C133" s="34" t="s">
        <v>109</v>
      </c>
      <c r="D133" s="34"/>
      <c r="E133" s="34" t="s">
        <v>13</v>
      </c>
      <c r="F133" s="34" t="s">
        <v>25</v>
      </c>
      <c r="G133" s="34" t="s">
        <v>15</v>
      </c>
      <c r="H133" s="34"/>
      <c r="I133" s="34"/>
    </row>
    <row r="134" spans="1:9">
      <c r="A134" s="34" t="s">
        <v>115</v>
      </c>
      <c r="B134" s="35">
        <v>2.8032999999999999E-6</v>
      </c>
      <c r="C134" s="34" t="s">
        <v>109</v>
      </c>
      <c r="D134" s="34"/>
      <c r="E134" s="34" t="s">
        <v>13</v>
      </c>
      <c r="F134" s="34" t="s">
        <v>25</v>
      </c>
      <c r="G134" s="34" t="s">
        <v>15</v>
      </c>
      <c r="H134" s="34"/>
      <c r="I134" s="34"/>
    </row>
    <row r="135" spans="1:9">
      <c r="A135" s="34" t="s">
        <v>116</v>
      </c>
      <c r="B135" s="35">
        <v>2.8032999999999999E-6</v>
      </c>
      <c r="C135" s="34" t="s">
        <v>109</v>
      </c>
      <c r="D135" s="34"/>
      <c r="E135" s="34" t="s">
        <v>13</v>
      </c>
      <c r="F135" s="34" t="s">
        <v>25</v>
      </c>
      <c r="G135" s="34" t="s">
        <v>15</v>
      </c>
      <c r="H135" s="34"/>
      <c r="I135" s="34"/>
    </row>
    <row r="136" spans="1:9">
      <c r="A136" s="34" t="s">
        <v>117</v>
      </c>
      <c r="B136" s="35">
        <v>8.4101700000000003E-10</v>
      </c>
      <c r="C136" s="34" t="s">
        <v>109</v>
      </c>
      <c r="D136" s="34"/>
      <c r="E136" s="34" t="s">
        <v>13</v>
      </c>
      <c r="F136" s="34" t="s">
        <v>25</v>
      </c>
      <c r="G136" s="34" t="s">
        <v>15</v>
      </c>
      <c r="H136" s="34"/>
      <c r="I136" s="34"/>
    </row>
    <row r="137" spans="1:9">
      <c r="A137" s="34" t="s">
        <v>118</v>
      </c>
      <c r="B137" s="35">
        <v>5.6068700000000001E-5</v>
      </c>
      <c r="C137" s="34" t="s">
        <v>109</v>
      </c>
      <c r="D137" s="34"/>
      <c r="E137" s="34" t="s">
        <v>13</v>
      </c>
      <c r="F137" s="34" t="s">
        <v>25</v>
      </c>
      <c r="G137" s="34" t="s">
        <v>15</v>
      </c>
      <c r="H137" s="34"/>
      <c r="I137" s="34"/>
    </row>
    <row r="138" spans="1:9">
      <c r="A138" s="34" t="s">
        <v>119</v>
      </c>
      <c r="B138" s="34">
        <v>5.0180299999999999E-4</v>
      </c>
      <c r="C138" s="34" t="s">
        <v>109</v>
      </c>
      <c r="D138" s="34"/>
      <c r="E138" s="34" t="s">
        <v>13</v>
      </c>
      <c r="F138" s="34" t="s">
        <v>25</v>
      </c>
      <c r="G138" s="34" t="s">
        <v>15</v>
      </c>
      <c r="H138" s="34"/>
      <c r="I138" s="34"/>
    </row>
    <row r="139" spans="1:9">
      <c r="A139" s="34" t="s">
        <v>120</v>
      </c>
      <c r="B139" s="35">
        <v>2.8033000000000002E-7</v>
      </c>
      <c r="C139" s="34" t="s">
        <v>109</v>
      </c>
      <c r="D139" s="34"/>
      <c r="E139" s="34" t="s">
        <v>13</v>
      </c>
      <c r="F139" s="34" t="s">
        <v>25</v>
      </c>
      <c r="G139" s="34" t="s">
        <v>15</v>
      </c>
      <c r="H139" s="34"/>
      <c r="I139" s="34"/>
    </row>
    <row r="140" spans="1:9">
      <c r="A140" s="34" t="s">
        <v>121</v>
      </c>
      <c r="B140" s="35">
        <v>5.6068700000000001E-6</v>
      </c>
      <c r="C140" s="34" t="s">
        <v>109</v>
      </c>
      <c r="D140" s="34"/>
      <c r="E140" s="34" t="s">
        <v>13</v>
      </c>
      <c r="F140" s="34" t="s">
        <v>25</v>
      </c>
      <c r="G140" s="34" t="s">
        <v>15</v>
      </c>
      <c r="H140" s="34"/>
      <c r="I140" s="34"/>
    </row>
    <row r="141" spans="1:9">
      <c r="A141" s="34" t="s">
        <v>122</v>
      </c>
      <c r="B141" s="35">
        <v>3.36417E-5</v>
      </c>
      <c r="C141" s="34" t="s">
        <v>109</v>
      </c>
      <c r="D141" s="34"/>
      <c r="E141" s="34" t="s">
        <v>13</v>
      </c>
      <c r="F141" s="34" t="s">
        <v>25</v>
      </c>
      <c r="G141" s="34" t="s">
        <v>15</v>
      </c>
      <c r="H141" s="34"/>
      <c r="I141" s="34"/>
    </row>
    <row r="142" spans="1:9">
      <c r="A142" s="34" t="s">
        <v>123</v>
      </c>
      <c r="B142" s="35">
        <v>5.6068700000000001E-6</v>
      </c>
      <c r="C142" s="34" t="s">
        <v>109</v>
      </c>
      <c r="D142" s="34"/>
      <c r="E142" s="34" t="s">
        <v>13</v>
      </c>
      <c r="F142" s="34" t="s">
        <v>25</v>
      </c>
      <c r="G142" s="34" t="s">
        <v>15</v>
      </c>
      <c r="H142" s="34"/>
      <c r="I142" s="34"/>
    </row>
    <row r="143" spans="1:9">
      <c r="A143" s="34" t="s">
        <v>124</v>
      </c>
      <c r="B143" s="35">
        <v>5.6068700000000005E-7</v>
      </c>
      <c r="C143" s="34" t="s">
        <v>109</v>
      </c>
      <c r="D143" s="34"/>
      <c r="E143" s="34" t="s">
        <v>13</v>
      </c>
      <c r="F143" s="34" t="s">
        <v>25</v>
      </c>
      <c r="G143" s="34" t="s">
        <v>15</v>
      </c>
      <c r="H143" s="34"/>
      <c r="I143" s="34"/>
    </row>
    <row r="144" spans="1:9">
      <c r="A144" s="34" t="s">
        <v>125</v>
      </c>
      <c r="B144" s="35">
        <v>1.5418699999999999E-5</v>
      </c>
      <c r="C144" s="34" t="s">
        <v>109</v>
      </c>
      <c r="D144" s="34"/>
      <c r="E144" s="34" t="s">
        <v>13</v>
      </c>
      <c r="F144" s="34" t="s">
        <v>25</v>
      </c>
      <c r="G144" s="34" t="s">
        <v>15</v>
      </c>
      <c r="H144" s="34"/>
      <c r="I144" s="34"/>
    </row>
    <row r="145" spans="1:9">
      <c r="A145" s="34" t="s">
        <v>126</v>
      </c>
      <c r="B145" s="35">
        <v>5.6068700000000001E-6</v>
      </c>
      <c r="C145" s="34" t="s">
        <v>109</v>
      </c>
      <c r="D145" s="34"/>
      <c r="E145" s="34" t="s">
        <v>13</v>
      </c>
      <c r="F145" s="34" t="s">
        <v>25</v>
      </c>
      <c r="G145" s="34" t="s">
        <v>15</v>
      </c>
      <c r="H145" s="34"/>
      <c r="I145" s="34"/>
    </row>
    <row r="146" spans="1:9">
      <c r="A146" s="34" t="s">
        <v>127</v>
      </c>
      <c r="B146" s="34">
        <v>0.38033800800000001</v>
      </c>
      <c r="C146" s="34" t="s">
        <v>109</v>
      </c>
      <c r="D146" s="34"/>
      <c r="E146" s="34" t="s">
        <v>128</v>
      </c>
      <c r="F146" s="34" t="s">
        <v>129</v>
      </c>
      <c r="G146" s="34" t="s">
        <v>15</v>
      </c>
      <c r="H146" s="34"/>
      <c r="I146" s="34"/>
    </row>
    <row r="147" spans="1:9">
      <c r="A147" s="34" t="s">
        <v>130</v>
      </c>
      <c r="B147" s="34">
        <v>0.36940000000000001</v>
      </c>
      <c r="C147" s="34" t="s">
        <v>109</v>
      </c>
      <c r="D147" s="34"/>
      <c r="E147" s="34" t="s">
        <v>128</v>
      </c>
      <c r="F147" s="34" t="s">
        <v>131</v>
      </c>
      <c r="G147" s="34" t="s">
        <v>15</v>
      </c>
      <c r="H147" s="34"/>
      <c r="I147" s="34"/>
    </row>
    <row r="148" spans="1:9">
      <c r="A148" s="34" t="s">
        <v>130</v>
      </c>
      <c r="B148" s="34">
        <v>1.0999999999999999E-2</v>
      </c>
      <c r="C148" s="34" t="s">
        <v>109</v>
      </c>
      <c r="D148" s="34"/>
      <c r="E148" s="34" t="s">
        <v>128</v>
      </c>
      <c r="F148" s="34" t="s">
        <v>25</v>
      </c>
      <c r="G148" s="34" t="s">
        <v>15</v>
      </c>
      <c r="H148" s="34"/>
      <c r="I148" s="34" t="s">
        <v>165</v>
      </c>
    </row>
    <row r="149" spans="1:9">
      <c r="A149" s="34" t="s">
        <v>166</v>
      </c>
      <c r="B149" s="34">
        <v>6.1611670199999997</v>
      </c>
      <c r="C149" s="34" t="s">
        <v>167</v>
      </c>
      <c r="D149" s="34" t="s">
        <v>49</v>
      </c>
      <c r="E149" s="34" t="s">
        <v>13</v>
      </c>
      <c r="F149" s="34"/>
      <c r="G149" s="34" t="s">
        <v>12</v>
      </c>
      <c r="H149" s="34" t="s">
        <v>166</v>
      </c>
      <c r="I149" s="34"/>
    </row>
    <row r="150" spans="1:9">
      <c r="A150" s="34" t="s">
        <v>133</v>
      </c>
      <c r="B150" s="35">
        <v>5.3477100000000001E-10</v>
      </c>
      <c r="C150" s="34" t="s">
        <v>167</v>
      </c>
      <c r="D150" s="34" t="s">
        <v>49</v>
      </c>
      <c r="E150" s="34" t="s">
        <v>6</v>
      </c>
      <c r="F150" s="34"/>
      <c r="G150" s="34" t="s">
        <v>12</v>
      </c>
      <c r="H150" s="34" t="s">
        <v>135</v>
      </c>
      <c r="I150" s="34"/>
    </row>
    <row r="151" spans="1:9">
      <c r="A151" s="34" t="s">
        <v>136</v>
      </c>
      <c r="B151" s="34">
        <v>5.32728E-4</v>
      </c>
      <c r="C151" s="34" t="s">
        <v>167</v>
      </c>
      <c r="D151" s="34" t="s">
        <v>137</v>
      </c>
      <c r="E151" s="34" t="s">
        <v>13</v>
      </c>
      <c r="F151" s="34"/>
      <c r="G151" s="34" t="s">
        <v>12</v>
      </c>
      <c r="H151" s="34" t="s">
        <v>138</v>
      </c>
      <c r="I151" s="34"/>
    </row>
    <row r="152" spans="1:9">
      <c r="A152" s="34" t="s">
        <v>139</v>
      </c>
      <c r="B152" s="34">
        <v>3.6000000000000001E-5</v>
      </c>
      <c r="C152" s="34" t="s">
        <v>167</v>
      </c>
      <c r="D152" s="34" t="s">
        <v>140</v>
      </c>
      <c r="E152" s="34" t="s">
        <v>13</v>
      </c>
      <c r="F152" s="34"/>
      <c r="G152" s="34" t="s">
        <v>12</v>
      </c>
      <c r="H152" s="34" t="s">
        <v>141</v>
      </c>
      <c r="I152" s="34"/>
    </row>
    <row r="153" spans="1:9">
      <c r="A153" s="34" t="s">
        <v>142</v>
      </c>
      <c r="B153" s="34">
        <v>3.6240000000000003E-4</v>
      </c>
      <c r="C153" s="34" t="s">
        <v>167</v>
      </c>
      <c r="D153" s="34" t="s">
        <v>140</v>
      </c>
      <c r="E153" s="34" t="s">
        <v>13</v>
      </c>
      <c r="F153" s="34"/>
      <c r="G153" s="34" t="s">
        <v>12</v>
      </c>
      <c r="H153" s="34" t="s">
        <v>143</v>
      </c>
      <c r="I153" s="34"/>
    </row>
    <row r="154" spans="1:9">
      <c r="A154" s="34" t="s">
        <v>168</v>
      </c>
      <c r="B154" s="34">
        <v>2.0948000000000001E-4</v>
      </c>
      <c r="C154" s="34" t="s">
        <v>167</v>
      </c>
      <c r="D154" s="34" t="s">
        <v>140</v>
      </c>
      <c r="E154" s="34" t="s">
        <v>13</v>
      </c>
      <c r="F154" s="34"/>
      <c r="G154" s="34" t="s">
        <v>12</v>
      </c>
      <c r="H154" s="34" t="s">
        <v>169</v>
      </c>
      <c r="I154" s="34"/>
    </row>
    <row r="155" spans="1:9">
      <c r="A155" s="34" t="s">
        <v>144</v>
      </c>
      <c r="B155" s="35">
        <v>2.54628E-9</v>
      </c>
      <c r="C155" s="34" t="s">
        <v>167</v>
      </c>
      <c r="D155" s="34" t="s">
        <v>140</v>
      </c>
      <c r="E155" s="34" t="s">
        <v>6</v>
      </c>
      <c r="F155" s="34"/>
      <c r="G155" s="34" t="s">
        <v>12</v>
      </c>
      <c r="H155" s="34" t="s">
        <v>145</v>
      </c>
      <c r="I155" s="34"/>
    </row>
    <row r="156" spans="1:9">
      <c r="A156" s="34" t="s">
        <v>146</v>
      </c>
      <c r="B156" s="34">
        <v>2.796E-5</v>
      </c>
      <c r="C156" s="34" t="s">
        <v>167</v>
      </c>
      <c r="D156" s="34" t="s">
        <v>140</v>
      </c>
      <c r="E156" s="34" t="s">
        <v>13</v>
      </c>
      <c r="F156" s="34"/>
      <c r="G156" s="34" t="s">
        <v>12</v>
      </c>
      <c r="H156" s="34" t="s">
        <v>147</v>
      </c>
      <c r="I156" s="34"/>
    </row>
    <row r="157" spans="1:9">
      <c r="A157" s="34" t="s">
        <v>148</v>
      </c>
      <c r="B157" s="34">
        <v>1.668E-5</v>
      </c>
      <c r="C157" s="34" t="s">
        <v>167</v>
      </c>
      <c r="D157" s="34" t="s">
        <v>140</v>
      </c>
      <c r="E157" s="34" t="s">
        <v>13</v>
      </c>
      <c r="F157" s="34"/>
      <c r="G157" s="34" t="s">
        <v>12</v>
      </c>
      <c r="H157" s="34" t="s">
        <v>149</v>
      </c>
      <c r="I157" s="34"/>
    </row>
    <row r="158" spans="1:9">
      <c r="A158" s="34" t="s">
        <v>150</v>
      </c>
      <c r="B158" s="34">
        <v>2.0291999999999999E-4</v>
      </c>
      <c r="C158" s="34" t="s">
        <v>167</v>
      </c>
      <c r="D158" s="34" t="s">
        <v>140</v>
      </c>
      <c r="E158" s="34" t="s">
        <v>13</v>
      </c>
      <c r="F158" s="34"/>
      <c r="G158" s="34" t="s">
        <v>12</v>
      </c>
      <c r="H158" s="34" t="s">
        <v>151</v>
      </c>
      <c r="I158" s="34"/>
    </row>
    <row r="159" spans="1:9">
      <c r="A159" s="34" t="s">
        <v>152</v>
      </c>
      <c r="B159" s="34">
        <v>3.1236000000000002E-4</v>
      </c>
      <c r="C159" s="34" t="s">
        <v>167</v>
      </c>
      <c r="D159" s="34" t="s">
        <v>140</v>
      </c>
      <c r="E159" s="34" t="s">
        <v>13</v>
      </c>
      <c r="F159" s="34"/>
      <c r="G159" s="34" t="s">
        <v>12</v>
      </c>
      <c r="H159" s="34" t="s">
        <v>153</v>
      </c>
      <c r="I159" s="34"/>
    </row>
    <row r="160" spans="1:9">
      <c r="A160" s="34" t="s">
        <v>154</v>
      </c>
      <c r="B160" s="34">
        <v>4.8000000000000001E-5</v>
      </c>
      <c r="C160" s="34" t="s">
        <v>167</v>
      </c>
      <c r="D160" s="34" t="s">
        <v>49</v>
      </c>
      <c r="E160" s="34" t="s">
        <v>13</v>
      </c>
      <c r="F160" s="34"/>
      <c r="G160" s="34" t="s">
        <v>12</v>
      </c>
      <c r="H160" s="34" t="s">
        <v>155</v>
      </c>
      <c r="I160" s="34"/>
    </row>
    <row r="161" spans="1:9">
      <c r="A161" s="34" t="s">
        <v>156</v>
      </c>
      <c r="B161" s="34">
        <v>1.1592E-5</v>
      </c>
      <c r="C161" s="34" t="s">
        <v>167</v>
      </c>
      <c r="D161" s="34" t="s">
        <v>140</v>
      </c>
      <c r="E161" s="34" t="s">
        <v>13</v>
      </c>
      <c r="F161" s="34"/>
      <c r="G161" s="34" t="s">
        <v>12</v>
      </c>
      <c r="H161" s="34" t="s">
        <v>157</v>
      </c>
      <c r="I161" s="34"/>
    </row>
    <row r="162" spans="1:9">
      <c r="A162" s="34" t="s">
        <v>21</v>
      </c>
      <c r="B162" s="34">
        <v>7.5375498600000004</v>
      </c>
      <c r="C162" s="34" t="s">
        <v>167</v>
      </c>
      <c r="D162" s="34" t="s">
        <v>22</v>
      </c>
      <c r="E162" s="34" t="s">
        <v>13</v>
      </c>
      <c r="F162" s="34"/>
      <c r="G162" s="34" t="s">
        <v>12</v>
      </c>
      <c r="H162" s="34" t="s">
        <v>23</v>
      </c>
      <c r="I162" s="34"/>
    </row>
    <row r="163" spans="1:9">
      <c r="A163" s="34" t="s">
        <v>158</v>
      </c>
      <c r="B163" s="34">
        <v>8.8290199999999997E-4</v>
      </c>
      <c r="C163" s="34" t="s">
        <v>167</v>
      </c>
      <c r="D163" s="34" t="s">
        <v>140</v>
      </c>
      <c r="E163" s="34" t="s">
        <v>13</v>
      </c>
      <c r="F163" s="34"/>
      <c r="G163" s="34" t="s">
        <v>12</v>
      </c>
      <c r="H163" s="34" t="s">
        <v>159</v>
      </c>
      <c r="I163" s="34"/>
    </row>
    <row r="164" spans="1:9">
      <c r="A164" s="34" t="s">
        <v>160</v>
      </c>
      <c r="B164" s="34">
        <v>3.7139999999999997E-4</v>
      </c>
      <c r="C164" s="34" t="s">
        <v>167</v>
      </c>
      <c r="D164" s="34" t="s">
        <v>140</v>
      </c>
      <c r="E164" s="34" t="s">
        <v>13</v>
      </c>
      <c r="F164" s="34"/>
      <c r="G164" s="34" t="s">
        <v>12</v>
      </c>
      <c r="H164" s="34" t="s">
        <v>161</v>
      </c>
      <c r="I164" s="34"/>
    </row>
    <row r="165" spans="1:9">
      <c r="A165" s="34" t="s">
        <v>98</v>
      </c>
      <c r="B165" s="34">
        <v>0</v>
      </c>
      <c r="C165" s="34" t="s">
        <v>167</v>
      </c>
      <c r="D165" s="34" t="s">
        <v>29</v>
      </c>
      <c r="E165" s="34" t="s">
        <v>19</v>
      </c>
      <c r="F165" s="34"/>
      <c r="G165" s="34" t="s">
        <v>12</v>
      </c>
      <c r="H165" s="34" t="s">
        <v>31</v>
      </c>
      <c r="I165" s="34"/>
    </row>
    <row r="166" spans="1:9">
      <c r="A166" s="36" t="s">
        <v>162</v>
      </c>
      <c r="B166" s="34">
        <v>4.3011681309999998</v>
      </c>
      <c r="C166" s="34" t="s">
        <v>167</v>
      </c>
      <c r="D166" s="34" t="s">
        <v>22</v>
      </c>
      <c r="E166" s="34" t="s">
        <v>128</v>
      </c>
      <c r="F166" s="34"/>
      <c r="G166" s="34" t="s">
        <v>12</v>
      </c>
      <c r="H166" s="34" t="s">
        <v>163</v>
      </c>
      <c r="I166" s="34"/>
    </row>
    <row r="167" spans="1:9">
      <c r="A167" s="34"/>
      <c r="B167" s="34"/>
      <c r="C167" s="34"/>
      <c r="D167" s="34"/>
      <c r="E167" s="34"/>
      <c r="F167" s="34"/>
      <c r="G167" s="34"/>
      <c r="H167" s="34"/>
      <c r="I167" s="34"/>
    </row>
    <row r="168" spans="1:9" ht="15.75">
      <c r="A168" s="29" t="s">
        <v>1</v>
      </c>
      <c r="B168" s="29" t="s">
        <v>270</v>
      </c>
    </row>
    <row r="169" spans="1:9">
      <c r="A169" t="s">
        <v>2</v>
      </c>
      <c r="B169" t="s">
        <v>29</v>
      </c>
    </row>
    <row r="170" spans="1:9">
      <c r="A170" t="s">
        <v>11</v>
      </c>
      <c r="B170" t="s">
        <v>271</v>
      </c>
    </row>
    <row r="171" spans="1:9">
      <c r="A171" t="s">
        <v>3</v>
      </c>
      <c r="B171">
        <v>1</v>
      </c>
    </row>
    <row r="172" spans="1:9">
      <c r="A172" t="s">
        <v>76</v>
      </c>
      <c r="B172"/>
    </row>
    <row r="173" spans="1:9">
      <c r="A173" t="s">
        <v>4</v>
      </c>
      <c r="B173" t="s">
        <v>272</v>
      </c>
    </row>
    <row r="174" spans="1:9">
      <c r="A174" t="s">
        <v>5</v>
      </c>
      <c r="B174" t="s">
        <v>78</v>
      </c>
    </row>
    <row r="175" spans="1:9">
      <c r="A175" t="s">
        <v>6</v>
      </c>
      <c r="B175" s="34" t="s">
        <v>13</v>
      </c>
    </row>
    <row r="176" spans="1:9" ht="15.75">
      <c r="A176" s="29" t="s">
        <v>7</v>
      </c>
      <c r="B176"/>
    </row>
    <row r="177" spans="1:34" ht="15.75">
      <c r="A177" s="29" t="s">
        <v>8</v>
      </c>
      <c r="B177" s="29" t="s">
        <v>9</v>
      </c>
      <c r="C177" s="29" t="s">
        <v>2</v>
      </c>
      <c r="D177" s="29" t="s">
        <v>6</v>
      </c>
      <c r="E177" s="29" t="s">
        <v>10</v>
      </c>
      <c r="F177" s="29" t="s">
        <v>5</v>
      </c>
      <c r="G177" s="29" t="s">
        <v>4</v>
      </c>
      <c r="H177" s="29" t="s">
        <v>11</v>
      </c>
    </row>
    <row r="178" spans="1:34">
      <c r="A178" t="str">
        <f>B168</f>
        <v>empty activity, for market that does not exist any more in 2050, Tr2050</v>
      </c>
      <c r="B178">
        <v>1</v>
      </c>
      <c r="C178" t="s">
        <v>29</v>
      </c>
      <c r="D178" t="str">
        <f>B175</f>
        <v>kilogram</v>
      </c>
      <c r="F178" t="s">
        <v>18</v>
      </c>
      <c r="G178" t="str">
        <f>B173</f>
        <v>nothing</v>
      </c>
    </row>
    <row r="179" spans="1:34">
      <c r="A179" s="39"/>
      <c r="B179" s="39"/>
      <c r="C179" s="40"/>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39"/>
      <c r="AH179" s="39"/>
    </row>
    <row r="180" spans="1:34">
      <c r="A180" s="41" t="s">
        <v>1</v>
      </c>
      <c r="B180" s="41" t="s">
        <v>195</v>
      </c>
      <c r="C180" s="42"/>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c r="AG180" s="43"/>
      <c r="AH180" s="43"/>
    </row>
    <row r="181" spans="1:34">
      <c r="A181" s="41" t="s">
        <v>11</v>
      </c>
      <c r="B181" s="43" t="s">
        <v>196</v>
      </c>
      <c r="C181" s="42"/>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row>
    <row r="182" spans="1:34">
      <c r="A182" s="41" t="s">
        <v>2</v>
      </c>
      <c r="B182" s="43" t="s">
        <v>29</v>
      </c>
      <c r="C182" s="42"/>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c r="AG182" s="43"/>
      <c r="AH182" s="43"/>
    </row>
    <row r="183" spans="1:34">
      <c r="A183" s="44" t="s">
        <v>4</v>
      </c>
      <c r="B183" s="43" t="s">
        <v>197</v>
      </c>
      <c r="C183" s="42"/>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c r="AG183" s="43"/>
      <c r="AH183" s="43"/>
    </row>
    <row r="184" spans="1:34">
      <c r="A184" s="41" t="s">
        <v>3</v>
      </c>
      <c r="B184" s="45">
        <v>1</v>
      </c>
      <c r="C184" s="42"/>
      <c r="D184" s="48"/>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c r="AG184" s="43"/>
      <c r="AH184" s="43"/>
    </row>
    <row r="185" spans="1:34">
      <c r="A185" s="41" t="s">
        <v>6</v>
      </c>
      <c r="B185" s="43" t="s">
        <v>128</v>
      </c>
      <c r="C185" s="42"/>
      <c r="D185" s="46"/>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c r="AG185" s="43"/>
      <c r="AH185" s="43"/>
    </row>
    <row r="186" spans="1:34">
      <c r="A186" s="41" t="s">
        <v>76</v>
      </c>
      <c r="B186" s="43"/>
      <c r="C186" s="42"/>
      <c r="D186" s="46"/>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c r="AG186" s="43"/>
      <c r="AH186" s="43"/>
    </row>
    <row r="187" spans="1:34">
      <c r="A187" s="41" t="s">
        <v>7</v>
      </c>
      <c r="B187" s="43"/>
      <c r="C187" s="42"/>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c r="AG187" s="43"/>
      <c r="AH187" s="43"/>
    </row>
    <row r="188" spans="1:34">
      <c r="A188" s="41" t="s">
        <v>8</v>
      </c>
      <c r="B188" s="41" t="s">
        <v>4</v>
      </c>
      <c r="C188" s="47" t="s">
        <v>9</v>
      </c>
      <c r="D188" s="41" t="s">
        <v>6</v>
      </c>
      <c r="E188" s="41" t="s">
        <v>106</v>
      </c>
      <c r="F188" s="41" t="s">
        <v>10</v>
      </c>
      <c r="G188" s="41" t="s">
        <v>2</v>
      </c>
      <c r="H188" s="41" t="s">
        <v>5</v>
      </c>
      <c r="I188" s="41" t="s">
        <v>11</v>
      </c>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c r="AG188" s="43"/>
      <c r="AH188" s="43"/>
    </row>
    <row r="189" spans="1:34">
      <c r="A189" s="48" t="s">
        <v>195</v>
      </c>
      <c r="B189" s="48" t="s">
        <v>197</v>
      </c>
      <c r="C189" s="49">
        <v>1</v>
      </c>
      <c r="D189" s="43" t="s">
        <v>128</v>
      </c>
      <c r="E189" s="48" t="s">
        <v>198</v>
      </c>
      <c r="F189" s="48"/>
      <c r="G189" s="48" t="s">
        <v>29</v>
      </c>
      <c r="H189" s="48" t="s">
        <v>18</v>
      </c>
      <c r="I189" s="48"/>
      <c r="J189" s="48"/>
      <c r="K189" s="48"/>
      <c r="L189" s="43"/>
      <c r="M189" s="43"/>
      <c r="N189" s="43"/>
      <c r="O189" s="43"/>
      <c r="P189" s="43"/>
      <c r="Q189" s="43"/>
      <c r="R189" s="43"/>
      <c r="S189" s="43"/>
      <c r="T189" s="43"/>
      <c r="U189" s="43"/>
      <c r="V189" s="43"/>
      <c r="W189" s="43"/>
      <c r="X189" s="43"/>
      <c r="Y189" s="43"/>
      <c r="Z189" s="43"/>
      <c r="AA189" s="43"/>
      <c r="AB189" s="43"/>
      <c r="AC189" s="43"/>
      <c r="AD189" s="43"/>
      <c r="AE189" s="43"/>
      <c r="AF189" s="43"/>
      <c r="AG189" s="43"/>
      <c r="AH189" s="43"/>
    </row>
    <row r="190" spans="1:34">
      <c r="A190" s="48" t="s">
        <v>290</v>
      </c>
      <c r="B190" s="48" t="s">
        <v>291</v>
      </c>
      <c r="C190" s="49">
        <v>1</v>
      </c>
      <c r="D190" s="43" t="s">
        <v>13</v>
      </c>
      <c r="E190" s="48" t="s">
        <v>211</v>
      </c>
      <c r="F190" s="48"/>
      <c r="G190" s="48" t="s">
        <v>29</v>
      </c>
      <c r="H190" s="48" t="s">
        <v>12</v>
      </c>
      <c r="I190" s="48"/>
      <c r="J190" s="48"/>
      <c r="K190" s="48"/>
      <c r="L190" s="43"/>
      <c r="M190" s="43"/>
      <c r="N190" s="43"/>
      <c r="O190" s="43"/>
      <c r="P190" s="43"/>
      <c r="Q190" s="43"/>
      <c r="R190" s="43"/>
      <c r="S190" s="43"/>
      <c r="T190" s="43"/>
      <c r="U190" s="43"/>
      <c r="V190" s="43"/>
      <c r="W190" s="43"/>
      <c r="X190" s="43"/>
      <c r="Y190" s="43"/>
      <c r="Z190" s="43"/>
      <c r="AA190" s="43"/>
      <c r="AB190" s="43"/>
      <c r="AC190" s="43"/>
      <c r="AD190" s="43"/>
      <c r="AE190" s="43"/>
      <c r="AF190" s="43"/>
      <c r="AG190" s="43"/>
      <c r="AH190" s="43"/>
    </row>
    <row r="191" spans="1:34">
      <c r="A191" s="42" t="s">
        <v>199</v>
      </c>
      <c r="B191" s="43"/>
      <c r="C191" s="49">
        <v>2.4324509555475786</v>
      </c>
      <c r="D191" s="43" t="s">
        <v>13</v>
      </c>
      <c r="E191" s="43" t="s">
        <v>109</v>
      </c>
      <c r="F191" s="43" t="s">
        <v>200</v>
      </c>
      <c r="G191" s="43"/>
      <c r="H191" s="43" t="s">
        <v>15</v>
      </c>
      <c r="I191" s="43" t="s">
        <v>201</v>
      </c>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c r="AG191" s="43"/>
      <c r="AH191" s="43"/>
    </row>
    <row r="192" spans="1:34">
      <c r="A192" s="39"/>
      <c r="B192" s="39"/>
      <c r="C192" s="40"/>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row>
    <row r="193" spans="1:34">
      <c r="A193" s="41" t="s">
        <v>1</v>
      </c>
      <c r="B193" s="41" t="s">
        <v>202</v>
      </c>
      <c r="C193" s="42"/>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c r="AG193" s="43"/>
      <c r="AH193" s="43"/>
    </row>
    <row r="194" spans="1:34">
      <c r="A194" s="41" t="s">
        <v>11</v>
      </c>
      <c r="B194" s="43" t="s">
        <v>203</v>
      </c>
      <c r="C194" s="42"/>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c r="AG194" s="43"/>
      <c r="AH194" s="43"/>
    </row>
    <row r="195" spans="1:34">
      <c r="A195" s="41" t="s">
        <v>2</v>
      </c>
      <c r="B195" s="43" t="s">
        <v>29</v>
      </c>
      <c r="C195" s="42"/>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c r="AG195" s="43"/>
      <c r="AH195" s="43"/>
    </row>
    <row r="196" spans="1:34">
      <c r="A196" s="44" t="s">
        <v>4</v>
      </c>
      <c r="B196" s="43" t="s">
        <v>197</v>
      </c>
      <c r="C196" s="42"/>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c r="AG196" s="43"/>
      <c r="AH196" s="43"/>
    </row>
    <row r="197" spans="1:34">
      <c r="A197" s="41" t="s">
        <v>3</v>
      </c>
      <c r="B197" s="45">
        <v>1</v>
      </c>
      <c r="C197" s="42"/>
      <c r="D197" s="46"/>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c r="AG197" s="43"/>
      <c r="AH197" s="43"/>
    </row>
    <row r="198" spans="1:34">
      <c r="A198" s="41" t="s">
        <v>6</v>
      </c>
      <c r="B198" s="43" t="s">
        <v>128</v>
      </c>
      <c r="C198" s="42"/>
      <c r="D198" s="46"/>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c r="AG198" s="43"/>
      <c r="AH198" s="43"/>
    </row>
    <row r="199" spans="1:34">
      <c r="A199" s="41" t="s">
        <v>76</v>
      </c>
      <c r="B199" s="43"/>
      <c r="C199" s="42"/>
      <c r="D199" s="46"/>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c r="AG199" s="43"/>
      <c r="AH199" s="43"/>
    </row>
    <row r="200" spans="1:34">
      <c r="A200" s="41" t="s">
        <v>7</v>
      </c>
      <c r="B200" s="43"/>
      <c r="C200" s="42"/>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c r="AG200" s="43"/>
      <c r="AH200" s="43"/>
    </row>
    <row r="201" spans="1:34">
      <c r="A201" s="41" t="s">
        <v>8</v>
      </c>
      <c r="B201" s="41" t="s">
        <v>4</v>
      </c>
      <c r="C201" s="47" t="s">
        <v>9</v>
      </c>
      <c r="D201" s="41" t="s">
        <v>6</v>
      </c>
      <c r="E201" s="41" t="s">
        <v>106</v>
      </c>
      <c r="F201" s="41" t="s">
        <v>10</v>
      </c>
      <c r="G201" s="41" t="s">
        <v>2</v>
      </c>
      <c r="H201" s="41" t="s">
        <v>5</v>
      </c>
      <c r="I201" s="41" t="s">
        <v>11</v>
      </c>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c r="AG201" s="43"/>
      <c r="AH201" s="43"/>
    </row>
    <row r="202" spans="1:34">
      <c r="A202" s="48" t="s">
        <v>202</v>
      </c>
      <c r="B202" s="48" t="s">
        <v>197</v>
      </c>
      <c r="C202" s="49">
        <v>1</v>
      </c>
      <c r="D202" s="43" t="s">
        <v>128</v>
      </c>
      <c r="E202" s="48" t="s">
        <v>198</v>
      </c>
      <c r="F202" s="48"/>
      <c r="G202" s="48" t="s">
        <v>29</v>
      </c>
      <c r="H202" s="48" t="s">
        <v>18</v>
      </c>
      <c r="I202" s="48"/>
      <c r="J202" s="48"/>
      <c r="K202" s="48"/>
      <c r="L202" s="43"/>
      <c r="M202" s="43"/>
      <c r="N202" s="43"/>
      <c r="O202" s="43"/>
      <c r="P202" s="43"/>
      <c r="Q202" s="43"/>
      <c r="R202" s="43"/>
      <c r="S202" s="43"/>
      <c r="T202" s="43"/>
      <c r="U202" s="43"/>
      <c r="V202" s="43"/>
      <c r="W202" s="43"/>
      <c r="X202" s="43"/>
      <c r="Y202" s="43"/>
      <c r="Z202" s="43"/>
      <c r="AA202" s="43"/>
      <c r="AB202" s="43"/>
      <c r="AC202" s="43"/>
      <c r="AD202" s="43"/>
      <c r="AE202" s="43"/>
      <c r="AF202" s="43"/>
      <c r="AG202" s="43"/>
      <c r="AH202" s="43"/>
    </row>
    <row r="203" spans="1:34">
      <c r="A203" s="42" t="s">
        <v>199</v>
      </c>
      <c r="B203" s="43"/>
      <c r="C203" s="49">
        <v>2.4411239472074011</v>
      </c>
      <c r="D203" s="43" t="s">
        <v>13</v>
      </c>
      <c r="E203" s="43" t="s">
        <v>109</v>
      </c>
      <c r="F203" s="43" t="s">
        <v>200</v>
      </c>
      <c r="G203" s="43"/>
      <c r="H203" s="43" t="s">
        <v>15</v>
      </c>
      <c r="I203" s="43" t="s">
        <v>201</v>
      </c>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c r="AG203" s="43"/>
      <c r="AH203" s="43"/>
    </row>
    <row r="204" spans="1:34">
      <c r="A204" s="39"/>
      <c r="B204" s="39"/>
      <c r="C204" s="40"/>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row>
    <row r="205" spans="1:34">
      <c r="A205" s="41" t="s">
        <v>1</v>
      </c>
      <c r="B205" s="41" t="s">
        <v>204</v>
      </c>
      <c r="C205" s="42"/>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c r="AG205" s="43"/>
      <c r="AH205" s="43"/>
    </row>
    <row r="206" spans="1:34">
      <c r="A206" s="41" t="s">
        <v>11</v>
      </c>
      <c r="B206" s="43" t="s">
        <v>205</v>
      </c>
      <c r="C206" s="42"/>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c r="AG206" s="43"/>
      <c r="AH206" s="43"/>
    </row>
    <row r="207" spans="1:34">
      <c r="A207" s="41" t="s">
        <v>2</v>
      </c>
      <c r="B207" s="43" t="s">
        <v>29</v>
      </c>
      <c r="C207" s="42"/>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c r="AG207" s="43"/>
      <c r="AH207" s="43"/>
    </row>
    <row r="208" spans="1:34">
      <c r="A208" s="44" t="s">
        <v>4</v>
      </c>
      <c r="B208" s="43" t="s">
        <v>197</v>
      </c>
      <c r="C208" s="42"/>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c r="AG208" s="43"/>
      <c r="AH208" s="43"/>
    </row>
    <row r="209" spans="1:34">
      <c r="A209" s="41" t="s">
        <v>3</v>
      </c>
      <c r="B209" s="45">
        <v>1</v>
      </c>
      <c r="C209" s="42"/>
      <c r="D209" s="46"/>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c r="AG209" s="43"/>
      <c r="AH209" s="43"/>
    </row>
    <row r="210" spans="1:34">
      <c r="A210" s="41" t="s">
        <v>6</v>
      </c>
      <c r="B210" s="43" t="s">
        <v>128</v>
      </c>
      <c r="C210" s="42"/>
      <c r="D210" s="46"/>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c r="AG210" s="43"/>
      <c r="AH210" s="43"/>
    </row>
    <row r="211" spans="1:34">
      <c r="A211" s="41" t="s">
        <v>76</v>
      </c>
      <c r="B211" s="43"/>
      <c r="C211" s="42"/>
      <c r="D211" s="46"/>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c r="AG211" s="43"/>
      <c r="AH211" s="43"/>
    </row>
    <row r="212" spans="1:34">
      <c r="A212" s="41" t="s">
        <v>7</v>
      </c>
      <c r="B212" s="43"/>
      <c r="C212" s="42"/>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c r="AG212" s="43"/>
      <c r="AH212" s="43"/>
    </row>
    <row r="213" spans="1:34">
      <c r="A213" s="41" t="s">
        <v>8</v>
      </c>
      <c r="B213" s="41" t="s">
        <v>4</v>
      </c>
      <c r="C213" s="47" t="s">
        <v>9</v>
      </c>
      <c r="D213" s="41" t="s">
        <v>6</v>
      </c>
      <c r="E213" s="41" t="s">
        <v>106</v>
      </c>
      <c r="F213" s="41" t="s">
        <v>10</v>
      </c>
      <c r="G213" s="41" t="s">
        <v>2</v>
      </c>
      <c r="H213" s="41" t="s">
        <v>5</v>
      </c>
      <c r="I213" s="41" t="s">
        <v>11</v>
      </c>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c r="AG213" s="43"/>
      <c r="AH213" s="43"/>
    </row>
    <row r="214" spans="1:34">
      <c r="A214" s="48" t="s">
        <v>204</v>
      </c>
      <c r="B214" s="48" t="s">
        <v>197</v>
      </c>
      <c r="C214" s="49">
        <v>1</v>
      </c>
      <c r="D214" s="43" t="s">
        <v>128</v>
      </c>
      <c r="E214" s="48" t="s">
        <v>198</v>
      </c>
      <c r="F214" s="48"/>
      <c r="G214" s="48" t="s">
        <v>29</v>
      </c>
      <c r="H214" s="48" t="s">
        <v>18</v>
      </c>
      <c r="I214" s="48"/>
      <c r="J214" s="48"/>
      <c r="K214" s="48"/>
      <c r="L214" s="43"/>
      <c r="M214" s="43"/>
      <c r="N214" s="43"/>
      <c r="O214" s="43"/>
      <c r="P214" s="43"/>
      <c r="Q214" s="43"/>
      <c r="R214" s="43"/>
      <c r="S214" s="43"/>
      <c r="T214" s="43"/>
      <c r="U214" s="43"/>
      <c r="V214" s="43"/>
      <c r="W214" s="43"/>
      <c r="X214" s="43"/>
      <c r="Y214" s="43"/>
      <c r="Z214" s="43"/>
      <c r="AA214" s="43"/>
      <c r="AB214" s="43"/>
      <c r="AC214" s="43"/>
      <c r="AD214" s="43"/>
      <c r="AE214" s="43"/>
      <c r="AF214" s="43"/>
      <c r="AG214" s="43"/>
      <c r="AH214" s="43"/>
    </row>
    <row r="215" spans="1:34">
      <c r="A215" s="42" t="s">
        <v>199</v>
      </c>
      <c r="B215" s="43"/>
      <c r="C215" s="49">
        <v>2.4264812291656459</v>
      </c>
      <c r="D215" s="43" t="s">
        <v>13</v>
      </c>
      <c r="E215" s="43" t="s">
        <v>109</v>
      </c>
      <c r="F215" s="43" t="s">
        <v>200</v>
      </c>
      <c r="G215" s="43"/>
      <c r="H215" s="43" t="s">
        <v>15</v>
      </c>
      <c r="I215" s="43" t="s">
        <v>201</v>
      </c>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c r="AG215" s="43"/>
      <c r="AH215" s="43"/>
    </row>
    <row r="216" spans="1:34">
      <c r="A216" s="39"/>
      <c r="B216" s="39"/>
      <c r="C216" s="40"/>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row>
    <row r="217" spans="1:34">
      <c r="A217" s="41" t="s">
        <v>1</v>
      </c>
      <c r="B217" s="41" t="s">
        <v>206</v>
      </c>
      <c r="C217" s="42"/>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c r="AG217" s="43"/>
      <c r="AH217" s="43"/>
    </row>
    <row r="218" spans="1:34">
      <c r="A218" s="41" t="s">
        <v>11</v>
      </c>
      <c r="B218" s="43" t="s">
        <v>207</v>
      </c>
      <c r="C218" s="42"/>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c r="AG218" s="43"/>
      <c r="AH218" s="43"/>
    </row>
    <row r="219" spans="1:34">
      <c r="A219" s="41" t="s">
        <v>2</v>
      </c>
      <c r="B219" s="43" t="s">
        <v>29</v>
      </c>
      <c r="C219" s="42"/>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c r="AG219" s="43"/>
      <c r="AH219" s="43"/>
    </row>
    <row r="220" spans="1:34">
      <c r="A220" s="44" t="s">
        <v>4</v>
      </c>
      <c r="B220" s="43" t="s">
        <v>197</v>
      </c>
      <c r="C220" s="42"/>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row>
    <row r="221" spans="1:34">
      <c r="A221" s="41" t="s">
        <v>3</v>
      </c>
      <c r="B221" s="45">
        <v>1</v>
      </c>
      <c r="C221" s="45"/>
      <c r="D221" s="46"/>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c r="AG221" s="43"/>
      <c r="AH221" s="43"/>
    </row>
    <row r="222" spans="1:34">
      <c r="A222" s="41" t="s">
        <v>6</v>
      </c>
      <c r="B222" s="43" t="s">
        <v>128</v>
      </c>
      <c r="C222" s="42"/>
      <c r="D222" s="46"/>
      <c r="E222" s="43"/>
      <c r="F222" s="43"/>
      <c r="G222" s="43"/>
      <c r="H222" s="43"/>
      <c r="I222" s="43"/>
      <c r="J222" s="43"/>
      <c r="K222" s="50"/>
      <c r="L222" s="43"/>
      <c r="M222" s="43"/>
      <c r="N222" s="43"/>
      <c r="O222" s="43"/>
      <c r="P222" s="43"/>
      <c r="Q222" s="43"/>
      <c r="R222" s="43"/>
      <c r="S222" s="43"/>
      <c r="T222" s="43"/>
      <c r="U222" s="43"/>
      <c r="V222" s="43"/>
      <c r="W222" s="43"/>
      <c r="X222" s="43"/>
      <c r="Y222" s="43"/>
      <c r="Z222" s="43"/>
      <c r="AA222" s="43"/>
      <c r="AB222" s="43"/>
      <c r="AC222" s="43"/>
      <c r="AD222" s="43"/>
      <c r="AE222" s="43"/>
      <c r="AF222" s="43"/>
      <c r="AG222" s="43"/>
      <c r="AH222" s="43"/>
    </row>
    <row r="223" spans="1:34">
      <c r="A223" s="41" t="s">
        <v>76</v>
      </c>
      <c r="B223" s="43"/>
      <c r="C223" s="42"/>
      <c r="D223" s="46"/>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c r="AG223" s="43"/>
      <c r="AH223" s="43"/>
    </row>
    <row r="224" spans="1:34">
      <c r="A224" s="41" t="s">
        <v>7</v>
      </c>
      <c r="B224" s="43"/>
      <c r="C224" s="42"/>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c r="AG224" s="43"/>
      <c r="AH224" s="43"/>
    </row>
    <row r="225" spans="1:34">
      <c r="A225" s="41" t="s">
        <v>8</v>
      </c>
      <c r="B225" s="41" t="s">
        <v>4</v>
      </c>
      <c r="C225" s="47" t="s">
        <v>9</v>
      </c>
      <c r="D225" s="41" t="s">
        <v>6</v>
      </c>
      <c r="E225" s="41" t="s">
        <v>106</v>
      </c>
      <c r="F225" s="41" t="s">
        <v>10</v>
      </c>
      <c r="G225" s="41" t="s">
        <v>2</v>
      </c>
      <c r="H225" s="41" t="s">
        <v>5</v>
      </c>
      <c r="I225" s="41" t="s">
        <v>11</v>
      </c>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c r="AG225" s="43"/>
      <c r="AH225" s="43"/>
    </row>
    <row r="226" spans="1:34">
      <c r="A226" s="48" t="s">
        <v>206</v>
      </c>
      <c r="B226" s="48" t="s">
        <v>197</v>
      </c>
      <c r="C226" s="42">
        <v>1</v>
      </c>
      <c r="D226" s="43" t="s">
        <v>128</v>
      </c>
      <c r="E226" s="48" t="s">
        <v>198</v>
      </c>
      <c r="F226" s="48"/>
      <c r="G226" s="48" t="s">
        <v>29</v>
      </c>
      <c r="H226" s="48" t="s">
        <v>18</v>
      </c>
      <c r="I226" s="48"/>
      <c r="J226" s="48"/>
      <c r="K226" s="48"/>
      <c r="L226" s="43"/>
      <c r="M226" s="43"/>
      <c r="N226" s="43"/>
      <c r="O226" s="43"/>
      <c r="P226" s="43"/>
      <c r="Q226" s="43"/>
      <c r="R226" s="43"/>
      <c r="S226" s="43"/>
      <c r="T226" s="43"/>
      <c r="U226" s="43"/>
      <c r="V226" s="43"/>
      <c r="W226" s="43"/>
      <c r="X226" s="43"/>
      <c r="Y226" s="43"/>
      <c r="Z226" s="43"/>
      <c r="AA226" s="43"/>
      <c r="AB226" s="43"/>
      <c r="AC226" s="43"/>
      <c r="AD226" s="43"/>
      <c r="AE226" s="43"/>
      <c r="AF226" s="43"/>
      <c r="AG226" s="43"/>
      <c r="AH226" s="43"/>
    </row>
    <row r="227" spans="1:34">
      <c r="A227" s="48" t="s">
        <v>208</v>
      </c>
      <c r="B227" s="48" t="s">
        <v>209</v>
      </c>
      <c r="C227" s="42">
        <v>21.366271416169667</v>
      </c>
      <c r="D227" s="43" t="s">
        <v>13</v>
      </c>
      <c r="E227" s="48" t="s">
        <v>198</v>
      </c>
      <c r="F227" s="48"/>
      <c r="G227" s="48" t="s">
        <v>29</v>
      </c>
      <c r="H227" s="48" t="s">
        <v>12</v>
      </c>
      <c r="I227" s="48" t="s">
        <v>210</v>
      </c>
      <c r="J227" s="48"/>
      <c r="K227" s="48"/>
      <c r="L227" s="43"/>
      <c r="M227" s="43"/>
      <c r="N227" s="43"/>
      <c r="O227" s="43"/>
      <c r="P227" s="43"/>
      <c r="Q227" s="43"/>
      <c r="R227" s="43"/>
      <c r="S227" s="43"/>
      <c r="T227" s="43"/>
      <c r="U227" s="43"/>
      <c r="V227" s="43"/>
      <c r="W227" s="43"/>
      <c r="X227" s="43"/>
      <c r="Y227" s="43"/>
      <c r="Z227" s="43"/>
      <c r="AA227" s="43"/>
      <c r="AB227" s="43"/>
      <c r="AC227" s="43"/>
      <c r="AD227" s="43"/>
      <c r="AE227" s="43"/>
      <c r="AF227" s="43"/>
      <c r="AG227" s="43"/>
      <c r="AH227" s="43"/>
    </row>
    <row r="228" spans="1:34">
      <c r="A228" s="48" t="s">
        <v>28</v>
      </c>
      <c r="B228" s="48" t="s">
        <v>20</v>
      </c>
      <c r="C228" s="42">
        <v>0.13686158590383854</v>
      </c>
      <c r="D228" s="43" t="s">
        <v>19</v>
      </c>
      <c r="E228" s="48" t="s">
        <v>211</v>
      </c>
      <c r="F228" s="48"/>
      <c r="G228" s="48" t="s">
        <v>29</v>
      </c>
      <c r="H228" s="48" t="s">
        <v>12</v>
      </c>
      <c r="I228" s="48"/>
      <c r="J228" s="48"/>
      <c r="K228" s="48"/>
      <c r="L228" s="43"/>
      <c r="M228" s="43"/>
      <c r="N228" s="43"/>
      <c r="O228" s="43"/>
      <c r="P228" s="43"/>
      <c r="Q228" s="43"/>
      <c r="R228" s="43"/>
      <c r="S228" s="43"/>
      <c r="T228" s="43"/>
      <c r="U228" s="43"/>
      <c r="V228" s="43"/>
      <c r="W228" s="43"/>
      <c r="X228" s="43"/>
      <c r="Y228" s="43"/>
      <c r="Z228" s="43"/>
      <c r="AA228" s="43"/>
      <c r="AB228" s="43"/>
      <c r="AC228" s="43"/>
      <c r="AD228" s="43"/>
      <c r="AE228" s="43"/>
      <c r="AF228" s="43"/>
      <c r="AG228" s="43"/>
      <c r="AH228" s="43"/>
    </row>
    <row r="229" spans="1:34">
      <c r="A229" s="43" t="s">
        <v>212</v>
      </c>
      <c r="B229" s="48" t="s">
        <v>213</v>
      </c>
      <c r="C229" s="42">
        <v>3.2478194058327522E-7</v>
      </c>
      <c r="D229" s="43" t="s">
        <v>6</v>
      </c>
      <c r="E229" s="48" t="s">
        <v>211</v>
      </c>
      <c r="F229" s="48"/>
      <c r="G229" s="48" t="s">
        <v>214</v>
      </c>
      <c r="H229" s="48" t="s">
        <v>12</v>
      </c>
      <c r="I229" s="64"/>
      <c r="J229" s="48"/>
      <c r="K229" s="48"/>
      <c r="L229" s="43"/>
      <c r="M229" s="43"/>
      <c r="N229" s="43"/>
      <c r="O229" s="43"/>
      <c r="P229" s="43"/>
      <c r="Q229" s="43"/>
      <c r="R229" s="43"/>
      <c r="S229" s="43"/>
      <c r="T229" s="43"/>
      <c r="U229" s="43"/>
      <c r="V229" s="43"/>
      <c r="W229" s="43"/>
      <c r="X229" s="43"/>
      <c r="Y229" s="43"/>
      <c r="Z229" s="43"/>
      <c r="AA229" s="43"/>
      <c r="AB229" s="43"/>
      <c r="AC229" s="43"/>
      <c r="AD229" s="43"/>
      <c r="AE229" s="43"/>
      <c r="AF229" s="43"/>
      <c r="AG229" s="43"/>
      <c r="AH229" s="43"/>
    </row>
    <row r="230" spans="1:34">
      <c r="A230" s="48" t="s">
        <v>215</v>
      </c>
      <c r="B230" s="48" t="s">
        <v>216</v>
      </c>
      <c r="C230" s="42">
        <v>1.1858025387172218E-6</v>
      </c>
      <c r="D230" s="43" t="s">
        <v>6</v>
      </c>
      <c r="E230" s="48" t="s">
        <v>211</v>
      </c>
      <c r="F230" s="48"/>
      <c r="G230" s="48" t="s">
        <v>140</v>
      </c>
      <c r="H230" s="48" t="s">
        <v>12</v>
      </c>
      <c r="I230" s="43"/>
      <c r="J230" s="48"/>
      <c r="K230" s="48"/>
      <c r="L230" s="43"/>
      <c r="M230" s="43"/>
      <c r="N230" s="43"/>
      <c r="O230" s="43"/>
      <c r="P230" s="43"/>
      <c r="Q230" s="43"/>
      <c r="R230" s="43"/>
      <c r="S230" s="43"/>
      <c r="T230" s="43"/>
      <c r="U230" s="43"/>
      <c r="V230" s="43"/>
      <c r="W230" s="43"/>
      <c r="X230" s="43"/>
      <c r="Y230" s="43"/>
      <c r="Z230" s="43"/>
      <c r="AA230" s="43"/>
      <c r="AB230" s="43"/>
      <c r="AC230" s="43"/>
      <c r="AD230" s="43"/>
      <c r="AE230" s="43"/>
      <c r="AF230" s="43"/>
      <c r="AG230" s="43"/>
      <c r="AH230" s="43"/>
    </row>
    <row r="231" spans="1:34">
      <c r="A231" s="42" t="s">
        <v>199</v>
      </c>
      <c r="B231" s="43"/>
      <c r="C231" s="42">
        <v>2.2243910590121834</v>
      </c>
      <c r="D231" s="43" t="s">
        <v>13</v>
      </c>
      <c r="E231" s="43" t="s">
        <v>109</v>
      </c>
      <c r="F231" s="43" t="s">
        <v>200</v>
      </c>
      <c r="G231" s="43"/>
      <c r="H231" s="43" t="s">
        <v>15</v>
      </c>
      <c r="I231" s="43" t="s">
        <v>217</v>
      </c>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c r="AG231" s="43"/>
      <c r="AH231" s="43"/>
    </row>
    <row r="232" spans="1:34">
      <c r="A232" s="48" t="s">
        <v>218</v>
      </c>
      <c r="B232" s="48"/>
      <c r="C232" s="42">
        <v>0.2632929400988413</v>
      </c>
      <c r="D232" s="43" t="s">
        <v>13</v>
      </c>
      <c r="E232" s="43" t="s">
        <v>109</v>
      </c>
      <c r="F232" s="48" t="s">
        <v>184</v>
      </c>
      <c r="G232" s="48"/>
      <c r="H232" s="43" t="s">
        <v>15</v>
      </c>
      <c r="I232" s="43" t="s">
        <v>219</v>
      </c>
      <c r="J232" s="48"/>
      <c r="K232" s="48"/>
      <c r="L232" s="43"/>
      <c r="M232" s="43"/>
      <c r="N232" s="43"/>
      <c r="O232" s="43"/>
      <c r="P232" s="43"/>
      <c r="Q232" s="43"/>
      <c r="R232" s="43"/>
      <c r="S232" s="43"/>
      <c r="T232" s="43"/>
      <c r="U232" s="43"/>
      <c r="V232" s="43"/>
      <c r="W232" s="43"/>
      <c r="X232" s="43"/>
      <c r="Y232" s="43"/>
      <c r="Z232" s="43"/>
      <c r="AA232" s="43"/>
      <c r="AB232" s="43"/>
      <c r="AC232" s="43"/>
      <c r="AD232" s="43"/>
      <c r="AE232" s="43"/>
      <c r="AF232" s="43"/>
      <c r="AG232" s="43"/>
      <c r="AH232" s="43"/>
    </row>
    <row r="233" spans="1:34">
      <c r="A233" s="48" t="s">
        <v>185</v>
      </c>
      <c r="B233" s="48"/>
      <c r="C233" s="42">
        <v>1.3939813637531055E-2</v>
      </c>
      <c r="D233" s="43" t="s">
        <v>13</v>
      </c>
      <c r="E233" s="43" t="s">
        <v>109</v>
      </c>
      <c r="F233" s="48" t="s">
        <v>184</v>
      </c>
      <c r="G233" s="48"/>
      <c r="H233" s="43" t="s">
        <v>15</v>
      </c>
      <c r="I233" s="43" t="s">
        <v>219</v>
      </c>
      <c r="J233" s="48"/>
      <c r="K233" s="48"/>
      <c r="L233" s="43"/>
      <c r="M233" s="43"/>
      <c r="N233" s="43"/>
      <c r="O233" s="43"/>
      <c r="P233" s="43"/>
      <c r="Q233" s="43"/>
      <c r="R233" s="43"/>
      <c r="S233" s="43"/>
      <c r="T233" s="43"/>
      <c r="U233" s="43"/>
      <c r="V233" s="43"/>
      <c r="W233" s="43"/>
      <c r="X233" s="43"/>
      <c r="Y233" s="43"/>
      <c r="Z233" s="43"/>
      <c r="AA233" s="43"/>
      <c r="AB233" s="43"/>
      <c r="AC233" s="43"/>
      <c r="AD233" s="43"/>
      <c r="AE233" s="43"/>
      <c r="AF233" s="43"/>
      <c r="AG233" s="43"/>
      <c r="AH233" s="43"/>
    </row>
    <row r="234" spans="1:34">
      <c r="A234" s="48" t="s">
        <v>220</v>
      </c>
      <c r="B234" s="48"/>
      <c r="C234" s="42">
        <v>1.2515583871999998E-4</v>
      </c>
      <c r="D234" s="43" t="s">
        <v>13</v>
      </c>
      <c r="E234" s="43" t="s">
        <v>109</v>
      </c>
      <c r="F234" s="48" t="s">
        <v>184</v>
      </c>
      <c r="G234" s="48"/>
      <c r="H234" s="43" t="s">
        <v>15</v>
      </c>
      <c r="I234" s="43" t="s">
        <v>221</v>
      </c>
      <c r="J234" s="48"/>
      <c r="K234" s="48"/>
      <c r="L234" s="43"/>
      <c r="M234" s="43"/>
      <c r="N234" s="43"/>
      <c r="O234" s="43"/>
      <c r="P234" s="43"/>
      <c r="Q234" s="43"/>
      <c r="R234" s="43"/>
      <c r="S234" s="43"/>
      <c r="T234" s="43"/>
      <c r="U234" s="43"/>
      <c r="V234" s="43"/>
      <c r="W234" s="43"/>
      <c r="X234" s="43"/>
      <c r="Y234" s="43"/>
      <c r="Z234" s="43"/>
      <c r="AA234" s="43"/>
      <c r="AB234" s="43"/>
      <c r="AC234" s="43"/>
      <c r="AD234" s="43"/>
      <c r="AE234" s="43"/>
      <c r="AF234" s="43"/>
      <c r="AG234" s="43"/>
      <c r="AH234" s="43"/>
    </row>
    <row r="235" spans="1:34">
      <c r="A235" s="48" t="s">
        <v>115</v>
      </c>
      <c r="B235" s="48"/>
      <c r="C235" s="42">
        <v>6.5182656435999982E-6</v>
      </c>
      <c r="D235" s="43" t="s">
        <v>13</v>
      </c>
      <c r="E235" s="43" t="s">
        <v>109</v>
      </c>
      <c r="F235" s="48" t="s">
        <v>184</v>
      </c>
      <c r="G235" s="48"/>
      <c r="H235" s="43" t="s">
        <v>15</v>
      </c>
      <c r="I235" s="43" t="s">
        <v>221</v>
      </c>
      <c r="J235" s="48"/>
      <c r="K235" s="48"/>
      <c r="L235" s="43"/>
      <c r="M235" s="43"/>
      <c r="N235" s="43"/>
      <c r="O235" s="43"/>
      <c r="P235" s="43"/>
      <c r="Q235" s="43"/>
      <c r="R235" s="43"/>
      <c r="S235" s="43"/>
      <c r="T235" s="43"/>
      <c r="U235" s="43"/>
      <c r="V235" s="43"/>
      <c r="W235" s="43"/>
      <c r="X235" s="43"/>
      <c r="Y235" s="43"/>
      <c r="Z235" s="43"/>
      <c r="AA235" s="43"/>
      <c r="AB235" s="43"/>
      <c r="AC235" s="43"/>
      <c r="AD235" s="43"/>
      <c r="AE235" s="43"/>
      <c r="AF235" s="43"/>
      <c r="AG235" s="43"/>
      <c r="AH235" s="43"/>
    </row>
    <row r="236" spans="1:34">
      <c r="A236" s="48" t="s">
        <v>119</v>
      </c>
      <c r="B236" s="48"/>
      <c r="C236" s="42">
        <v>3.9108905687999992E-5</v>
      </c>
      <c r="D236" s="43" t="s">
        <v>13</v>
      </c>
      <c r="E236" s="43" t="s">
        <v>109</v>
      </c>
      <c r="F236" s="48" t="s">
        <v>184</v>
      </c>
      <c r="G236" s="48"/>
      <c r="H236" s="43" t="s">
        <v>15</v>
      </c>
      <c r="I236" s="43" t="s">
        <v>221</v>
      </c>
      <c r="J236" s="48"/>
      <c r="K236" s="48"/>
      <c r="L236" s="43"/>
      <c r="M236" s="43"/>
      <c r="N236" s="43"/>
      <c r="O236" s="43"/>
      <c r="P236" s="43"/>
      <c r="Q236" s="43"/>
      <c r="R236" s="43"/>
      <c r="S236" s="43"/>
      <c r="T236" s="43"/>
      <c r="U236" s="43"/>
      <c r="V236" s="43"/>
      <c r="W236" s="43"/>
      <c r="X236" s="43"/>
      <c r="Y236" s="43"/>
      <c r="Z236" s="43"/>
      <c r="AA236" s="43"/>
      <c r="AB236" s="43"/>
      <c r="AC236" s="43"/>
      <c r="AD236" s="43"/>
      <c r="AE236" s="43"/>
      <c r="AF236" s="43"/>
      <c r="AG236" s="43"/>
      <c r="AH236" s="43"/>
    </row>
    <row r="237" spans="1:34">
      <c r="A237" s="48" t="s">
        <v>125</v>
      </c>
      <c r="B237" s="48"/>
      <c r="C237" s="42">
        <v>6.5182656435999986E-5</v>
      </c>
      <c r="D237" s="43" t="s">
        <v>13</v>
      </c>
      <c r="E237" s="43" t="s">
        <v>109</v>
      </c>
      <c r="F237" s="48" t="s">
        <v>184</v>
      </c>
      <c r="G237" s="48"/>
      <c r="H237" s="43" t="s">
        <v>15</v>
      </c>
      <c r="I237" s="43" t="s">
        <v>221</v>
      </c>
      <c r="J237" s="48"/>
      <c r="K237" s="48"/>
      <c r="L237" s="43"/>
      <c r="M237" s="43"/>
      <c r="N237" s="43"/>
      <c r="O237" s="43"/>
      <c r="P237" s="43"/>
      <c r="Q237" s="43"/>
      <c r="R237" s="43"/>
      <c r="S237" s="43"/>
      <c r="T237" s="43"/>
      <c r="U237" s="43"/>
      <c r="V237" s="43"/>
      <c r="W237" s="43"/>
      <c r="X237" s="43"/>
      <c r="Y237" s="43"/>
      <c r="Z237" s="43"/>
      <c r="AA237" s="43"/>
      <c r="AB237" s="43"/>
      <c r="AC237" s="43"/>
      <c r="AD237" s="43"/>
      <c r="AE237" s="43"/>
      <c r="AF237" s="43"/>
      <c r="AG237" s="43"/>
      <c r="AH237" s="43"/>
    </row>
    <row r="238" spans="1:34">
      <c r="A238" s="48" t="s">
        <v>222</v>
      </c>
      <c r="B238" s="48"/>
      <c r="C238" s="42">
        <v>5.2146354539999984E-6</v>
      </c>
      <c r="D238" s="43" t="s">
        <v>13</v>
      </c>
      <c r="E238" s="43" t="s">
        <v>109</v>
      </c>
      <c r="F238" s="48" t="s">
        <v>184</v>
      </c>
      <c r="G238" s="48"/>
      <c r="H238" s="43" t="s">
        <v>15</v>
      </c>
      <c r="I238" s="43" t="s">
        <v>221</v>
      </c>
      <c r="J238" s="48"/>
      <c r="K238" s="48"/>
      <c r="L238" s="43"/>
      <c r="M238" s="43"/>
      <c r="N238" s="43"/>
      <c r="O238" s="43"/>
      <c r="P238" s="43"/>
      <c r="Q238" s="43"/>
      <c r="R238" s="43"/>
      <c r="S238" s="43"/>
      <c r="T238" s="43"/>
      <c r="U238" s="43"/>
      <c r="V238" s="43"/>
      <c r="W238" s="43"/>
      <c r="X238" s="43"/>
      <c r="Y238" s="43"/>
      <c r="Z238" s="43"/>
      <c r="AA238" s="43"/>
      <c r="AB238" s="43"/>
      <c r="AC238" s="43"/>
      <c r="AD238" s="43"/>
      <c r="AE238" s="43"/>
      <c r="AF238" s="43"/>
      <c r="AG238" s="43"/>
      <c r="AH238" s="43"/>
    </row>
    <row r="239" spans="1:34">
      <c r="A239" s="48" t="s">
        <v>223</v>
      </c>
      <c r="B239" s="48"/>
      <c r="C239" s="42">
        <v>1.8251510827999994E-11</v>
      </c>
      <c r="D239" s="43" t="s">
        <v>13</v>
      </c>
      <c r="E239" s="43" t="s">
        <v>109</v>
      </c>
      <c r="F239" s="48" t="s">
        <v>184</v>
      </c>
      <c r="G239" s="48"/>
      <c r="H239" s="43" t="s">
        <v>15</v>
      </c>
      <c r="I239" s="43" t="s">
        <v>221</v>
      </c>
      <c r="J239" s="48"/>
      <c r="K239" s="48"/>
      <c r="L239" s="43"/>
      <c r="M239" s="43"/>
      <c r="N239" s="43"/>
      <c r="O239" s="43"/>
      <c r="P239" s="43"/>
      <c r="Q239" s="43"/>
      <c r="R239" s="43"/>
      <c r="S239" s="43"/>
      <c r="T239" s="43"/>
      <c r="U239" s="43"/>
      <c r="V239" s="43"/>
      <c r="W239" s="43"/>
      <c r="X239" s="43"/>
      <c r="Y239" s="43"/>
      <c r="Z239" s="43"/>
      <c r="AA239" s="43"/>
      <c r="AB239" s="43"/>
      <c r="AC239" s="43"/>
      <c r="AD239" s="43"/>
      <c r="AE239" s="43"/>
      <c r="AF239" s="43"/>
      <c r="AG239" s="43"/>
      <c r="AH239" s="43"/>
    </row>
    <row r="240" spans="1:34">
      <c r="A240" s="39"/>
      <c r="B240" s="39"/>
      <c r="C240" s="40"/>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row>
    <row r="241" spans="1:34">
      <c r="A241" s="41" t="s">
        <v>1</v>
      </c>
      <c r="B241" s="41" t="s">
        <v>224</v>
      </c>
      <c r="C241" s="42"/>
      <c r="D241" s="43"/>
      <c r="E241" s="43"/>
      <c r="F241" s="43"/>
      <c r="G241" s="43"/>
      <c r="H241" s="43"/>
      <c r="I241" s="43"/>
      <c r="J241" s="43"/>
    </row>
    <row r="242" spans="1:34">
      <c r="A242" s="41" t="s">
        <v>11</v>
      </c>
      <c r="B242" s="43" t="s">
        <v>225</v>
      </c>
      <c r="C242" s="42"/>
      <c r="D242" s="43"/>
      <c r="E242" s="43"/>
      <c r="F242" s="43"/>
      <c r="G242" s="43"/>
      <c r="H242" s="43"/>
      <c r="I242" s="43"/>
      <c r="J242" s="43"/>
    </row>
    <row r="243" spans="1:34">
      <c r="A243" s="41" t="s">
        <v>2</v>
      </c>
      <c r="B243" s="43" t="s">
        <v>29</v>
      </c>
      <c r="C243" s="42"/>
      <c r="D243" s="43"/>
      <c r="E243" s="43"/>
      <c r="F243" s="43"/>
      <c r="G243" s="43"/>
      <c r="H243" s="43"/>
      <c r="I243" s="43"/>
      <c r="J243" s="43"/>
    </row>
    <row r="244" spans="1:34">
      <c r="A244" s="44" t="s">
        <v>4</v>
      </c>
      <c r="B244" s="43" t="s">
        <v>197</v>
      </c>
      <c r="D244" s="43"/>
      <c r="E244" s="43"/>
      <c r="F244" s="43"/>
      <c r="G244" s="43"/>
      <c r="H244" s="43"/>
      <c r="I244" s="43"/>
      <c r="J244" s="43"/>
    </row>
    <row r="245" spans="1:34">
      <c r="A245" s="41" t="s">
        <v>3</v>
      </c>
      <c r="B245" s="45">
        <v>1</v>
      </c>
      <c r="C245" s="42"/>
      <c r="D245" s="43"/>
      <c r="E245" s="43"/>
      <c r="F245" s="43"/>
      <c r="G245" s="43"/>
      <c r="H245" s="43"/>
      <c r="I245" s="43"/>
      <c r="J245" s="43"/>
    </row>
    <row r="246" spans="1:34">
      <c r="A246" s="41" t="s">
        <v>6</v>
      </c>
      <c r="B246" s="43" t="s">
        <v>128</v>
      </c>
      <c r="C246" s="42"/>
      <c r="D246" s="43"/>
      <c r="E246" s="43"/>
      <c r="F246" s="43"/>
      <c r="G246" s="43"/>
      <c r="H246" s="43"/>
      <c r="I246" s="43"/>
      <c r="J246" s="43"/>
    </row>
    <row r="247" spans="1:34">
      <c r="A247" s="41" t="s">
        <v>76</v>
      </c>
      <c r="B247" s="43"/>
      <c r="C247" s="42"/>
      <c r="D247" s="46"/>
      <c r="E247" s="43"/>
      <c r="F247" s="43"/>
      <c r="G247" s="43"/>
      <c r="H247" s="43"/>
      <c r="I247" s="43"/>
      <c r="J247" s="43"/>
    </row>
    <row r="248" spans="1:34">
      <c r="A248" s="41" t="s">
        <v>7</v>
      </c>
      <c r="B248" s="43"/>
      <c r="C248" s="42"/>
      <c r="D248" s="43"/>
      <c r="E248" s="43"/>
      <c r="F248" s="43"/>
      <c r="G248" s="43"/>
      <c r="H248" s="43"/>
      <c r="I248" s="43"/>
      <c r="J248" s="43"/>
    </row>
    <row r="249" spans="1:34">
      <c r="A249" s="41" t="s">
        <v>8</v>
      </c>
      <c r="B249" s="41" t="s">
        <v>4</v>
      </c>
      <c r="C249" s="47" t="s">
        <v>9</v>
      </c>
      <c r="D249" s="41" t="s">
        <v>6</v>
      </c>
      <c r="E249" s="41" t="s">
        <v>106</v>
      </c>
      <c r="F249" s="41" t="s">
        <v>10</v>
      </c>
      <c r="G249" s="41" t="s">
        <v>2</v>
      </c>
      <c r="H249" s="41" t="s">
        <v>5</v>
      </c>
      <c r="I249" s="41" t="s">
        <v>11</v>
      </c>
      <c r="J249" s="43"/>
    </row>
    <row r="250" spans="1:34">
      <c r="A250" s="48" t="s">
        <v>224</v>
      </c>
      <c r="B250" s="48" t="s">
        <v>197</v>
      </c>
      <c r="C250" s="49">
        <v>1</v>
      </c>
      <c r="D250" s="43" t="s">
        <v>128</v>
      </c>
      <c r="E250" s="48" t="s">
        <v>198</v>
      </c>
      <c r="F250" s="48"/>
      <c r="G250" s="48" t="s">
        <v>29</v>
      </c>
      <c r="H250" s="48" t="s">
        <v>18</v>
      </c>
      <c r="I250" s="48"/>
      <c r="J250" s="48"/>
    </row>
    <row r="251" spans="1:34">
      <c r="A251" s="48" t="s">
        <v>226</v>
      </c>
      <c r="B251" s="48" t="s">
        <v>227</v>
      </c>
      <c r="C251" s="49">
        <v>8.5232248605658256</v>
      </c>
      <c r="D251" s="43" t="s">
        <v>13</v>
      </c>
      <c r="E251" s="48" t="s">
        <v>198</v>
      </c>
      <c r="F251" s="48"/>
      <c r="G251" s="48" t="s">
        <v>29</v>
      </c>
      <c r="H251" s="48" t="s">
        <v>12</v>
      </c>
      <c r="I251" s="48" t="s">
        <v>228</v>
      </c>
      <c r="J251" s="48"/>
    </row>
    <row r="252" spans="1:34">
      <c r="A252" s="48" t="s">
        <v>28</v>
      </c>
      <c r="B252" s="48" t="s">
        <v>20</v>
      </c>
      <c r="C252" s="49">
        <v>0.14149097282644188</v>
      </c>
      <c r="D252" s="43" t="s">
        <v>19</v>
      </c>
      <c r="E252" s="48" t="s">
        <v>211</v>
      </c>
      <c r="F252" s="48"/>
      <c r="G252" s="48" t="s">
        <v>29</v>
      </c>
      <c r="H252" s="48" t="s">
        <v>12</v>
      </c>
      <c r="I252" s="48"/>
      <c r="J252" s="48"/>
      <c r="K252" s="48"/>
      <c r="L252" s="43"/>
      <c r="M252" s="43"/>
      <c r="N252" s="43"/>
      <c r="O252" s="43"/>
      <c r="P252" s="43"/>
      <c r="Q252" s="43"/>
      <c r="R252" s="43"/>
      <c r="S252" s="43"/>
      <c r="T252" s="43"/>
      <c r="U252" s="43"/>
      <c r="V252" s="43"/>
      <c r="W252" s="43"/>
      <c r="X252" s="43"/>
      <c r="Y252" s="43"/>
      <c r="Z252" s="43"/>
      <c r="AA252" s="43"/>
      <c r="AB252" s="43"/>
      <c r="AC252" s="43"/>
      <c r="AD252" s="43"/>
      <c r="AE252" s="43"/>
      <c r="AF252" s="43"/>
      <c r="AG252" s="43"/>
      <c r="AH252" s="43"/>
    </row>
    <row r="253" spans="1:34">
      <c r="A253" s="43" t="s">
        <v>212</v>
      </c>
      <c r="B253" s="48" t="s">
        <v>213</v>
      </c>
      <c r="C253" s="42">
        <v>3.2478194058327522E-7</v>
      </c>
      <c r="D253" s="43" t="s">
        <v>6</v>
      </c>
      <c r="E253" s="48" t="s">
        <v>211</v>
      </c>
      <c r="F253" s="48"/>
      <c r="G253" s="48" t="s">
        <v>214</v>
      </c>
      <c r="H253" s="48" t="s">
        <v>12</v>
      </c>
      <c r="I253" s="64"/>
      <c r="J253" s="48"/>
      <c r="K253" s="48"/>
      <c r="L253" s="43"/>
      <c r="M253" s="43"/>
      <c r="N253" s="43"/>
      <c r="O253" s="43"/>
      <c r="P253" s="43"/>
      <c r="Q253" s="43"/>
      <c r="R253" s="43"/>
      <c r="S253" s="43"/>
      <c r="T253" s="43"/>
      <c r="U253" s="43"/>
      <c r="V253" s="43"/>
      <c r="W253" s="43"/>
      <c r="X253" s="43"/>
      <c r="Y253" s="43"/>
      <c r="Z253" s="43"/>
      <c r="AA253" s="43"/>
      <c r="AB253" s="43"/>
      <c r="AC253" s="43"/>
      <c r="AD253" s="43"/>
      <c r="AE253" s="43"/>
      <c r="AF253" s="43"/>
      <c r="AG253" s="43"/>
      <c r="AH253" s="43"/>
    </row>
    <row r="254" spans="1:34">
      <c r="A254" s="48" t="s">
        <v>215</v>
      </c>
      <c r="B254" s="48" t="s">
        <v>216</v>
      </c>
      <c r="C254" s="42">
        <v>1.2259126889049042E-6</v>
      </c>
      <c r="D254" s="43" t="s">
        <v>6</v>
      </c>
      <c r="E254" s="48" t="s">
        <v>211</v>
      </c>
      <c r="F254" s="48"/>
      <c r="G254" s="48" t="s">
        <v>140</v>
      </c>
      <c r="H254" s="48" t="s">
        <v>12</v>
      </c>
      <c r="I254" s="48" t="s">
        <v>229</v>
      </c>
      <c r="J254" s="48"/>
      <c r="K254" s="48"/>
      <c r="L254" s="43"/>
      <c r="M254" s="43"/>
      <c r="N254" s="43"/>
      <c r="O254" s="43"/>
      <c r="P254" s="43"/>
      <c r="Q254" s="43"/>
      <c r="R254" s="43"/>
      <c r="S254" s="43"/>
      <c r="T254" s="43"/>
      <c r="U254" s="43"/>
      <c r="V254" s="43"/>
      <c r="W254" s="43"/>
      <c r="X254" s="43"/>
      <c r="Y254" s="43"/>
      <c r="Z254" s="43"/>
      <c r="AA254" s="43"/>
      <c r="AB254" s="43"/>
      <c r="AC254" s="43"/>
      <c r="AD254" s="43"/>
      <c r="AE254" s="43"/>
      <c r="AF254" s="43"/>
      <c r="AG254" s="43"/>
      <c r="AH254" s="43"/>
    </row>
    <row r="255" spans="1:34">
      <c r="A255" s="42" t="s">
        <v>199</v>
      </c>
      <c r="B255" s="43"/>
      <c r="C255" s="49">
        <v>2.2505808627236248</v>
      </c>
      <c r="D255" s="43" t="s">
        <v>13</v>
      </c>
      <c r="E255" s="43" t="s">
        <v>109</v>
      </c>
      <c r="F255" s="43" t="s">
        <v>200</v>
      </c>
      <c r="G255" s="43"/>
      <c r="H255" s="43" t="s">
        <v>15</v>
      </c>
      <c r="I255" s="43" t="s">
        <v>217</v>
      </c>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c r="AG255" s="43"/>
      <c r="AH255" s="43"/>
    </row>
    <row r="256" spans="1:34">
      <c r="A256" s="48" t="s">
        <v>218</v>
      </c>
      <c r="B256" s="48"/>
      <c r="C256" s="49">
        <v>0.26554760117984672</v>
      </c>
      <c r="D256" s="43" t="s">
        <v>13</v>
      </c>
      <c r="E256" s="43" t="s">
        <v>109</v>
      </c>
      <c r="F256" s="48" t="s">
        <v>184</v>
      </c>
      <c r="G256" s="48"/>
      <c r="H256" s="43" t="s">
        <v>15</v>
      </c>
      <c r="I256" s="43" t="s">
        <v>219</v>
      </c>
      <c r="J256" s="48"/>
      <c r="K256" s="48"/>
      <c r="L256" s="43"/>
      <c r="M256" s="43"/>
      <c r="N256" s="43"/>
      <c r="O256" s="43"/>
      <c r="P256" s="43"/>
      <c r="Q256" s="43"/>
      <c r="R256" s="43"/>
      <c r="S256" s="43"/>
      <c r="T256" s="43"/>
      <c r="U256" s="43"/>
      <c r="V256" s="43"/>
      <c r="W256" s="43"/>
      <c r="X256" s="43"/>
      <c r="Y256" s="43"/>
      <c r="Z256" s="43"/>
      <c r="AA256" s="43"/>
      <c r="AB256" s="43"/>
      <c r="AC256" s="43"/>
      <c r="AD256" s="43"/>
      <c r="AE256" s="43"/>
      <c r="AF256" s="43"/>
      <c r="AG256" s="43"/>
      <c r="AH256" s="43"/>
    </row>
    <row r="257" spans="1:34">
      <c r="A257" s="48" t="s">
        <v>185</v>
      </c>
      <c r="B257" s="48"/>
      <c r="C257" s="49">
        <v>1.4411332292900546E-2</v>
      </c>
      <c r="D257" s="43" t="s">
        <v>13</v>
      </c>
      <c r="E257" s="43" t="s">
        <v>109</v>
      </c>
      <c r="F257" s="48" t="s">
        <v>184</v>
      </c>
      <c r="G257" s="48"/>
      <c r="H257" s="43" t="s">
        <v>15</v>
      </c>
      <c r="I257" s="43" t="s">
        <v>219</v>
      </c>
      <c r="J257" s="48"/>
      <c r="K257" s="48"/>
      <c r="L257" s="43"/>
      <c r="M257" s="43"/>
      <c r="N257" s="43"/>
      <c r="O257" s="43"/>
      <c r="P257" s="43"/>
      <c r="Q257" s="43"/>
      <c r="R257" s="43"/>
      <c r="S257" s="43"/>
      <c r="T257" s="43"/>
      <c r="U257" s="43"/>
      <c r="V257" s="43"/>
      <c r="W257" s="43"/>
      <c r="X257" s="43"/>
      <c r="Y257" s="43"/>
      <c r="Z257" s="43"/>
      <c r="AA257" s="43"/>
      <c r="AB257" s="43"/>
      <c r="AC257" s="43"/>
      <c r="AD257" s="43"/>
      <c r="AE257" s="43"/>
      <c r="AF257" s="43"/>
      <c r="AG257" s="43"/>
      <c r="AH257" s="43"/>
    </row>
    <row r="258" spans="1:34">
      <c r="A258" s="48" t="s">
        <v>220</v>
      </c>
      <c r="B258" s="48"/>
      <c r="C258" s="42">
        <v>1.2515583872E-4</v>
      </c>
      <c r="D258" s="43" t="s">
        <v>13</v>
      </c>
      <c r="E258" s="43" t="s">
        <v>109</v>
      </c>
      <c r="F258" s="48" t="s">
        <v>184</v>
      </c>
      <c r="G258" s="48"/>
      <c r="H258" s="43" t="s">
        <v>15</v>
      </c>
      <c r="I258" s="43" t="s">
        <v>221</v>
      </c>
      <c r="J258" s="48"/>
      <c r="K258" s="48"/>
      <c r="L258" s="43"/>
      <c r="M258" s="43"/>
      <c r="N258" s="43"/>
      <c r="O258" s="43"/>
      <c r="P258" s="43"/>
      <c r="Q258" s="43"/>
      <c r="R258" s="43"/>
      <c r="S258" s="43"/>
      <c r="T258" s="43"/>
      <c r="U258" s="43"/>
      <c r="V258" s="43"/>
      <c r="W258" s="43"/>
      <c r="X258" s="43"/>
      <c r="Y258" s="43"/>
      <c r="Z258" s="43"/>
      <c r="AA258" s="43"/>
      <c r="AB258" s="43"/>
      <c r="AC258" s="43"/>
      <c r="AD258" s="43"/>
      <c r="AE258" s="43"/>
      <c r="AF258" s="43"/>
      <c r="AG258" s="43"/>
      <c r="AH258" s="43"/>
    </row>
    <row r="259" spans="1:34">
      <c r="A259" s="48" t="s">
        <v>115</v>
      </c>
      <c r="B259" s="48"/>
      <c r="C259" s="42">
        <v>6.5182656435999991E-6</v>
      </c>
      <c r="D259" s="43" t="s">
        <v>13</v>
      </c>
      <c r="E259" s="43" t="s">
        <v>109</v>
      </c>
      <c r="F259" s="48" t="s">
        <v>184</v>
      </c>
      <c r="G259" s="48"/>
      <c r="H259" s="43" t="s">
        <v>15</v>
      </c>
      <c r="I259" s="43" t="s">
        <v>221</v>
      </c>
      <c r="J259" s="48"/>
      <c r="K259" s="48"/>
      <c r="L259" s="43"/>
      <c r="M259" s="43"/>
      <c r="N259" s="43"/>
      <c r="O259" s="43"/>
      <c r="P259" s="43"/>
      <c r="Q259" s="43"/>
      <c r="R259" s="43"/>
      <c r="S259" s="43"/>
      <c r="T259" s="43"/>
      <c r="U259" s="43"/>
      <c r="V259" s="43"/>
      <c r="W259" s="43"/>
      <c r="X259" s="43"/>
      <c r="Y259" s="43"/>
      <c r="Z259" s="43"/>
      <c r="AA259" s="43"/>
      <c r="AB259" s="43"/>
      <c r="AC259" s="43"/>
      <c r="AD259" s="43"/>
      <c r="AE259" s="43"/>
      <c r="AF259" s="43"/>
      <c r="AG259" s="43"/>
      <c r="AH259" s="43"/>
    </row>
    <row r="260" spans="1:34">
      <c r="A260" s="48" t="s">
        <v>119</v>
      </c>
      <c r="B260" s="48"/>
      <c r="C260" s="42">
        <v>3.9108905687999992E-5</v>
      </c>
      <c r="D260" s="43" t="s">
        <v>13</v>
      </c>
      <c r="E260" s="43" t="s">
        <v>109</v>
      </c>
      <c r="F260" s="48" t="s">
        <v>184</v>
      </c>
      <c r="G260" s="48"/>
      <c r="H260" s="43" t="s">
        <v>15</v>
      </c>
      <c r="I260" s="43" t="s">
        <v>221</v>
      </c>
      <c r="J260" s="48"/>
      <c r="K260" s="48"/>
      <c r="L260" s="43"/>
      <c r="M260" s="43"/>
      <c r="N260" s="43"/>
      <c r="O260" s="43"/>
      <c r="P260" s="43"/>
      <c r="Q260" s="43"/>
      <c r="R260" s="43"/>
      <c r="S260" s="43"/>
      <c r="T260" s="43"/>
      <c r="U260" s="43"/>
      <c r="V260" s="43"/>
      <c r="W260" s="43"/>
      <c r="X260" s="43"/>
      <c r="Y260" s="43"/>
      <c r="Z260" s="43"/>
      <c r="AA260" s="43"/>
      <c r="AB260" s="43"/>
      <c r="AC260" s="43"/>
      <c r="AD260" s="43"/>
      <c r="AE260" s="43"/>
      <c r="AF260" s="43"/>
      <c r="AG260" s="43"/>
      <c r="AH260" s="43"/>
    </row>
    <row r="261" spans="1:34">
      <c r="A261" s="48" t="s">
        <v>125</v>
      </c>
      <c r="B261" s="48"/>
      <c r="C261" s="42">
        <v>6.5182656435999999E-5</v>
      </c>
      <c r="D261" s="43" t="s">
        <v>13</v>
      </c>
      <c r="E261" s="43" t="s">
        <v>109</v>
      </c>
      <c r="F261" s="48" t="s">
        <v>184</v>
      </c>
      <c r="G261" s="48"/>
      <c r="H261" s="43" t="s">
        <v>15</v>
      </c>
      <c r="I261" s="43" t="s">
        <v>221</v>
      </c>
      <c r="J261" s="48"/>
      <c r="K261" s="48"/>
      <c r="L261" s="43"/>
      <c r="M261" s="43"/>
      <c r="N261" s="43"/>
      <c r="O261" s="43"/>
      <c r="P261" s="43"/>
      <c r="Q261" s="43"/>
      <c r="R261" s="43"/>
      <c r="S261" s="43"/>
      <c r="T261" s="43"/>
      <c r="U261" s="43"/>
      <c r="V261" s="43"/>
      <c r="W261" s="43"/>
      <c r="X261" s="43"/>
      <c r="Y261" s="43"/>
      <c r="Z261" s="43"/>
      <c r="AA261" s="43"/>
      <c r="AB261" s="43"/>
      <c r="AC261" s="43"/>
      <c r="AD261" s="43"/>
      <c r="AE261" s="43"/>
      <c r="AF261" s="43"/>
      <c r="AG261" s="43"/>
      <c r="AH261" s="43"/>
    </row>
    <row r="262" spans="1:34">
      <c r="A262" s="48" t="s">
        <v>222</v>
      </c>
      <c r="B262" s="48"/>
      <c r="C262" s="42">
        <v>5.2146354539999992E-6</v>
      </c>
      <c r="D262" s="43" t="s">
        <v>13</v>
      </c>
      <c r="E262" s="43" t="s">
        <v>109</v>
      </c>
      <c r="F262" s="48" t="s">
        <v>184</v>
      </c>
      <c r="G262" s="48"/>
      <c r="H262" s="43" t="s">
        <v>15</v>
      </c>
      <c r="I262" s="43" t="s">
        <v>221</v>
      </c>
      <c r="J262" s="48"/>
      <c r="K262" s="48"/>
      <c r="L262" s="43"/>
      <c r="M262" s="43"/>
      <c r="N262" s="43"/>
      <c r="O262" s="43"/>
      <c r="P262" s="43"/>
      <c r="Q262" s="43"/>
      <c r="R262" s="43"/>
      <c r="S262" s="43"/>
      <c r="T262" s="43"/>
      <c r="U262" s="43"/>
      <c r="V262" s="43"/>
      <c r="W262" s="43"/>
      <c r="X262" s="43"/>
      <c r="Y262" s="43"/>
      <c r="Z262" s="43"/>
      <c r="AA262" s="43"/>
      <c r="AB262" s="43"/>
      <c r="AC262" s="43"/>
      <c r="AD262" s="43"/>
      <c r="AE262" s="43"/>
      <c r="AF262" s="43"/>
      <c r="AG262" s="43"/>
      <c r="AH262" s="43"/>
    </row>
    <row r="263" spans="1:34">
      <c r="A263" s="48" t="s">
        <v>223</v>
      </c>
      <c r="B263" s="48"/>
      <c r="C263" s="42">
        <v>1.8251510827999997E-11</v>
      </c>
      <c r="D263" s="43" t="s">
        <v>13</v>
      </c>
      <c r="E263" s="43" t="s">
        <v>109</v>
      </c>
      <c r="F263" s="48" t="s">
        <v>184</v>
      </c>
      <c r="G263" s="48"/>
      <c r="H263" s="43" t="s">
        <v>15</v>
      </c>
      <c r="I263" s="43" t="s">
        <v>221</v>
      </c>
      <c r="J263" s="48"/>
      <c r="K263" s="48"/>
      <c r="L263" s="43"/>
      <c r="M263" s="43"/>
      <c r="N263" s="43"/>
      <c r="O263" s="43"/>
      <c r="P263" s="43"/>
      <c r="Q263" s="43"/>
      <c r="R263" s="43"/>
      <c r="S263" s="43"/>
      <c r="T263" s="43"/>
      <c r="U263" s="43"/>
      <c r="V263" s="43"/>
      <c r="W263" s="43"/>
      <c r="X263" s="43"/>
      <c r="Y263" s="43"/>
      <c r="Z263" s="43"/>
      <c r="AA263" s="43"/>
      <c r="AB263" s="43"/>
      <c r="AC263" s="43"/>
      <c r="AD263" s="43"/>
      <c r="AE263" s="43"/>
      <c r="AF263" s="43"/>
      <c r="AG263" s="43"/>
      <c r="AH263" s="43"/>
    </row>
    <row r="264" spans="1:34">
      <c r="A264" s="39"/>
      <c r="B264" s="39"/>
      <c r="C264" s="40"/>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row>
    <row r="265" spans="1:34">
      <c r="A265" s="41" t="s">
        <v>1</v>
      </c>
      <c r="B265" s="41" t="s">
        <v>230</v>
      </c>
      <c r="C265" s="42"/>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c r="AG265" s="43"/>
      <c r="AH265" s="43"/>
    </row>
    <row r="266" spans="1:34">
      <c r="A266" s="41" t="s">
        <v>11</v>
      </c>
      <c r="B266" s="43" t="s">
        <v>231</v>
      </c>
      <c r="C266" s="42"/>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c r="AG266" s="43"/>
      <c r="AH266" s="43"/>
    </row>
    <row r="267" spans="1:34">
      <c r="A267" s="41" t="s">
        <v>2</v>
      </c>
      <c r="B267" s="43" t="s">
        <v>29</v>
      </c>
      <c r="C267" s="42"/>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row>
    <row r="268" spans="1:34">
      <c r="A268" s="44" t="s">
        <v>4</v>
      </c>
      <c r="B268" s="43" t="s">
        <v>197</v>
      </c>
      <c r="C268" s="42"/>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c r="AG268" s="43"/>
      <c r="AH268" s="43"/>
    </row>
    <row r="269" spans="1:34">
      <c r="A269" s="41" t="s">
        <v>3</v>
      </c>
      <c r="B269" s="45">
        <v>1</v>
      </c>
      <c r="C269" s="42"/>
      <c r="D269" s="46"/>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c r="AG269" s="43"/>
      <c r="AH269" s="43"/>
    </row>
    <row r="270" spans="1:34">
      <c r="A270" s="41" t="s">
        <v>6</v>
      </c>
      <c r="B270" s="43" t="s">
        <v>128</v>
      </c>
      <c r="C270" s="42"/>
      <c r="D270" s="46"/>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c r="AG270" s="43"/>
      <c r="AH270" s="43"/>
    </row>
    <row r="271" spans="1:34">
      <c r="A271" s="41" t="s">
        <v>76</v>
      </c>
      <c r="B271" s="43"/>
      <c r="C271" s="42"/>
      <c r="D271" s="46"/>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c r="AG271" s="43"/>
      <c r="AH271" s="43"/>
    </row>
    <row r="272" spans="1:34">
      <c r="A272" s="41" t="s">
        <v>7</v>
      </c>
      <c r="B272" s="43"/>
      <c r="C272" s="42"/>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c r="AG272" s="43"/>
      <c r="AH272" s="43"/>
    </row>
    <row r="273" spans="1:34">
      <c r="A273" s="41" t="s">
        <v>8</v>
      </c>
      <c r="B273" s="41" t="s">
        <v>4</v>
      </c>
      <c r="C273" s="47" t="s">
        <v>9</v>
      </c>
      <c r="D273" s="41" t="s">
        <v>6</v>
      </c>
      <c r="E273" s="41" t="s">
        <v>106</v>
      </c>
      <c r="F273" s="41" t="s">
        <v>10</v>
      </c>
      <c r="G273" s="41" t="s">
        <v>2</v>
      </c>
      <c r="H273" s="41" t="s">
        <v>5</v>
      </c>
      <c r="I273" s="41" t="s">
        <v>11</v>
      </c>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c r="AG273" s="43"/>
      <c r="AH273" s="43"/>
    </row>
    <row r="274" spans="1:34">
      <c r="A274" s="48" t="s">
        <v>230</v>
      </c>
      <c r="B274" s="48" t="s">
        <v>197</v>
      </c>
      <c r="C274" s="49">
        <v>1</v>
      </c>
      <c r="D274" s="43" t="s">
        <v>128</v>
      </c>
      <c r="E274" s="48" t="s">
        <v>198</v>
      </c>
      <c r="F274" s="48"/>
      <c r="G274" s="48" t="s">
        <v>29</v>
      </c>
      <c r="H274" s="48" t="s">
        <v>18</v>
      </c>
      <c r="I274" s="48"/>
      <c r="J274" s="48"/>
      <c r="K274" s="48"/>
      <c r="L274" s="43"/>
      <c r="M274" s="43"/>
      <c r="N274" s="43"/>
      <c r="O274" s="43"/>
      <c r="P274" s="43"/>
      <c r="Q274" s="43"/>
      <c r="R274" s="43"/>
      <c r="S274" s="43"/>
      <c r="T274" s="43"/>
      <c r="U274" s="43"/>
      <c r="V274" s="43"/>
      <c r="W274" s="43"/>
      <c r="X274" s="43"/>
      <c r="Y274" s="43"/>
      <c r="Z274" s="43"/>
      <c r="AA274" s="43"/>
      <c r="AB274" s="43"/>
      <c r="AC274" s="43"/>
      <c r="AD274" s="43"/>
      <c r="AE274" s="43"/>
      <c r="AF274" s="43"/>
      <c r="AG274" s="43"/>
      <c r="AH274" s="43"/>
    </row>
    <row r="275" spans="1:34">
      <c r="A275" s="43" t="s">
        <v>315</v>
      </c>
      <c r="B275" s="43" t="s">
        <v>233</v>
      </c>
      <c r="C275" s="49">
        <v>7.1155050309249033</v>
      </c>
      <c r="D275" s="43" t="s">
        <v>13</v>
      </c>
      <c r="E275" s="48" t="s">
        <v>198</v>
      </c>
      <c r="F275" s="43"/>
      <c r="G275" s="48" t="s">
        <v>29</v>
      </c>
      <c r="H275" s="43" t="s">
        <v>12</v>
      </c>
      <c r="I275" s="48" t="s">
        <v>228</v>
      </c>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c r="AG275" s="43"/>
      <c r="AH275" s="43"/>
    </row>
    <row r="276" spans="1:34">
      <c r="A276" s="48" t="s">
        <v>28</v>
      </c>
      <c r="B276" s="48" t="s">
        <v>20</v>
      </c>
      <c r="C276" s="49">
        <v>0.14257531854349526</v>
      </c>
      <c r="D276" s="43" t="s">
        <v>19</v>
      </c>
      <c r="E276" s="48" t="s">
        <v>211</v>
      </c>
      <c r="F276" s="48"/>
      <c r="G276" s="48" t="s">
        <v>29</v>
      </c>
      <c r="H276" s="48" t="s">
        <v>12</v>
      </c>
      <c r="I276" s="48"/>
      <c r="J276" s="48"/>
      <c r="K276" s="48"/>
      <c r="L276" s="43"/>
      <c r="M276" s="43"/>
      <c r="N276" s="43"/>
      <c r="O276" s="43"/>
      <c r="P276" s="43"/>
      <c r="Q276" s="43"/>
      <c r="R276" s="43"/>
      <c r="S276" s="43"/>
      <c r="T276" s="43"/>
      <c r="U276" s="43"/>
      <c r="V276" s="43"/>
      <c r="W276" s="43"/>
      <c r="X276" s="43"/>
      <c r="Y276" s="43"/>
      <c r="Z276" s="43"/>
      <c r="AA276" s="43"/>
      <c r="AB276" s="43"/>
      <c r="AC276" s="43"/>
      <c r="AD276" s="43"/>
      <c r="AE276" s="43"/>
      <c r="AF276" s="43"/>
      <c r="AG276" s="43"/>
      <c r="AH276" s="43"/>
    </row>
    <row r="277" spans="1:34">
      <c r="A277" s="43" t="s">
        <v>212</v>
      </c>
      <c r="B277" s="48" t="s">
        <v>213</v>
      </c>
      <c r="C277" s="42">
        <v>3.2478194058327522E-7</v>
      </c>
      <c r="D277" s="43" t="s">
        <v>6</v>
      </c>
      <c r="E277" s="48" t="s">
        <v>211</v>
      </c>
      <c r="F277" s="48"/>
      <c r="G277" s="48" t="s">
        <v>214</v>
      </c>
      <c r="H277" s="48" t="s">
        <v>12</v>
      </c>
      <c r="I277" s="64"/>
      <c r="J277" s="48"/>
      <c r="K277" s="48"/>
      <c r="L277" s="43"/>
      <c r="M277" s="43"/>
      <c r="N277" s="43"/>
      <c r="O277" s="43"/>
      <c r="P277" s="43"/>
      <c r="Q277" s="43"/>
      <c r="R277" s="43"/>
      <c r="S277" s="43"/>
      <c r="T277" s="43"/>
      <c r="U277" s="43"/>
      <c r="V277" s="43"/>
      <c r="W277" s="43"/>
      <c r="X277" s="43"/>
      <c r="Y277" s="43"/>
      <c r="Z277" s="43"/>
      <c r="AA277" s="43"/>
      <c r="AB277" s="43"/>
      <c r="AC277" s="43"/>
      <c r="AD277" s="43"/>
      <c r="AE277" s="43"/>
      <c r="AF277" s="43"/>
      <c r="AG277" s="43"/>
      <c r="AH277" s="43"/>
    </row>
    <row r="278" spans="1:34">
      <c r="A278" s="48" t="s">
        <v>215</v>
      </c>
      <c r="B278" s="48" t="s">
        <v>216</v>
      </c>
      <c r="C278" s="42">
        <v>1.2353077276634966E-6</v>
      </c>
      <c r="D278" s="43" t="s">
        <v>6</v>
      </c>
      <c r="E278" s="48" t="s">
        <v>211</v>
      </c>
      <c r="F278" s="48"/>
      <c r="G278" s="48" t="s">
        <v>140</v>
      </c>
      <c r="H278" s="48" t="s">
        <v>12</v>
      </c>
      <c r="I278" s="48" t="s">
        <v>229</v>
      </c>
      <c r="J278" s="48"/>
      <c r="K278" s="48"/>
      <c r="L278" s="43"/>
      <c r="M278" s="43"/>
      <c r="N278" s="43"/>
      <c r="O278" s="43"/>
      <c r="P278" s="43"/>
      <c r="Q278" s="43"/>
      <c r="R278" s="43"/>
      <c r="S278" s="43"/>
      <c r="T278" s="43"/>
      <c r="U278" s="43"/>
      <c r="V278" s="43"/>
      <c r="W278" s="43"/>
      <c r="X278" s="43"/>
      <c r="Y278" s="43"/>
      <c r="Z278" s="43"/>
      <c r="AA278" s="43"/>
      <c r="AB278" s="43"/>
      <c r="AC278" s="43"/>
      <c r="AD278" s="43"/>
      <c r="AE278" s="43"/>
      <c r="AF278" s="43"/>
      <c r="AG278" s="43"/>
      <c r="AH278" s="43"/>
    </row>
    <row r="279" spans="1:34">
      <c r="A279" s="42" t="s">
        <v>199</v>
      </c>
      <c r="B279" s="43"/>
      <c r="C279" s="49">
        <v>2.2511077672142359</v>
      </c>
      <c r="D279" s="43" t="s">
        <v>13</v>
      </c>
      <c r="E279" s="43" t="s">
        <v>109</v>
      </c>
      <c r="F279" s="43" t="s">
        <v>200</v>
      </c>
      <c r="G279" s="43"/>
      <c r="H279" s="43" t="s">
        <v>15</v>
      </c>
      <c r="I279" s="43" t="s">
        <v>217</v>
      </c>
    </row>
    <row r="280" spans="1:34">
      <c r="A280" s="48" t="s">
        <v>218</v>
      </c>
      <c r="B280" s="51"/>
      <c r="C280" s="49">
        <v>0.2653153277009781</v>
      </c>
      <c r="D280" s="43" t="s">
        <v>13</v>
      </c>
      <c r="E280" s="43" t="s">
        <v>109</v>
      </c>
      <c r="F280" s="48" t="s">
        <v>184</v>
      </c>
      <c r="G280" s="48"/>
      <c r="H280" s="43" t="s">
        <v>15</v>
      </c>
      <c r="I280" s="43" t="s">
        <v>219</v>
      </c>
    </row>
    <row r="281" spans="1:34">
      <c r="A281" s="48" t="s">
        <v>185</v>
      </c>
      <c r="B281" s="48"/>
      <c r="C281" s="49">
        <v>1.4521776557553446E-2</v>
      </c>
      <c r="D281" s="43" t="s">
        <v>13</v>
      </c>
      <c r="E281" s="43" t="s">
        <v>109</v>
      </c>
      <c r="F281" s="48" t="s">
        <v>184</v>
      </c>
      <c r="G281" s="48"/>
      <c r="H281" s="43" t="s">
        <v>15</v>
      </c>
      <c r="I281" s="43" t="s">
        <v>219</v>
      </c>
    </row>
    <row r="282" spans="1:34">
      <c r="A282" s="48" t="s">
        <v>220</v>
      </c>
      <c r="B282" s="48"/>
      <c r="C282" s="42">
        <v>1.2515583872E-4</v>
      </c>
      <c r="D282" s="43" t="s">
        <v>13</v>
      </c>
      <c r="E282" s="43" t="s">
        <v>109</v>
      </c>
      <c r="F282" s="48" t="s">
        <v>184</v>
      </c>
      <c r="G282" s="48"/>
      <c r="H282" s="43" t="s">
        <v>15</v>
      </c>
      <c r="I282" s="43" t="s">
        <v>221</v>
      </c>
      <c r="J282" s="48"/>
      <c r="K282" s="48"/>
      <c r="L282" s="43"/>
      <c r="M282" s="43"/>
      <c r="N282" s="43"/>
      <c r="O282" s="43"/>
      <c r="P282" s="43"/>
      <c r="Q282" s="43"/>
      <c r="R282" s="43"/>
      <c r="S282" s="43"/>
      <c r="T282" s="43"/>
      <c r="U282" s="43"/>
      <c r="V282" s="43"/>
      <c r="W282" s="43"/>
      <c r="X282" s="43"/>
      <c r="Y282" s="43"/>
      <c r="Z282" s="43"/>
      <c r="AA282" s="43"/>
      <c r="AB282" s="43"/>
      <c r="AC282" s="43"/>
      <c r="AD282" s="43"/>
      <c r="AE282" s="43"/>
      <c r="AF282" s="43"/>
      <c r="AG282" s="43"/>
      <c r="AH282" s="43"/>
    </row>
    <row r="283" spans="1:34">
      <c r="A283" s="48" t="s">
        <v>115</v>
      </c>
      <c r="B283" s="48"/>
      <c r="C283" s="42">
        <v>6.5182656435999991E-6</v>
      </c>
      <c r="D283" s="43" t="s">
        <v>13</v>
      </c>
      <c r="E283" s="43" t="s">
        <v>109</v>
      </c>
      <c r="F283" s="48" t="s">
        <v>184</v>
      </c>
      <c r="G283" s="48"/>
      <c r="H283" s="43" t="s">
        <v>15</v>
      </c>
      <c r="I283" s="43" t="s">
        <v>221</v>
      </c>
      <c r="J283" s="48"/>
      <c r="K283" s="48"/>
      <c r="L283" s="43"/>
      <c r="M283" s="43"/>
      <c r="N283" s="43"/>
      <c r="O283" s="43"/>
      <c r="P283" s="43"/>
      <c r="Q283" s="43"/>
      <c r="R283" s="43"/>
      <c r="S283" s="43"/>
      <c r="T283" s="43"/>
      <c r="U283" s="43"/>
      <c r="V283" s="43"/>
      <c r="W283" s="43"/>
      <c r="X283" s="43"/>
      <c r="Y283" s="43"/>
      <c r="Z283" s="43"/>
      <c r="AA283" s="43"/>
      <c r="AB283" s="43"/>
      <c r="AC283" s="43"/>
      <c r="AD283" s="43"/>
      <c r="AE283" s="43"/>
      <c r="AF283" s="43"/>
      <c r="AG283" s="43"/>
      <c r="AH283" s="43"/>
    </row>
    <row r="284" spans="1:34">
      <c r="A284" s="48" t="s">
        <v>119</v>
      </c>
      <c r="B284" s="48"/>
      <c r="C284" s="42">
        <v>3.9108905687999992E-5</v>
      </c>
      <c r="D284" s="43" t="s">
        <v>13</v>
      </c>
      <c r="E284" s="43" t="s">
        <v>109</v>
      </c>
      <c r="F284" s="48" t="s">
        <v>184</v>
      </c>
      <c r="G284" s="48"/>
      <c r="H284" s="43" t="s">
        <v>15</v>
      </c>
      <c r="I284" s="43" t="s">
        <v>221</v>
      </c>
      <c r="J284" s="48"/>
      <c r="K284" s="48"/>
      <c r="L284" s="43"/>
      <c r="M284" s="43"/>
      <c r="N284" s="43"/>
      <c r="O284" s="43"/>
      <c r="P284" s="43"/>
      <c r="Q284" s="43"/>
      <c r="R284" s="43"/>
      <c r="S284" s="43"/>
      <c r="T284" s="43"/>
      <c r="U284" s="43"/>
      <c r="V284" s="43"/>
      <c r="W284" s="43"/>
      <c r="X284" s="43"/>
      <c r="Y284" s="43"/>
      <c r="Z284" s="43"/>
      <c r="AA284" s="43"/>
      <c r="AB284" s="43"/>
      <c r="AC284" s="43"/>
      <c r="AD284" s="43"/>
      <c r="AE284" s="43"/>
      <c r="AF284" s="43"/>
      <c r="AG284" s="43"/>
      <c r="AH284" s="43"/>
    </row>
    <row r="285" spans="1:34">
      <c r="A285" s="48" t="s">
        <v>125</v>
      </c>
      <c r="B285" s="48"/>
      <c r="C285" s="42">
        <v>6.5182656435999999E-5</v>
      </c>
      <c r="D285" s="43" t="s">
        <v>13</v>
      </c>
      <c r="E285" s="43" t="s">
        <v>109</v>
      </c>
      <c r="F285" s="48" t="s">
        <v>184</v>
      </c>
      <c r="G285" s="48"/>
      <c r="H285" s="43" t="s">
        <v>15</v>
      </c>
      <c r="I285" s="43" t="s">
        <v>221</v>
      </c>
      <c r="J285" s="48"/>
      <c r="K285" s="48"/>
      <c r="L285" s="43"/>
      <c r="M285" s="43"/>
      <c r="N285" s="43"/>
      <c r="O285" s="43"/>
      <c r="P285" s="43"/>
      <c r="Q285" s="43"/>
      <c r="R285" s="43"/>
      <c r="S285" s="43"/>
      <c r="T285" s="43"/>
      <c r="U285" s="43"/>
      <c r="V285" s="43"/>
      <c r="W285" s="43"/>
      <c r="X285" s="43"/>
      <c r="Y285" s="43"/>
      <c r="Z285" s="43"/>
      <c r="AA285" s="43"/>
      <c r="AB285" s="43"/>
      <c r="AC285" s="43"/>
      <c r="AD285" s="43"/>
      <c r="AE285" s="43"/>
      <c r="AF285" s="43"/>
      <c r="AG285" s="43"/>
      <c r="AH285" s="43"/>
    </row>
    <row r="286" spans="1:34">
      <c r="A286" s="48" t="s">
        <v>222</v>
      </c>
      <c r="B286" s="48"/>
      <c r="C286" s="42">
        <v>5.2146354539999992E-6</v>
      </c>
      <c r="D286" s="43" t="s">
        <v>13</v>
      </c>
      <c r="E286" s="43" t="s">
        <v>109</v>
      </c>
      <c r="F286" s="48" t="s">
        <v>184</v>
      </c>
      <c r="G286" s="48"/>
      <c r="H286" s="43" t="s">
        <v>15</v>
      </c>
      <c r="I286" s="43" t="s">
        <v>221</v>
      </c>
      <c r="J286" s="48"/>
      <c r="K286" s="48"/>
      <c r="L286" s="43"/>
      <c r="M286" s="43"/>
      <c r="N286" s="43"/>
      <c r="O286" s="43"/>
      <c r="P286" s="43"/>
      <c r="Q286" s="43"/>
      <c r="R286" s="43"/>
      <c r="S286" s="43"/>
      <c r="T286" s="43"/>
      <c r="U286" s="43"/>
      <c r="V286" s="43"/>
      <c r="W286" s="43"/>
      <c r="X286" s="43"/>
      <c r="Y286" s="43"/>
      <c r="Z286" s="43"/>
      <c r="AA286" s="43"/>
      <c r="AB286" s="43"/>
      <c r="AC286" s="43"/>
      <c r="AD286" s="43"/>
      <c r="AE286" s="43"/>
      <c r="AF286" s="43"/>
      <c r="AG286" s="43"/>
      <c r="AH286" s="43"/>
    </row>
    <row r="287" spans="1:34">
      <c r="A287" s="48" t="s">
        <v>223</v>
      </c>
      <c r="B287" s="48"/>
      <c r="C287" s="42">
        <v>1.8251510827999997E-11</v>
      </c>
      <c r="D287" s="43" t="s">
        <v>13</v>
      </c>
      <c r="E287" s="43" t="s">
        <v>109</v>
      </c>
      <c r="F287" s="48" t="s">
        <v>184</v>
      </c>
      <c r="G287" s="48"/>
      <c r="H287" s="43" t="s">
        <v>15</v>
      </c>
      <c r="I287" s="43" t="s">
        <v>221</v>
      </c>
      <c r="J287" s="48"/>
      <c r="K287" s="48"/>
      <c r="L287" s="43"/>
      <c r="M287" s="43"/>
      <c r="N287" s="43"/>
      <c r="O287" s="43"/>
      <c r="P287" s="43"/>
      <c r="Q287" s="43"/>
      <c r="R287" s="43"/>
      <c r="S287" s="43"/>
      <c r="T287" s="43"/>
      <c r="U287" s="43"/>
      <c r="V287" s="43"/>
      <c r="W287" s="43"/>
      <c r="X287" s="43"/>
      <c r="Y287" s="43"/>
      <c r="Z287" s="43"/>
      <c r="AA287" s="43"/>
      <c r="AB287" s="43"/>
      <c r="AC287" s="43"/>
      <c r="AD287" s="43"/>
      <c r="AE287" s="43"/>
      <c r="AF287" s="43"/>
      <c r="AG287" s="43"/>
      <c r="AH287" s="43"/>
    </row>
    <row r="288" spans="1:34">
      <c r="A288" s="39"/>
      <c r="B288" s="39"/>
      <c r="C288" s="40"/>
      <c r="D288" s="39"/>
      <c r="E288" s="39"/>
      <c r="F288" s="39"/>
      <c r="G288" s="39"/>
      <c r="H288" s="39"/>
      <c r="I288" s="39"/>
      <c r="J288" s="39"/>
      <c r="K288" s="43"/>
      <c r="L288" s="43"/>
      <c r="M288" s="43"/>
      <c r="N288" s="43"/>
      <c r="O288" s="43"/>
      <c r="P288" s="43"/>
      <c r="Q288" s="43"/>
      <c r="R288" s="43"/>
      <c r="S288" s="43"/>
      <c r="T288" s="43"/>
      <c r="U288" s="43"/>
      <c r="V288" s="43"/>
      <c r="W288" s="43"/>
      <c r="X288" s="43"/>
      <c r="Y288" s="43"/>
      <c r="Z288" s="43"/>
      <c r="AA288" s="43"/>
      <c r="AB288" s="43"/>
      <c r="AC288" s="43"/>
      <c r="AD288" s="43"/>
      <c r="AE288" s="43"/>
      <c r="AF288" s="43"/>
      <c r="AG288" s="43"/>
      <c r="AH288" s="43"/>
    </row>
    <row r="289" spans="1:34">
      <c r="A289" s="41" t="s">
        <v>1</v>
      </c>
      <c r="B289" s="41" t="s">
        <v>234</v>
      </c>
      <c r="C289" s="42"/>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c r="AG289" s="43"/>
      <c r="AH289" s="43"/>
    </row>
    <row r="290" spans="1:34">
      <c r="A290" s="41" t="s">
        <v>11</v>
      </c>
      <c r="B290" s="43" t="s">
        <v>235</v>
      </c>
      <c r="C290" s="42"/>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c r="AG290" s="43"/>
      <c r="AH290" s="43"/>
    </row>
    <row r="291" spans="1:34">
      <c r="A291" s="41" t="s">
        <v>2</v>
      </c>
      <c r="B291" s="43" t="s">
        <v>29</v>
      </c>
      <c r="C291" s="42"/>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c r="AG291" s="43"/>
      <c r="AH291" s="43"/>
    </row>
    <row r="292" spans="1:34">
      <c r="A292" s="44" t="s">
        <v>4</v>
      </c>
      <c r="B292" s="43" t="s">
        <v>197</v>
      </c>
      <c r="C292" s="42"/>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c r="AG292" s="43"/>
      <c r="AH292" s="43"/>
    </row>
    <row r="293" spans="1:34">
      <c r="A293" s="41" t="s">
        <v>3</v>
      </c>
      <c r="B293" s="45">
        <v>1</v>
      </c>
      <c r="C293" s="42"/>
      <c r="D293" s="46"/>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c r="AG293" s="43"/>
      <c r="AH293" s="43"/>
    </row>
    <row r="294" spans="1:34">
      <c r="A294" s="41" t="s">
        <v>6</v>
      </c>
      <c r="B294" s="43" t="s">
        <v>128</v>
      </c>
      <c r="C294" s="42"/>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c r="AG294" s="43"/>
      <c r="AH294" s="43"/>
    </row>
    <row r="295" spans="1:34">
      <c r="A295" s="41" t="s">
        <v>76</v>
      </c>
      <c r="B295" s="43"/>
      <c r="C295" s="42"/>
      <c r="D295" s="46"/>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c r="AG295" s="43"/>
      <c r="AH295" s="43"/>
    </row>
    <row r="296" spans="1:34">
      <c r="A296" s="41" t="s">
        <v>7</v>
      </c>
      <c r="B296" s="43"/>
      <c r="C296" s="42"/>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c r="AG296" s="43"/>
      <c r="AH296" s="43"/>
    </row>
    <row r="297" spans="1:34">
      <c r="A297" s="41" t="s">
        <v>8</v>
      </c>
      <c r="B297" s="41" t="s">
        <v>4</v>
      </c>
      <c r="C297" s="47" t="s">
        <v>9</v>
      </c>
      <c r="D297" s="41" t="s">
        <v>6</v>
      </c>
      <c r="E297" s="41" t="s">
        <v>106</v>
      </c>
      <c r="F297" s="41" t="s">
        <v>10</v>
      </c>
      <c r="G297" s="41" t="s">
        <v>2</v>
      </c>
      <c r="H297" s="41" t="s">
        <v>5</v>
      </c>
      <c r="I297" s="41" t="s">
        <v>11</v>
      </c>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c r="AG297" s="43"/>
      <c r="AH297" s="43"/>
    </row>
    <row r="298" spans="1:34">
      <c r="A298" s="48" t="s">
        <v>234</v>
      </c>
      <c r="B298" s="48" t="s">
        <v>197</v>
      </c>
      <c r="C298" s="49">
        <v>1</v>
      </c>
      <c r="D298" s="43" t="s">
        <v>128</v>
      </c>
      <c r="E298" s="48"/>
      <c r="F298" s="48"/>
      <c r="G298" s="48" t="s">
        <v>29</v>
      </c>
      <c r="H298" s="48" t="s">
        <v>18</v>
      </c>
      <c r="I298" s="48"/>
      <c r="J298" s="48"/>
      <c r="K298" s="48"/>
      <c r="L298" s="43"/>
      <c r="M298" s="43"/>
      <c r="N298" s="43"/>
      <c r="O298" s="43"/>
      <c r="P298" s="43"/>
      <c r="Q298" s="43"/>
      <c r="R298" s="43"/>
      <c r="S298" s="43"/>
      <c r="T298" s="43"/>
      <c r="U298" s="43"/>
      <c r="V298" s="43"/>
      <c r="W298" s="43"/>
      <c r="X298" s="43"/>
      <c r="Y298" s="43"/>
      <c r="Z298" s="43"/>
      <c r="AA298" s="43"/>
      <c r="AB298" s="43"/>
      <c r="AC298" s="43"/>
      <c r="AD298" s="43"/>
      <c r="AE298" s="43"/>
      <c r="AF298" s="43"/>
      <c r="AG298" s="43"/>
      <c r="AH298" s="43"/>
    </row>
    <row r="299" spans="1:34">
      <c r="A299" s="43" t="s">
        <v>236</v>
      </c>
      <c r="B299" s="43" t="s">
        <v>237</v>
      </c>
      <c r="C299" s="49">
        <v>8.3098875333373829</v>
      </c>
      <c r="D299" s="43" t="s">
        <v>13</v>
      </c>
      <c r="E299" s="48"/>
      <c r="F299" s="43"/>
      <c r="G299" s="48" t="s">
        <v>29</v>
      </c>
      <c r="H299" s="43" t="s">
        <v>12</v>
      </c>
      <c r="I299" s="48" t="s">
        <v>228</v>
      </c>
      <c r="J299" s="43"/>
      <c r="K299" s="48"/>
      <c r="L299" s="43"/>
      <c r="M299" s="43"/>
      <c r="N299" s="43"/>
      <c r="O299" s="43"/>
      <c r="P299" s="43"/>
      <c r="Q299" s="43"/>
      <c r="R299" s="43"/>
      <c r="S299" s="43"/>
      <c r="T299" s="43"/>
      <c r="U299" s="43"/>
      <c r="V299" s="43"/>
      <c r="W299" s="43"/>
      <c r="X299" s="43"/>
      <c r="Y299" s="43"/>
      <c r="Z299" s="43"/>
      <c r="AA299" s="43"/>
      <c r="AB299" s="43"/>
      <c r="AC299" s="43"/>
      <c r="AD299" s="43"/>
      <c r="AE299" s="43"/>
      <c r="AF299" s="43"/>
      <c r="AG299" s="43"/>
      <c r="AH299" s="43"/>
    </row>
    <row r="300" spans="1:34">
      <c r="A300" s="48" t="s">
        <v>28</v>
      </c>
      <c r="B300" s="48" t="s">
        <v>20</v>
      </c>
      <c r="C300" s="49">
        <v>0.14208273740759059</v>
      </c>
      <c r="D300" s="43" t="s">
        <v>19</v>
      </c>
      <c r="E300" s="48" t="s">
        <v>211</v>
      </c>
      <c r="F300" s="48"/>
      <c r="G300" s="48" t="s">
        <v>29</v>
      </c>
      <c r="H300" s="48" t="s">
        <v>12</v>
      </c>
      <c r="I300" s="48"/>
      <c r="J300" s="48"/>
    </row>
    <row r="301" spans="1:34">
      <c r="A301" s="43" t="s">
        <v>212</v>
      </c>
      <c r="B301" s="48" t="s">
        <v>213</v>
      </c>
      <c r="C301" s="42">
        <v>3.2478194058327522E-7</v>
      </c>
      <c r="D301" s="43" t="s">
        <v>6</v>
      </c>
      <c r="E301" s="48" t="s">
        <v>211</v>
      </c>
      <c r="F301" s="48"/>
      <c r="G301" s="48" t="s">
        <v>214</v>
      </c>
      <c r="H301" s="48" t="s">
        <v>12</v>
      </c>
      <c r="I301" s="64"/>
      <c r="J301" s="48"/>
    </row>
    <row r="302" spans="1:34">
      <c r="A302" s="48" t="s">
        <v>215</v>
      </c>
      <c r="B302" s="48" t="s">
        <v>216</v>
      </c>
      <c r="C302" s="42">
        <v>1.2310398832013525E-6</v>
      </c>
      <c r="D302" s="43" t="s">
        <v>6</v>
      </c>
      <c r="E302" s="48" t="s">
        <v>211</v>
      </c>
      <c r="F302" s="48"/>
      <c r="G302" s="48" t="s">
        <v>140</v>
      </c>
      <c r="H302" s="48" t="s">
        <v>12</v>
      </c>
      <c r="I302" s="48" t="s">
        <v>229</v>
      </c>
      <c r="J302" s="48"/>
    </row>
    <row r="303" spans="1:34">
      <c r="A303" s="42" t="s">
        <v>199</v>
      </c>
      <c r="B303" s="43"/>
      <c r="C303" s="49">
        <v>2.2503243742142924</v>
      </c>
      <c r="D303" s="43" t="s">
        <v>13</v>
      </c>
      <c r="E303" s="43" t="s">
        <v>109</v>
      </c>
      <c r="F303" s="43" t="s">
        <v>200</v>
      </c>
      <c r="G303" s="43"/>
      <c r="H303" s="43" t="s">
        <v>15</v>
      </c>
      <c r="I303" s="43" t="s">
        <v>217</v>
      </c>
    </row>
    <row r="304" spans="1:34">
      <c r="A304" s="48" t="s">
        <v>218</v>
      </c>
      <c r="B304" s="51"/>
      <c r="C304" s="49">
        <v>0.26534706999299229</v>
      </c>
      <c r="D304" s="43" t="s">
        <v>13</v>
      </c>
      <c r="E304" s="43" t="s">
        <v>109</v>
      </c>
      <c r="F304" s="48" t="s">
        <v>184</v>
      </c>
      <c r="G304" s="48"/>
      <c r="H304" s="43" t="s">
        <v>15</v>
      </c>
      <c r="I304" s="43" t="s">
        <v>219</v>
      </c>
    </row>
    <row r="305" spans="1:34">
      <c r="A305" s="48" t="s">
        <v>185</v>
      </c>
      <c r="B305" s="48"/>
      <c r="C305" s="49">
        <v>1.4471605509260181E-2</v>
      </c>
      <c r="D305" s="43" t="s">
        <v>13</v>
      </c>
      <c r="E305" s="43" t="s">
        <v>109</v>
      </c>
      <c r="F305" s="48" t="s">
        <v>184</v>
      </c>
      <c r="G305" s="48"/>
      <c r="H305" s="43" t="s">
        <v>15</v>
      </c>
      <c r="I305" s="43" t="s">
        <v>219</v>
      </c>
    </row>
    <row r="306" spans="1:34">
      <c r="A306" s="48" t="s">
        <v>220</v>
      </c>
      <c r="B306" s="48"/>
      <c r="C306" s="42">
        <v>1.2515583871999998E-4</v>
      </c>
      <c r="D306" s="43" t="s">
        <v>13</v>
      </c>
      <c r="E306" s="43" t="s">
        <v>109</v>
      </c>
      <c r="F306" s="48" t="s">
        <v>184</v>
      </c>
      <c r="G306" s="48"/>
      <c r="H306" s="43" t="s">
        <v>15</v>
      </c>
      <c r="I306" s="43" t="s">
        <v>221</v>
      </c>
      <c r="J306" s="48"/>
    </row>
    <row r="307" spans="1:34">
      <c r="A307" s="48" t="s">
        <v>115</v>
      </c>
      <c r="B307" s="48"/>
      <c r="C307" s="42">
        <v>6.5182656435999982E-6</v>
      </c>
      <c r="D307" s="43" t="s">
        <v>13</v>
      </c>
      <c r="E307" s="43" t="s">
        <v>109</v>
      </c>
      <c r="F307" s="48" t="s">
        <v>184</v>
      </c>
      <c r="G307" s="48"/>
      <c r="H307" s="43" t="s">
        <v>15</v>
      </c>
      <c r="I307" s="43" t="s">
        <v>221</v>
      </c>
      <c r="J307" s="48"/>
    </row>
    <row r="308" spans="1:34">
      <c r="A308" s="48" t="s">
        <v>119</v>
      </c>
      <c r="B308" s="48"/>
      <c r="C308" s="42">
        <v>3.9108905687999992E-5</v>
      </c>
      <c r="D308" s="43" t="s">
        <v>13</v>
      </c>
      <c r="E308" s="43" t="s">
        <v>109</v>
      </c>
      <c r="F308" s="48" t="s">
        <v>184</v>
      </c>
      <c r="G308" s="48"/>
      <c r="H308" s="43" t="s">
        <v>15</v>
      </c>
      <c r="I308" s="43" t="s">
        <v>221</v>
      </c>
      <c r="J308" s="48"/>
    </row>
    <row r="309" spans="1:34">
      <c r="A309" s="48" t="s">
        <v>125</v>
      </c>
      <c r="B309" s="48"/>
      <c r="C309" s="42">
        <v>6.5182656435999986E-5</v>
      </c>
      <c r="D309" s="43" t="s">
        <v>13</v>
      </c>
      <c r="E309" s="43" t="s">
        <v>109</v>
      </c>
      <c r="F309" s="48" t="s">
        <v>184</v>
      </c>
      <c r="G309" s="48"/>
      <c r="H309" s="43" t="s">
        <v>15</v>
      </c>
      <c r="I309" s="43" t="s">
        <v>221</v>
      </c>
      <c r="J309" s="48"/>
    </row>
    <row r="310" spans="1:34">
      <c r="A310" s="48" t="s">
        <v>222</v>
      </c>
      <c r="B310" s="48"/>
      <c r="C310" s="42">
        <v>5.2146354539999984E-6</v>
      </c>
      <c r="D310" s="43" t="s">
        <v>13</v>
      </c>
      <c r="E310" s="43" t="s">
        <v>109</v>
      </c>
      <c r="F310" s="48" t="s">
        <v>184</v>
      </c>
      <c r="G310" s="48"/>
      <c r="H310" s="43" t="s">
        <v>15</v>
      </c>
      <c r="I310" s="43" t="s">
        <v>221</v>
      </c>
      <c r="J310" s="48"/>
    </row>
    <row r="311" spans="1:34">
      <c r="A311" s="48" t="s">
        <v>223</v>
      </c>
      <c r="B311" s="48"/>
      <c r="C311" s="42">
        <v>1.8251510827999994E-11</v>
      </c>
      <c r="D311" s="43" t="s">
        <v>13</v>
      </c>
      <c r="E311" s="43" t="s">
        <v>109</v>
      </c>
      <c r="F311" s="48" t="s">
        <v>184</v>
      </c>
      <c r="G311" s="48"/>
      <c r="H311" s="43" t="s">
        <v>15</v>
      </c>
      <c r="I311" s="43" t="s">
        <v>221</v>
      </c>
      <c r="J311" s="48"/>
    </row>
    <row r="312" spans="1:34">
      <c r="A312" s="39"/>
      <c r="B312" s="39"/>
      <c r="C312" s="40"/>
      <c r="D312" s="39"/>
      <c r="E312" s="39"/>
      <c r="F312" s="39"/>
      <c r="G312" s="39"/>
      <c r="H312" s="39"/>
      <c r="I312" s="39"/>
      <c r="J312" s="39"/>
      <c r="K312" s="43"/>
      <c r="L312" s="43"/>
      <c r="M312" s="43"/>
      <c r="N312" s="43"/>
      <c r="O312" s="43"/>
      <c r="P312" s="43"/>
      <c r="Q312" s="43"/>
      <c r="R312" s="43"/>
      <c r="S312" s="43"/>
      <c r="T312" s="43"/>
      <c r="U312" s="43"/>
      <c r="V312" s="43"/>
      <c r="W312" s="43"/>
      <c r="X312" s="43"/>
      <c r="Y312" s="43"/>
      <c r="Z312" s="43"/>
      <c r="AA312" s="43"/>
      <c r="AB312" s="43"/>
      <c r="AC312" s="43"/>
      <c r="AD312" s="43"/>
      <c r="AE312" s="43"/>
      <c r="AF312" s="43"/>
      <c r="AG312" s="43"/>
      <c r="AH312" s="43"/>
    </row>
    <row r="313" spans="1:34">
      <c r="A313" s="41" t="s">
        <v>1</v>
      </c>
      <c r="B313" s="41" t="s">
        <v>238</v>
      </c>
      <c r="C313" s="42"/>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c r="AG313" s="43"/>
      <c r="AH313" s="43"/>
    </row>
    <row r="314" spans="1:34">
      <c r="A314" s="41" t="s">
        <v>11</v>
      </c>
      <c r="B314" s="43" t="s">
        <v>235</v>
      </c>
      <c r="C314" s="42"/>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c r="AG314" s="43"/>
      <c r="AH314" s="43"/>
    </row>
    <row r="315" spans="1:34">
      <c r="A315" s="41" t="s">
        <v>2</v>
      </c>
      <c r="B315" s="43" t="s">
        <v>29</v>
      </c>
      <c r="C315" s="42"/>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c r="AG315" s="43"/>
      <c r="AH315" s="43"/>
    </row>
    <row r="316" spans="1:34">
      <c r="A316" s="44" t="s">
        <v>4</v>
      </c>
      <c r="B316" s="43" t="s">
        <v>197</v>
      </c>
      <c r="C316" s="42"/>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c r="AG316" s="43"/>
      <c r="AH316" s="43"/>
    </row>
    <row r="317" spans="1:34">
      <c r="A317" s="41" t="s">
        <v>3</v>
      </c>
      <c r="B317" s="45">
        <v>1</v>
      </c>
      <c r="C317" s="42"/>
      <c r="D317" s="46"/>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c r="AG317" s="43"/>
      <c r="AH317" s="43"/>
    </row>
    <row r="318" spans="1:34">
      <c r="A318" s="41" t="s">
        <v>6</v>
      </c>
      <c r="B318" s="43" t="s">
        <v>128</v>
      </c>
      <c r="C318" s="42"/>
      <c r="D318" s="46"/>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c r="AG318" s="43"/>
      <c r="AH318" s="43"/>
    </row>
    <row r="319" spans="1:34">
      <c r="A319" s="41" t="s">
        <v>76</v>
      </c>
      <c r="B319" s="43"/>
      <c r="C319" s="42"/>
      <c r="D319" s="46"/>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c r="AG319" s="43"/>
      <c r="AH319" s="43"/>
    </row>
    <row r="320" spans="1:34">
      <c r="A320" s="41" t="s">
        <v>7</v>
      </c>
      <c r="B320" s="43"/>
      <c r="C320" s="42"/>
      <c r="D320" s="43"/>
      <c r="E320" s="43"/>
      <c r="F320" s="43"/>
      <c r="G320" s="43"/>
      <c r="H320" s="43"/>
      <c r="I320" s="43"/>
      <c r="J320" s="43"/>
      <c r="K320" s="43"/>
      <c r="L320" s="43"/>
      <c r="M320" s="43"/>
      <c r="N320" s="43"/>
      <c r="O320" s="43"/>
      <c r="P320" s="43"/>
      <c r="Q320" s="43"/>
      <c r="R320" s="43"/>
      <c r="S320" s="43"/>
      <c r="T320" s="43"/>
      <c r="U320" s="43"/>
      <c r="V320" s="43"/>
      <c r="W320" s="43"/>
      <c r="X320" s="43"/>
      <c r="Y320" s="43"/>
      <c r="Z320" s="43"/>
      <c r="AA320" s="43"/>
      <c r="AB320" s="43"/>
      <c r="AC320" s="43"/>
      <c r="AD320" s="43"/>
      <c r="AE320" s="43"/>
      <c r="AF320" s="43"/>
      <c r="AG320" s="43"/>
      <c r="AH320" s="43"/>
    </row>
    <row r="321" spans="1:34">
      <c r="A321" s="41" t="s">
        <v>8</v>
      </c>
      <c r="B321" s="41" t="s">
        <v>4</v>
      </c>
      <c r="C321" s="47" t="s">
        <v>9</v>
      </c>
      <c r="D321" s="41" t="s">
        <v>6</v>
      </c>
      <c r="E321" s="41" t="s">
        <v>106</v>
      </c>
      <c r="F321" s="41" t="s">
        <v>10</v>
      </c>
      <c r="G321" s="41" t="s">
        <v>2</v>
      </c>
      <c r="H321" s="41" t="s">
        <v>5</v>
      </c>
      <c r="I321" s="41" t="s">
        <v>11</v>
      </c>
      <c r="J321" s="43"/>
      <c r="K321" s="43"/>
      <c r="L321" s="43"/>
      <c r="M321" s="43"/>
      <c r="N321" s="43"/>
      <c r="O321" s="43"/>
      <c r="P321" s="43"/>
      <c r="Q321" s="43"/>
      <c r="R321" s="43"/>
      <c r="S321" s="43"/>
      <c r="T321" s="43"/>
      <c r="U321" s="43"/>
      <c r="V321" s="43"/>
      <c r="W321" s="43"/>
      <c r="X321" s="43"/>
      <c r="Y321" s="43"/>
      <c r="Z321" s="43"/>
      <c r="AA321" s="43"/>
      <c r="AB321" s="43"/>
      <c r="AC321" s="43"/>
      <c r="AD321" s="43"/>
      <c r="AE321" s="43"/>
      <c r="AF321" s="43"/>
      <c r="AG321" s="43"/>
      <c r="AH321" s="43"/>
    </row>
    <row r="322" spans="1:34">
      <c r="A322" s="48" t="s">
        <v>238</v>
      </c>
      <c r="B322" s="48" t="s">
        <v>197</v>
      </c>
      <c r="C322" s="49">
        <v>1</v>
      </c>
      <c r="D322" s="43" t="s">
        <v>128</v>
      </c>
      <c r="E322" s="48" t="s">
        <v>198</v>
      </c>
      <c r="F322" s="48"/>
      <c r="G322" s="48" t="s">
        <v>29</v>
      </c>
      <c r="H322" s="48" t="s">
        <v>18</v>
      </c>
      <c r="I322" s="48"/>
      <c r="J322" s="48"/>
      <c r="K322" s="48"/>
      <c r="L322" s="43"/>
      <c r="M322" s="43"/>
      <c r="N322" s="43"/>
      <c r="O322" s="43"/>
      <c r="P322" s="43"/>
      <c r="Q322" s="43"/>
      <c r="R322" s="43"/>
      <c r="S322" s="43"/>
      <c r="T322" s="43"/>
      <c r="U322" s="43"/>
      <c r="V322" s="43"/>
      <c r="W322" s="43"/>
      <c r="X322" s="43"/>
      <c r="Y322" s="43"/>
      <c r="Z322" s="43"/>
      <c r="AA322" s="43"/>
      <c r="AB322" s="43"/>
      <c r="AC322" s="43"/>
      <c r="AD322" s="43"/>
      <c r="AE322" s="43"/>
      <c r="AF322" s="43"/>
      <c r="AG322" s="43"/>
      <c r="AH322" s="43"/>
    </row>
    <row r="323" spans="1:34">
      <c r="A323" s="43" t="s">
        <v>239</v>
      </c>
      <c r="B323" s="43" t="s">
        <v>240</v>
      </c>
      <c r="C323" s="49">
        <v>11.869335382034194</v>
      </c>
      <c r="D323" s="43" t="s">
        <v>13</v>
      </c>
      <c r="E323" s="48" t="s">
        <v>198</v>
      </c>
      <c r="F323" s="43"/>
      <c r="G323" s="48" t="s">
        <v>29</v>
      </c>
      <c r="H323" s="43" t="s">
        <v>12</v>
      </c>
      <c r="I323" s="48" t="s">
        <v>228</v>
      </c>
      <c r="J323" s="43"/>
      <c r="K323" s="48"/>
      <c r="L323" s="43"/>
      <c r="M323" s="43"/>
      <c r="N323" s="43"/>
      <c r="O323" s="43"/>
      <c r="P323" s="43"/>
      <c r="Q323" s="43"/>
      <c r="R323" s="43"/>
      <c r="S323" s="43"/>
      <c r="T323" s="43"/>
      <c r="U323" s="43"/>
      <c r="V323" s="43"/>
      <c r="W323" s="43"/>
      <c r="X323" s="43"/>
      <c r="Y323" s="43"/>
      <c r="Z323" s="43"/>
      <c r="AA323" s="43"/>
      <c r="AB323" s="43"/>
      <c r="AC323" s="43"/>
      <c r="AD323" s="43"/>
      <c r="AE323" s="43"/>
      <c r="AF323" s="43"/>
      <c r="AG323" s="43"/>
      <c r="AH323" s="43"/>
    </row>
    <row r="324" spans="1:34">
      <c r="A324" s="48" t="s">
        <v>28</v>
      </c>
      <c r="B324" s="48" t="s">
        <v>20</v>
      </c>
      <c r="C324" s="49">
        <v>0.14187963100925111</v>
      </c>
      <c r="D324" s="43" t="s">
        <v>19</v>
      </c>
      <c r="E324" s="48" t="s">
        <v>211</v>
      </c>
      <c r="F324" s="48"/>
      <c r="G324" s="48" t="s">
        <v>29</v>
      </c>
      <c r="H324" s="48" t="s">
        <v>12</v>
      </c>
      <c r="I324" s="48"/>
      <c r="J324" s="48"/>
    </row>
    <row r="325" spans="1:34">
      <c r="A325" s="43" t="s">
        <v>212</v>
      </c>
      <c r="B325" s="48" t="s">
        <v>213</v>
      </c>
      <c r="C325" s="42">
        <v>3.2478194058327522E-7</v>
      </c>
      <c r="D325" s="43" t="s">
        <v>6</v>
      </c>
      <c r="E325" s="48" t="s">
        <v>211</v>
      </c>
      <c r="F325" s="48"/>
      <c r="G325" s="48" t="s">
        <v>214</v>
      </c>
      <c r="H325" s="48" t="s">
        <v>12</v>
      </c>
      <c r="I325" s="64"/>
      <c r="J325" s="48"/>
    </row>
    <row r="326" spans="1:34">
      <c r="A326" s="48" t="s">
        <v>215</v>
      </c>
      <c r="B326" s="48" t="s">
        <v>216</v>
      </c>
      <c r="C326" s="42">
        <v>1.2292801192676664E-6</v>
      </c>
      <c r="D326" s="43" t="s">
        <v>6</v>
      </c>
      <c r="E326" s="48" t="s">
        <v>211</v>
      </c>
      <c r="F326" s="48"/>
      <c r="G326" s="48" t="s">
        <v>140</v>
      </c>
      <c r="H326" s="48" t="s">
        <v>12</v>
      </c>
      <c r="I326" s="48" t="s">
        <v>229</v>
      </c>
      <c r="J326" s="48"/>
    </row>
    <row r="327" spans="1:34">
      <c r="A327" s="42" t="s">
        <v>199</v>
      </c>
      <c r="B327" s="43"/>
      <c r="C327" s="49">
        <v>2.2495030651572057</v>
      </c>
      <c r="D327" s="43" t="s">
        <v>13</v>
      </c>
      <c r="E327" s="43" t="s">
        <v>109</v>
      </c>
      <c r="F327" s="43" t="s">
        <v>200</v>
      </c>
      <c r="G327" s="43"/>
      <c r="H327" s="43" t="s">
        <v>15</v>
      </c>
      <c r="I327" s="43" t="s">
        <v>217</v>
      </c>
    </row>
    <row r="328" spans="1:34">
      <c r="A328" s="48" t="s">
        <v>218</v>
      </c>
      <c r="B328" s="51"/>
      <c r="C328" s="42">
        <v>0.26529258993003446</v>
      </c>
      <c r="D328" s="43" t="s">
        <v>13</v>
      </c>
      <c r="E328" s="43" t="s">
        <v>109</v>
      </c>
      <c r="F328" s="48" t="s">
        <v>184</v>
      </c>
      <c r="G328" s="48"/>
      <c r="H328" s="43" t="s">
        <v>15</v>
      </c>
      <c r="I328" s="43" t="s">
        <v>219</v>
      </c>
    </row>
    <row r="329" spans="1:34">
      <c r="A329" s="48" t="s">
        <v>185</v>
      </c>
      <c r="B329" s="48"/>
      <c r="C329" s="42">
        <v>1.4450918438284459E-2</v>
      </c>
      <c r="D329" s="43" t="s">
        <v>13</v>
      </c>
      <c r="E329" s="43" t="s">
        <v>109</v>
      </c>
      <c r="F329" s="48" t="s">
        <v>184</v>
      </c>
      <c r="G329" s="48"/>
      <c r="H329" s="43" t="s">
        <v>15</v>
      </c>
      <c r="I329" s="43" t="s">
        <v>219</v>
      </c>
    </row>
    <row r="330" spans="1:34">
      <c r="A330" s="48" t="s">
        <v>220</v>
      </c>
      <c r="B330" s="48"/>
      <c r="C330" s="42">
        <v>1.2515583872E-4</v>
      </c>
      <c r="D330" s="43" t="s">
        <v>13</v>
      </c>
      <c r="E330" s="43" t="s">
        <v>109</v>
      </c>
      <c r="F330" s="48" t="s">
        <v>184</v>
      </c>
      <c r="G330" s="48"/>
      <c r="H330" s="43" t="s">
        <v>15</v>
      </c>
      <c r="I330" s="43" t="s">
        <v>221</v>
      </c>
      <c r="J330" s="48"/>
    </row>
    <row r="331" spans="1:34">
      <c r="A331" s="48" t="s">
        <v>115</v>
      </c>
      <c r="B331" s="48"/>
      <c r="C331" s="42">
        <v>6.5182656435999991E-6</v>
      </c>
      <c r="D331" s="43" t="s">
        <v>13</v>
      </c>
      <c r="E331" s="43" t="s">
        <v>109</v>
      </c>
      <c r="F331" s="48" t="s">
        <v>184</v>
      </c>
      <c r="G331" s="48"/>
      <c r="H331" s="43" t="s">
        <v>15</v>
      </c>
      <c r="I331" s="43" t="s">
        <v>221</v>
      </c>
      <c r="J331" s="48"/>
    </row>
    <row r="332" spans="1:34">
      <c r="A332" s="48" t="s">
        <v>119</v>
      </c>
      <c r="B332" s="48"/>
      <c r="C332" s="42">
        <v>3.9108905687999992E-5</v>
      </c>
      <c r="D332" s="43" t="s">
        <v>13</v>
      </c>
      <c r="E332" s="43" t="s">
        <v>109</v>
      </c>
      <c r="F332" s="48" t="s">
        <v>184</v>
      </c>
      <c r="G332" s="48"/>
      <c r="H332" s="43" t="s">
        <v>15</v>
      </c>
      <c r="I332" s="43" t="s">
        <v>221</v>
      </c>
      <c r="J332" s="48"/>
    </row>
    <row r="333" spans="1:34">
      <c r="A333" s="48" t="s">
        <v>125</v>
      </c>
      <c r="B333" s="48"/>
      <c r="C333" s="42">
        <v>6.5182656435999999E-5</v>
      </c>
      <c r="D333" s="43" t="s">
        <v>13</v>
      </c>
      <c r="E333" s="43" t="s">
        <v>109</v>
      </c>
      <c r="F333" s="48" t="s">
        <v>184</v>
      </c>
      <c r="G333" s="48"/>
      <c r="H333" s="43" t="s">
        <v>15</v>
      </c>
      <c r="I333" s="43" t="s">
        <v>221</v>
      </c>
      <c r="J333" s="48"/>
    </row>
    <row r="334" spans="1:34">
      <c r="A334" s="48" t="s">
        <v>222</v>
      </c>
      <c r="B334" s="48"/>
      <c r="C334" s="42">
        <v>5.2146354539999992E-6</v>
      </c>
      <c r="D334" s="43" t="s">
        <v>13</v>
      </c>
      <c r="E334" s="43" t="s">
        <v>109</v>
      </c>
      <c r="F334" s="48" t="s">
        <v>184</v>
      </c>
      <c r="G334" s="48"/>
      <c r="H334" s="43" t="s">
        <v>15</v>
      </c>
      <c r="I334" s="43" t="s">
        <v>221</v>
      </c>
      <c r="J334" s="48"/>
    </row>
    <row r="335" spans="1:34">
      <c r="A335" s="48" t="s">
        <v>223</v>
      </c>
      <c r="B335" s="48"/>
      <c r="C335" s="42">
        <v>1.8251510827999997E-11</v>
      </c>
      <c r="D335" s="43" t="s">
        <v>13</v>
      </c>
      <c r="E335" s="43" t="s">
        <v>109</v>
      </c>
      <c r="F335" s="48" t="s">
        <v>184</v>
      </c>
      <c r="G335" s="48"/>
      <c r="H335" s="43" t="s">
        <v>15</v>
      </c>
      <c r="I335" s="43" t="s">
        <v>221</v>
      </c>
      <c r="J335" s="48"/>
    </row>
    <row r="336" spans="1:34">
      <c r="A336" s="39"/>
      <c r="B336" s="39"/>
      <c r="C336" s="40"/>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row>
    <row r="337" spans="1:34">
      <c r="A337" s="41" t="s">
        <v>1</v>
      </c>
      <c r="B337" s="41" t="s">
        <v>236</v>
      </c>
      <c r="C337" s="42"/>
      <c r="D337" s="43"/>
      <c r="E337" s="43"/>
      <c r="F337" s="43"/>
      <c r="G337" s="43"/>
      <c r="H337" s="43"/>
      <c r="I337" s="43"/>
    </row>
    <row r="338" spans="1:34">
      <c r="A338" s="41" t="s">
        <v>11</v>
      </c>
      <c r="B338" s="43" t="s">
        <v>241</v>
      </c>
      <c r="C338" s="42"/>
      <c r="D338" s="43"/>
      <c r="E338" s="43"/>
      <c r="F338" s="43"/>
      <c r="G338" s="43"/>
      <c r="H338" s="43"/>
      <c r="I338" s="43"/>
    </row>
    <row r="339" spans="1:34">
      <c r="A339" s="41" t="s">
        <v>2</v>
      </c>
      <c r="B339" s="43" t="s">
        <v>29</v>
      </c>
      <c r="C339" s="42"/>
      <c r="D339" s="43"/>
      <c r="E339" s="43"/>
      <c r="F339" s="43"/>
      <c r="G339" s="43"/>
      <c r="H339" s="43"/>
      <c r="I339" s="43"/>
    </row>
    <row r="340" spans="1:34">
      <c r="A340" s="44" t="s">
        <v>4</v>
      </c>
      <c r="B340" s="48" t="s">
        <v>237</v>
      </c>
      <c r="C340" s="42"/>
      <c r="D340" s="43"/>
      <c r="E340" s="43"/>
      <c r="F340" s="43"/>
      <c r="G340" s="43"/>
      <c r="H340" s="43"/>
      <c r="I340" s="43"/>
    </row>
    <row r="341" spans="1:34">
      <c r="A341" s="41" t="s">
        <v>3</v>
      </c>
      <c r="B341" s="45">
        <v>1</v>
      </c>
      <c r="C341" s="42"/>
      <c r="D341" s="46"/>
      <c r="E341" s="43"/>
      <c r="F341" s="43"/>
      <c r="G341" s="43"/>
      <c r="H341" s="43"/>
      <c r="I341" s="43"/>
    </row>
    <row r="342" spans="1:34">
      <c r="A342" s="41" t="s">
        <v>6</v>
      </c>
      <c r="B342" s="43" t="s">
        <v>13</v>
      </c>
      <c r="C342" s="42"/>
      <c r="D342" s="46"/>
      <c r="E342" s="43"/>
      <c r="F342" s="43"/>
      <c r="G342" s="43"/>
      <c r="H342" s="43"/>
      <c r="I342" s="43"/>
    </row>
    <row r="343" spans="1:34">
      <c r="A343" s="41" t="s">
        <v>76</v>
      </c>
      <c r="B343" s="43"/>
      <c r="C343" s="42"/>
      <c r="E343" s="43"/>
      <c r="F343" s="43"/>
      <c r="G343" s="43"/>
      <c r="H343" s="43"/>
      <c r="I343" s="43"/>
    </row>
    <row r="344" spans="1:34">
      <c r="A344" s="41" t="s">
        <v>7</v>
      </c>
      <c r="B344" s="43"/>
      <c r="C344" s="42"/>
      <c r="D344" s="43"/>
      <c r="E344" s="43"/>
      <c r="F344" s="43"/>
      <c r="G344" s="43"/>
      <c r="H344" s="43"/>
      <c r="I344" s="43"/>
    </row>
    <row r="345" spans="1:34">
      <c r="A345" s="41" t="s">
        <v>8</v>
      </c>
      <c r="B345" s="41" t="s">
        <v>4</v>
      </c>
      <c r="C345" s="47" t="s">
        <v>9</v>
      </c>
      <c r="D345" s="41" t="s">
        <v>6</v>
      </c>
      <c r="E345" s="41" t="s">
        <v>106</v>
      </c>
      <c r="F345" s="41" t="s">
        <v>10</v>
      </c>
      <c r="G345" s="41" t="s">
        <v>2</v>
      </c>
      <c r="H345" s="41" t="s">
        <v>5</v>
      </c>
      <c r="I345" s="41" t="s">
        <v>11</v>
      </c>
    </row>
    <row r="346" spans="1:34">
      <c r="A346" s="48" t="s">
        <v>236</v>
      </c>
      <c r="B346" s="48" t="s">
        <v>237</v>
      </c>
      <c r="C346" s="49">
        <v>1</v>
      </c>
      <c r="D346" s="43" t="s">
        <v>13</v>
      </c>
      <c r="E346" s="48"/>
      <c r="F346" s="48"/>
      <c r="G346" s="48" t="s">
        <v>29</v>
      </c>
      <c r="H346" s="48" t="s">
        <v>18</v>
      </c>
      <c r="I346" s="48"/>
    </row>
    <row r="347" spans="1:34">
      <c r="A347" s="48" t="s">
        <v>242</v>
      </c>
      <c r="B347" s="48" t="s">
        <v>243</v>
      </c>
      <c r="C347" s="49">
        <v>0.01</v>
      </c>
      <c r="D347" s="43" t="s">
        <v>244</v>
      </c>
      <c r="E347" s="48" t="s">
        <v>211</v>
      </c>
      <c r="F347" s="48"/>
      <c r="G347" s="48" t="s">
        <v>49</v>
      </c>
      <c r="H347" s="48" t="s">
        <v>12</v>
      </c>
      <c r="I347" s="48" t="s">
        <v>316</v>
      </c>
    </row>
    <row r="348" spans="1:34">
      <c r="A348" t="s">
        <v>400</v>
      </c>
      <c r="B348" t="s">
        <v>317</v>
      </c>
      <c r="C348" s="49">
        <v>1</v>
      </c>
      <c r="D348" s="43" t="s">
        <v>13</v>
      </c>
      <c r="E348" s="48"/>
      <c r="F348" s="48"/>
      <c r="G348" s="48" t="s">
        <v>49</v>
      </c>
      <c r="H348" s="48" t="s">
        <v>12</v>
      </c>
      <c r="I348" s="48"/>
    </row>
    <row r="349" spans="1:34">
      <c r="A349" s="39"/>
      <c r="B349" s="39"/>
      <c r="C349" s="40"/>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row>
    <row r="350" spans="1:34">
      <c r="A350" s="41" t="s">
        <v>1</v>
      </c>
      <c r="B350" s="41" t="s">
        <v>239</v>
      </c>
      <c r="C350" s="42"/>
      <c r="D350" s="43"/>
      <c r="E350" s="43"/>
      <c r="F350" s="43"/>
      <c r="G350" s="43"/>
      <c r="H350" s="43"/>
      <c r="I350" s="43"/>
    </row>
    <row r="351" spans="1:34">
      <c r="A351" s="41" t="s">
        <v>11</v>
      </c>
      <c r="B351" s="43" t="s">
        <v>241</v>
      </c>
      <c r="C351" s="42"/>
      <c r="D351" s="43"/>
      <c r="E351" s="43"/>
      <c r="F351" s="43"/>
      <c r="G351" s="43"/>
      <c r="H351" s="43"/>
      <c r="I351" s="43"/>
    </row>
    <row r="352" spans="1:34">
      <c r="A352" s="41" t="s">
        <v>2</v>
      </c>
      <c r="B352" s="43" t="s">
        <v>29</v>
      </c>
      <c r="C352" s="42"/>
      <c r="D352" s="43"/>
      <c r="E352" s="43"/>
      <c r="F352" s="43"/>
      <c r="G352" s="43"/>
      <c r="H352" s="43"/>
      <c r="I352" s="43"/>
    </row>
    <row r="353" spans="1:34">
      <c r="A353" s="44" t="s">
        <v>4</v>
      </c>
      <c r="B353" s="43" t="s">
        <v>240</v>
      </c>
      <c r="C353" s="42"/>
      <c r="D353" s="43"/>
      <c r="E353" s="43"/>
      <c r="F353" s="43"/>
      <c r="G353" s="43"/>
      <c r="H353" s="43"/>
      <c r="I353" s="43"/>
    </row>
    <row r="354" spans="1:34">
      <c r="A354" s="41" t="s">
        <v>3</v>
      </c>
      <c r="B354" s="45">
        <v>1</v>
      </c>
      <c r="C354" s="42"/>
      <c r="D354" s="46"/>
      <c r="E354" s="43"/>
      <c r="F354" s="43"/>
      <c r="G354" s="43"/>
      <c r="H354" s="43"/>
      <c r="I354" s="43"/>
    </row>
    <row r="355" spans="1:34">
      <c r="A355" s="41" t="s">
        <v>6</v>
      </c>
      <c r="B355" s="43" t="s">
        <v>13</v>
      </c>
      <c r="C355" s="42"/>
      <c r="D355" s="46"/>
      <c r="E355" s="43"/>
      <c r="F355" s="43"/>
      <c r="G355" s="43"/>
      <c r="H355" s="43"/>
      <c r="I355" s="43"/>
    </row>
    <row r="356" spans="1:34">
      <c r="A356" s="41" t="s">
        <v>76</v>
      </c>
      <c r="B356" s="43"/>
      <c r="C356" s="42"/>
      <c r="D356" s="46"/>
      <c r="E356" s="43"/>
      <c r="F356" s="43"/>
      <c r="G356" s="43"/>
      <c r="H356" s="43"/>
      <c r="I356" s="43"/>
    </row>
    <row r="357" spans="1:34">
      <c r="A357" s="41" t="s">
        <v>7</v>
      </c>
      <c r="B357" s="43"/>
      <c r="C357" s="42"/>
      <c r="D357" s="43"/>
      <c r="E357" s="43"/>
      <c r="F357" s="43"/>
      <c r="G357" s="43"/>
      <c r="H357" s="43"/>
      <c r="I357" s="43"/>
    </row>
    <row r="358" spans="1:34">
      <c r="A358" s="41" t="s">
        <v>8</v>
      </c>
      <c r="B358" s="41" t="s">
        <v>4</v>
      </c>
      <c r="C358" s="47" t="s">
        <v>9</v>
      </c>
      <c r="D358" s="41" t="s">
        <v>6</v>
      </c>
      <c r="E358" s="41" t="s">
        <v>106</v>
      </c>
      <c r="F358" s="41" t="s">
        <v>10</v>
      </c>
      <c r="G358" s="41" t="s">
        <v>2</v>
      </c>
      <c r="H358" s="41" t="s">
        <v>5</v>
      </c>
      <c r="I358" s="41" t="s">
        <v>11</v>
      </c>
    </row>
    <row r="359" spans="1:34">
      <c r="A359" s="48" t="s">
        <v>239</v>
      </c>
      <c r="B359" s="48" t="s">
        <v>245</v>
      </c>
      <c r="C359" s="49">
        <v>1</v>
      </c>
      <c r="D359" s="43" t="s">
        <v>13</v>
      </c>
      <c r="E359" s="48" t="s">
        <v>198</v>
      </c>
      <c r="F359" s="48"/>
      <c r="G359" s="48" t="s">
        <v>29</v>
      </c>
      <c r="H359" s="48" t="s">
        <v>18</v>
      </c>
      <c r="I359" s="48"/>
    </row>
    <row r="360" spans="1:34">
      <c r="A360" s="48" t="s">
        <v>242</v>
      </c>
      <c r="B360" s="48" t="s">
        <v>243</v>
      </c>
      <c r="C360" s="49">
        <v>0.01</v>
      </c>
      <c r="D360" s="43" t="s">
        <v>244</v>
      </c>
      <c r="E360" s="48" t="s">
        <v>211</v>
      </c>
      <c r="F360" s="48"/>
      <c r="G360" s="48" t="s">
        <v>49</v>
      </c>
      <c r="H360" s="48" t="s">
        <v>12</v>
      </c>
      <c r="I360" s="48" t="s">
        <v>316</v>
      </c>
    </row>
    <row r="361" spans="1:34">
      <c r="A361" s="48" t="s">
        <v>45</v>
      </c>
      <c r="B361" s="48" t="s">
        <v>43</v>
      </c>
      <c r="C361" s="49">
        <v>3.7599999999999999E-3</v>
      </c>
      <c r="D361" s="43" t="s">
        <v>19</v>
      </c>
      <c r="E361" s="48" t="s">
        <v>211</v>
      </c>
      <c r="F361" s="48"/>
      <c r="G361" s="48" t="s">
        <v>29</v>
      </c>
      <c r="H361" s="48" t="s">
        <v>12</v>
      </c>
      <c r="I361" s="48" t="s">
        <v>296</v>
      </c>
    </row>
    <row r="362" spans="1:34">
      <c r="A362" s="48" t="s">
        <v>294</v>
      </c>
      <c r="B362" s="48" t="s">
        <v>293</v>
      </c>
      <c r="C362" s="49">
        <v>8.4999999999999995E-4</v>
      </c>
      <c r="D362" s="43" t="s">
        <v>13</v>
      </c>
      <c r="E362" s="48" t="s">
        <v>211</v>
      </c>
      <c r="F362" s="48"/>
      <c r="G362" s="48" t="s">
        <v>49</v>
      </c>
      <c r="H362" s="48" t="s">
        <v>12</v>
      </c>
      <c r="I362" s="48" t="s">
        <v>296</v>
      </c>
    </row>
    <row r="363" spans="1:34">
      <c r="A363" s="39"/>
      <c r="B363" s="39"/>
      <c r="C363" s="40"/>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row>
    <row r="364" spans="1:34">
      <c r="A364" s="41" t="s">
        <v>1</v>
      </c>
      <c r="B364" s="41" t="s">
        <v>208</v>
      </c>
      <c r="C364" s="42"/>
      <c r="D364" s="43"/>
      <c r="E364" s="43"/>
      <c r="F364" s="43"/>
      <c r="G364" s="43"/>
      <c r="H364" s="43"/>
      <c r="I364" s="43"/>
    </row>
    <row r="365" spans="1:34">
      <c r="A365" s="41" t="s">
        <v>11</v>
      </c>
      <c r="B365" s="43" t="s">
        <v>299</v>
      </c>
      <c r="C365" s="42"/>
      <c r="D365" s="43"/>
      <c r="E365" s="43"/>
      <c r="F365" s="43"/>
      <c r="G365" s="43"/>
      <c r="H365" s="43"/>
      <c r="I365" s="43"/>
    </row>
    <row r="366" spans="1:34">
      <c r="A366" s="41" t="s">
        <v>2</v>
      </c>
      <c r="B366" s="43" t="s">
        <v>29</v>
      </c>
      <c r="C366" s="42"/>
      <c r="D366" s="43"/>
      <c r="E366" s="43"/>
      <c r="F366" s="43"/>
      <c r="G366" s="43"/>
      <c r="H366" s="43"/>
      <c r="I366" s="43"/>
    </row>
    <row r="367" spans="1:34">
      <c r="A367" s="44" t="s">
        <v>4</v>
      </c>
      <c r="B367" s="43" t="s">
        <v>209</v>
      </c>
      <c r="C367" s="42"/>
      <c r="D367" s="43"/>
      <c r="E367" s="43"/>
      <c r="F367" s="43"/>
      <c r="G367" s="43"/>
      <c r="H367" s="43"/>
      <c r="I367" s="43"/>
    </row>
    <row r="368" spans="1:34">
      <c r="A368" s="41" t="s">
        <v>3</v>
      </c>
      <c r="B368" s="45">
        <v>1</v>
      </c>
      <c r="C368" s="42"/>
      <c r="D368" s="46"/>
      <c r="E368" s="43"/>
      <c r="F368" s="43"/>
      <c r="G368" s="43"/>
      <c r="H368" s="43"/>
      <c r="I368" s="43"/>
    </row>
    <row r="369" spans="1:34">
      <c r="A369" s="41" t="s">
        <v>6</v>
      </c>
      <c r="B369" s="43" t="s">
        <v>13</v>
      </c>
      <c r="C369" s="42"/>
      <c r="D369" s="46"/>
      <c r="E369" s="43"/>
      <c r="F369" s="43"/>
      <c r="G369" s="43"/>
      <c r="H369" s="43"/>
      <c r="I369" s="43"/>
    </row>
    <row r="370" spans="1:34">
      <c r="A370" s="41" t="s">
        <v>76</v>
      </c>
      <c r="B370" s="43" t="s">
        <v>298</v>
      </c>
      <c r="C370" s="42"/>
      <c r="D370" s="46"/>
      <c r="E370" s="43"/>
      <c r="F370" s="43"/>
      <c r="G370" s="43"/>
      <c r="H370" s="43"/>
      <c r="I370" s="43"/>
    </row>
    <row r="371" spans="1:34">
      <c r="A371" s="41" t="s">
        <v>7</v>
      </c>
      <c r="B371" s="43"/>
      <c r="C371" s="42"/>
      <c r="D371" s="43"/>
      <c r="E371" s="43"/>
      <c r="F371" s="43"/>
      <c r="G371" s="43"/>
      <c r="H371" s="43"/>
      <c r="I371" s="43"/>
    </row>
    <row r="372" spans="1:34">
      <c r="A372" s="41" t="s">
        <v>8</v>
      </c>
      <c r="B372" s="41" t="s">
        <v>4</v>
      </c>
      <c r="C372" s="47" t="s">
        <v>9</v>
      </c>
      <c r="D372" s="41" t="s">
        <v>6</v>
      </c>
      <c r="E372" s="41" t="s">
        <v>106</v>
      </c>
      <c r="F372" s="41" t="s">
        <v>10</v>
      </c>
      <c r="G372" s="41" t="s">
        <v>2</v>
      </c>
      <c r="H372" s="41" t="s">
        <v>5</v>
      </c>
      <c r="I372" s="41" t="s">
        <v>11</v>
      </c>
    </row>
    <row r="373" spans="1:34">
      <c r="A373" s="48" t="s">
        <v>208</v>
      </c>
      <c r="B373" s="48" t="s">
        <v>209</v>
      </c>
      <c r="C373" s="49">
        <v>1</v>
      </c>
      <c r="D373" s="43" t="s">
        <v>13</v>
      </c>
      <c r="E373" s="48" t="s">
        <v>198</v>
      </c>
      <c r="F373" s="48"/>
      <c r="G373" s="48" t="s">
        <v>29</v>
      </c>
      <c r="H373" s="48" t="s">
        <v>18</v>
      </c>
      <c r="I373" s="48"/>
    </row>
    <row r="374" spans="1:34">
      <c r="A374" s="48" t="s">
        <v>242</v>
      </c>
      <c r="B374" s="48" t="s">
        <v>243</v>
      </c>
      <c r="C374" s="49">
        <v>0.01</v>
      </c>
      <c r="D374" s="43" t="s">
        <v>244</v>
      </c>
      <c r="E374" s="48" t="s">
        <v>211</v>
      </c>
      <c r="F374" s="48"/>
      <c r="G374" s="48" t="s">
        <v>49</v>
      </c>
      <c r="H374" s="48" t="s">
        <v>12</v>
      </c>
      <c r="I374" s="48" t="s">
        <v>316</v>
      </c>
    </row>
    <row r="375" spans="1:34">
      <c r="A375" s="39"/>
      <c r="B375" s="39"/>
      <c r="C375" s="40"/>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row>
    <row r="376" spans="1:34">
      <c r="A376" s="41" t="s">
        <v>1</v>
      </c>
      <c r="B376" s="41" t="s">
        <v>226</v>
      </c>
      <c r="C376" s="42"/>
      <c r="D376" s="43"/>
      <c r="E376" s="43"/>
      <c r="F376" s="43"/>
      <c r="G376" s="43"/>
      <c r="H376" s="43"/>
      <c r="I376" s="43"/>
      <c r="J376" s="43"/>
      <c r="K376" s="43"/>
      <c r="L376" s="43"/>
      <c r="M376" s="43"/>
      <c r="N376" s="43"/>
      <c r="O376" s="43"/>
      <c r="P376" s="43"/>
      <c r="Q376" s="43"/>
      <c r="R376" s="43"/>
      <c r="S376" s="43"/>
      <c r="T376" s="43"/>
      <c r="U376" s="43"/>
      <c r="V376" s="43"/>
      <c r="W376" s="43"/>
      <c r="X376" s="43"/>
      <c r="Y376" s="43"/>
      <c r="Z376" s="43"/>
      <c r="AA376" s="43"/>
      <c r="AB376" s="43"/>
      <c r="AC376" s="43"/>
      <c r="AD376" s="43"/>
      <c r="AE376" s="43"/>
      <c r="AF376" s="43"/>
      <c r="AG376" s="43"/>
      <c r="AH376" s="43"/>
    </row>
    <row r="377" spans="1:34">
      <c r="A377" s="41" t="s">
        <v>11</v>
      </c>
      <c r="B377" s="43" t="s">
        <v>246</v>
      </c>
      <c r="C377" s="42"/>
      <c r="D377" s="43"/>
      <c r="E377" s="43"/>
      <c r="F377" s="43"/>
      <c r="G377" s="43"/>
      <c r="H377" s="43"/>
      <c r="I377" s="43"/>
      <c r="J377" s="43"/>
      <c r="K377" s="43"/>
      <c r="L377" s="43"/>
      <c r="M377" s="43"/>
      <c r="N377" s="43"/>
      <c r="O377" s="43"/>
      <c r="P377" s="43"/>
      <c r="Q377" s="43"/>
      <c r="R377" s="43"/>
      <c r="S377" s="43"/>
      <c r="T377" s="43"/>
      <c r="U377" s="43"/>
      <c r="V377" s="43"/>
      <c r="W377" s="43"/>
      <c r="X377" s="43"/>
      <c r="Y377" s="43"/>
      <c r="Z377" s="43"/>
      <c r="AA377" s="43"/>
      <c r="AB377" s="43"/>
      <c r="AC377" s="43"/>
      <c r="AD377" s="43"/>
      <c r="AE377" s="43"/>
      <c r="AF377" s="43"/>
      <c r="AG377" s="43"/>
      <c r="AH377" s="43"/>
    </row>
    <row r="378" spans="1:34">
      <c r="A378" s="41" t="s">
        <v>2</v>
      </c>
      <c r="B378" s="43" t="s">
        <v>29</v>
      </c>
      <c r="C378" s="42"/>
      <c r="D378" s="43"/>
      <c r="E378" s="43"/>
      <c r="F378" s="43"/>
      <c r="G378" s="43"/>
      <c r="H378" s="43"/>
      <c r="I378" s="43"/>
      <c r="J378" s="43"/>
      <c r="K378" s="43"/>
      <c r="L378" s="43"/>
      <c r="M378" s="43"/>
      <c r="N378" s="43"/>
      <c r="O378" s="43"/>
      <c r="P378" s="43"/>
      <c r="Q378" s="43"/>
      <c r="R378" s="43"/>
      <c r="S378" s="43"/>
      <c r="T378" s="43"/>
      <c r="U378" s="43"/>
      <c r="V378" s="43"/>
      <c r="W378" s="43"/>
      <c r="X378" s="43"/>
      <c r="Y378" s="43"/>
      <c r="Z378" s="43"/>
      <c r="AA378" s="43"/>
      <c r="AB378" s="43"/>
      <c r="AC378" s="43"/>
      <c r="AD378" s="43"/>
      <c r="AE378" s="43"/>
      <c r="AF378" s="43"/>
      <c r="AG378" s="43"/>
      <c r="AH378" s="43"/>
    </row>
    <row r="379" spans="1:34">
      <c r="A379" s="44" t="s">
        <v>4</v>
      </c>
      <c r="B379" s="43" t="s">
        <v>227</v>
      </c>
      <c r="C379" s="42"/>
      <c r="D379" s="43"/>
      <c r="E379" s="43"/>
      <c r="F379" s="43"/>
      <c r="G379" s="43"/>
      <c r="H379" s="43"/>
      <c r="I379" s="43"/>
      <c r="J379" s="43"/>
      <c r="K379" s="43"/>
      <c r="L379" s="43"/>
      <c r="M379" s="43"/>
      <c r="N379" s="43"/>
      <c r="O379" s="43"/>
      <c r="P379" s="43"/>
      <c r="Q379" s="43"/>
      <c r="R379" s="43"/>
      <c r="S379" s="43"/>
      <c r="T379" s="43"/>
      <c r="U379" s="43"/>
      <c r="V379" s="43"/>
      <c r="W379" s="43"/>
      <c r="X379" s="43"/>
      <c r="Y379" s="43"/>
      <c r="Z379" s="43"/>
      <c r="AA379" s="43"/>
      <c r="AB379" s="43"/>
      <c r="AC379" s="43"/>
      <c r="AD379" s="43"/>
      <c r="AE379" s="43"/>
      <c r="AF379" s="43"/>
      <c r="AG379" s="43"/>
      <c r="AH379" s="43"/>
    </row>
    <row r="380" spans="1:34">
      <c r="A380" s="41" t="s">
        <v>3</v>
      </c>
      <c r="B380" s="45">
        <v>1</v>
      </c>
      <c r="C380" s="42"/>
      <c r="D380" s="46"/>
      <c r="E380" s="43"/>
      <c r="F380" s="43"/>
      <c r="G380" s="43"/>
      <c r="H380" s="43"/>
      <c r="I380" s="43"/>
      <c r="J380" s="43"/>
      <c r="K380" s="43"/>
      <c r="L380" s="43"/>
      <c r="M380" s="43"/>
      <c r="N380" s="43"/>
      <c r="O380" s="43"/>
      <c r="P380" s="43"/>
      <c r="Q380" s="43"/>
      <c r="R380" s="43"/>
      <c r="S380" s="43"/>
      <c r="T380" s="43"/>
      <c r="U380" s="43"/>
      <c r="V380" s="43"/>
      <c r="W380" s="43"/>
      <c r="X380" s="43"/>
      <c r="Y380" s="43"/>
      <c r="Z380" s="43"/>
      <c r="AA380" s="43"/>
      <c r="AB380" s="43"/>
      <c r="AC380" s="43"/>
      <c r="AD380" s="43"/>
      <c r="AE380" s="43"/>
      <c r="AF380" s="43"/>
      <c r="AG380" s="43"/>
      <c r="AH380" s="43"/>
    </row>
    <row r="381" spans="1:34">
      <c r="A381" s="41" t="s">
        <v>6</v>
      </c>
      <c r="B381" s="43" t="s">
        <v>13</v>
      </c>
      <c r="C381" s="42"/>
      <c r="D381" s="46"/>
      <c r="E381" s="43"/>
      <c r="F381" s="43"/>
      <c r="G381" s="43"/>
      <c r="H381" s="43"/>
      <c r="I381" s="43"/>
      <c r="J381" s="43"/>
      <c r="K381" s="43"/>
      <c r="L381" s="43"/>
      <c r="M381" s="43"/>
      <c r="N381" s="43"/>
      <c r="O381" s="43"/>
      <c r="P381" s="43"/>
      <c r="Q381" s="43"/>
      <c r="R381" s="43"/>
      <c r="S381" s="43"/>
      <c r="T381" s="43"/>
      <c r="U381" s="43"/>
      <c r="V381" s="43"/>
      <c r="W381" s="43"/>
      <c r="X381" s="43"/>
      <c r="Y381" s="43"/>
      <c r="Z381" s="43"/>
      <c r="AA381" s="43"/>
      <c r="AB381" s="43"/>
      <c r="AC381" s="43"/>
      <c r="AD381" s="43"/>
      <c r="AE381" s="43"/>
      <c r="AF381" s="43"/>
      <c r="AG381" s="43"/>
      <c r="AH381" s="43"/>
    </row>
    <row r="382" spans="1:34">
      <c r="A382" s="41" t="s">
        <v>76</v>
      </c>
      <c r="B382" s="43" t="s">
        <v>289</v>
      </c>
      <c r="C382" s="42"/>
      <c r="D382" s="46"/>
      <c r="E382" s="43"/>
      <c r="F382" s="43"/>
      <c r="G382" s="43"/>
      <c r="H382" s="43"/>
      <c r="I382" s="43"/>
      <c r="J382" s="43"/>
      <c r="K382" s="43"/>
      <c r="L382" s="43"/>
      <c r="M382" s="43"/>
      <c r="N382" s="43"/>
      <c r="O382" s="43"/>
      <c r="P382" s="43"/>
      <c r="Q382" s="43"/>
      <c r="R382" s="43"/>
      <c r="S382" s="43"/>
      <c r="T382" s="43"/>
      <c r="U382" s="43"/>
      <c r="V382" s="43"/>
      <c r="W382" s="43"/>
      <c r="X382" s="43"/>
      <c r="Y382" s="43"/>
      <c r="Z382" s="43"/>
      <c r="AA382" s="43"/>
      <c r="AB382" s="43"/>
      <c r="AC382" s="43"/>
      <c r="AD382" s="43"/>
      <c r="AE382" s="43"/>
      <c r="AF382" s="43"/>
      <c r="AG382" s="43"/>
      <c r="AH382" s="43"/>
    </row>
    <row r="383" spans="1:34">
      <c r="A383" s="41" t="s">
        <v>7</v>
      </c>
      <c r="B383" s="43"/>
      <c r="C383" s="42"/>
      <c r="D383" s="43"/>
      <c r="E383" s="43"/>
      <c r="F383" s="43"/>
      <c r="G383" s="43"/>
      <c r="H383" s="43"/>
      <c r="I383" s="43"/>
      <c r="J383" s="43"/>
      <c r="K383" s="43"/>
      <c r="L383" s="43"/>
      <c r="M383" s="43"/>
      <c r="N383" s="43"/>
      <c r="O383" s="43"/>
      <c r="P383" s="43"/>
      <c r="Q383" s="43"/>
      <c r="R383" s="43"/>
      <c r="S383" s="43"/>
      <c r="T383" s="43"/>
      <c r="U383" s="43"/>
      <c r="V383" s="43"/>
      <c r="W383" s="43"/>
      <c r="X383" s="43"/>
      <c r="Y383" s="43"/>
      <c r="Z383" s="43"/>
      <c r="AA383" s="43"/>
      <c r="AB383" s="43"/>
      <c r="AC383" s="43"/>
      <c r="AD383" s="43"/>
      <c r="AE383" s="43"/>
      <c r="AF383" s="43"/>
      <c r="AG383" s="43"/>
      <c r="AH383" s="43"/>
    </row>
    <row r="384" spans="1:34">
      <c r="A384" s="41" t="s">
        <v>8</v>
      </c>
      <c r="B384" s="41" t="s">
        <v>4</v>
      </c>
      <c r="C384" s="47" t="s">
        <v>9</v>
      </c>
      <c r="D384" s="41" t="s">
        <v>6</v>
      </c>
      <c r="E384" s="41" t="s">
        <v>106</v>
      </c>
      <c r="F384" s="41" t="s">
        <v>10</v>
      </c>
      <c r="G384" s="41" t="s">
        <v>2</v>
      </c>
      <c r="H384" s="41" t="s">
        <v>5</v>
      </c>
      <c r="I384" s="41" t="s">
        <v>11</v>
      </c>
      <c r="J384" s="43"/>
      <c r="K384" s="43"/>
      <c r="L384" s="43"/>
      <c r="M384" s="43"/>
      <c r="N384" s="43"/>
      <c r="O384" s="43"/>
      <c r="P384" s="43"/>
      <c r="Q384" s="43"/>
      <c r="R384" s="43"/>
      <c r="S384" s="43"/>
      <c r="T384" s="43"/>
      <c r="U384" s="43"/>
      <c r="V384" s="43"/>
      <c r="W384" s="43"/>
      <c r="X384" s="43"/>
      <c r="Y384" s="43"/>
      <c r="Z384" s="43"/>
      <c r="AA384" s="43"/>
      <c r="AB384" s="43"/>
      <c r="AC384" s="43"/>
      <c r="AD384" s="43"/>
      <c r="AE384" s="43"/>
      <c r="AF384" s="43"/>
      <c r="AG384" s="43"/>
      <c r="AH384" s="43"/>
    </row>
    <row r="385" spans="1:34">
      <c r="A385" s="48" t="s">
        <v>226</v>
      </c>
      <c r="B385" s="48" t="s">
        <v>227</v>
      </c>
      <c r="C385" s="49">
        <v>1</v>
      </c>
      <c r="D385" s="43" t="s">
        <v>13</v>
      </c>
      <c r="E385" s="48" t="s">
        <v>198</v>
      </c>
      <c r="F385" s="48"/>
      <c r="G385" s="48" t="s">
        <v>29</v>
      </c>
      <c r="H385" s="48" t="s">
        <v>18</v>
      </c>
      <c r="I385" s="48"/>
      <c r="J385" s="48"/>
      <c r="K385" s="48"/>
      <c r="L385" s="43"/>
      <c r="M385" s="43"/>
      <c r="N385" s="43"/>
      <c r="O385" s="43"/>
      <c r="P385" s="43"/>
      <c r="Q385" s="43"/>
      <c r="R385" s="43"/>
      <c r="S385" s="43"/>
      <c r="T385" s="43"/>
      <c r="U385" s="43"/>
      <c r="V385" s="43"/>
      <c r="W385" s="43"/>
      <c r="X385" s="43"/>
      <c r="Y385" s="43"/>
      <c r="Z385" s="43"/>
      <c r="AA385" s="43"/>
      <c r="AB385" s="43"/>
      <c r="AC385" s="43"/>
      <c r="AD385" s="43"/>
      <c r="AE385" s="43"/>
      <c r="AF385" s="43"/>
      <c r="AG385" s="43"/>
      <c r="AH385" s="43"/>
    </row>
    <row r="386" spans="1:34">
      <c r="A386" s="48" t="s">
        <v>242</v>
      </c>
      <c r="B386" s="48" t="s">
        <v>243</v>
      </c>
      <c r="C386" s="49">
        <v>0.01</v>
      </c>
      <c r="D386" s="43" t="s">
        <v>244</v>
      </c>
      <c r="E386" s="48" t="s">
        <v>211</v>
      </c>
      <c r="F386" s="48"/>
      <c r="G386" s="48" t="s">
        <v>49</v>
      </c>
      <c r="H386" s="48" t="s">
        <v>12</v>
      </c>
      <c r="I386" s="48" t="s">
        <v>316</v>
      </c>
      <c r="J386" s="48"/>
      <c r="K386" s="48"/>
      <c r="L386" s="43"/>
      <c r="M386" s="43"/>
      <c r="N386" s="43"/>
      <c r="O386" s="43"/>
      <c r="P386" s="43"/>
      <c r="Q386" s="43"/>
      <c r="R386" s="43"/>
      <c r="S386" s="43"/>
      <c r="T386" s="43"/>
      <c r="U386" s="43"/>
      <c r="V386" s="43"/>
      <c r="W386" s="43"/>
      <c r="X386" s="43"/>
      <c r="Y386" s="43"/>
      <c r="Z386" s="43"/>
      <c r="AA386" s="43"/>
      <c r="AB386" s="43"/>
      <c r="AC386" s="43"/>
      <c r="AD386" s="43"/>
      <c r="AE386" s="43"/>
      <c r="AF386" s="43"/>
      <c r="AG386" s="43"/>
      <c r="AH386" s="43"/>
    </row>
    <row r="387" spans="1:34">
      <c r="A387" s="48" t="s">
        <v>45</v>
      </c>
      <c r="B387" s="48" t="s">
        <v>43</v>
      </c>
      <c r="C387" s="59">
        <v>3.7599999999999999E-3</v>
      </c>
      <c r="D387" s="43" t="s">
        <v>19</v>
      </c>
      <c r="E387" s="48" t="s">
        <v>211</v>
      </c>
      <c r="F387" s="48"/>
      <c r="G387" s="48" t="s">
        <v>29</v>
      </c>
      <c r="H387" s="48" t="s">
        <v>12</v>
      </c>
      <c r="I387" s="48" t="s">
        <v>296</v>
      </c>
      <c r="J387" s="48"/>
      <c r="K387" s="48"/>
      <c r="L387" s="43"/>
      <c r="M387" s="43"/>
      <c r="N387" s="43"/>
      <c r="O387" s="43"/>
      <c r="P387" s="43"/>
      <c r="Q387" s="43"/>
      <c r="R387" s="43"/>
      <c r="S387" s="43"/>
      <c r="T387" s="43"/>
      <c r="U387" s="43"/>
      <c r="V387" s="43"/>
      <c r="W387" s="43"/>
      <c r="X387" s="43"/>
      <c r="Y387" s="43"/>
      <c r="Z387" s="43"/>
      <c r="AA387" s="43"/>
      <c r="AB387" s="43"/>
      <c r="AC387" s="43"/>
      <c r="AD387" s="43"/>
      <c r="AE387" s="43"/>
      <c r="AF387" s="43"/>
      <c r="AG387" s="43"/>
      <c r="AH387" s="43"/>
    </row>
    <row r="388" spans="1:34">
      <c r="A388" t="s">
        <v>294</v>
      </c>
      <c r="B388" t="s">
        <v>293</v>
      </c>
      <c r="C388" s="59">
        <v>8.4999999999999995E-4</v>
      </c>
      <c r="D388" s="43" t="s">
        <v>13</v>
      </c>
      <c r="E388" s="48" t="s">
        <v>211</v>
      </c>
      <c r="F388" s="48"/>
      <c r="G388" s="48" t="s">
        <v>49</v>
      </c>
      <c r="H388" s="48" t="s">
        <v>12</v>
      </c>
      <c r="I388" s="48" t="s">
        <v>296</v>
      </c>
    </row>
    <row r="389" spans="1:34">
      <c r="A389" s="39"/>
      <c r="B389" s="39"/>
      <c r="C389" s="40"/>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row>
    <row r="390" spans="1:34">
      <c r="A390" s="41" t="s">
        <v>1</v>
      </c>
      <c r="B390" s="41" t="s">
        <v>290</v>
      </c>
      <c r="C390" s="42"/>
      <c r="D390" s="43"/>
      <c r="E390" s="43"/>
      <c r="F390" s="43"/>
      <c r="G390" s="43"/>
      <c r="H390" s="43"/>
      <c r="I390" s="43"/>
    </row>
    <row r="391" spans="1:34">
      <c r="A391" s="41" t="s">
        <v>11</v>
      </c>
      <c r="B391" s="43" t="s">
        <v>295</v>
      </c>
      <c r="C391" s="42"/>
      <c r="D391" s="43"/>
      <c r="E391" s="43"/>
      <c r="F391" s="43"/>
      <c r="G391" s="43"/>
      <c r="H391" s="43"/>
      <c r="I391" s="43"/>
    </row>
    <row r="392" spans="1:34">
      <c r="A392" s="41" t="s">
        <v>2</v>
      </c>
      <c r="B392" s="43" t="s">
        <v>29</v>
      </c>
      <c r="C392" s="42"/>
      <c r="D392" s="43"/>
      <c r="E392" s="43"/>
      <c r="F392" s="43"/>
      <c r="G392" s="43"/>
      <c r="H392" s="43"/>
      <c r="I392" s="43"/>
    </row>
    <row r="393" spans="1:34">
      <c r="A393" s="44" t="s">
        <v>4</v>
      </c>
      <c r="B393" s="48" t="s">
        <v>291</v>
      </c>
      <c r="C393" s="42"/>
      <c r="D393" s="46"/>
      <c r="E393" s="43"/>
      <c r="F393" s="43"/>
      <c r="G393" s="43"/>
      <c r="H393" s="43"/>
      <c r="I393" s="43"/>
    </row>
    <row r="394" spans="1:34">
      <c r="A394" s="41" t="s">
        <v>3</v>
      </c>
      <c r="B394" s="45">
        <v>1</v>
      </c>
      <c r="C394" s="42"/>
      <c r="D394" s="46"/>
      <c r="E394" s="43"/>
      <c r="F394" s="43"/>
      <c r="G394" s="43"/>
      <c r="H394" s="43"/>
      <c r="I394" s="43"/>
    </row>
    <row r="395" spans="1:34">
      <c r="A395" s="41" t="s">
        <v>6</v>
      </c>
      <c r="B395" s="43" t="s">
        <v>13</v>
      </c>
      <c r="C395" s="42"/>
      <c r="D395" s="46"/>
      <c r="E395" s="43"/>
      <c r="F395" s="43"/>
      <c r="G395" s="43"/>
      <c r="H395" s="43"/>
      <c r="I395" s="43"/>
    </row>
    <row r="396" spans="1:34">
      <c r="A396" s="41" t="s">
        <v>76</v>
      </c>
      <c r="B396" s="43" t="s">
        <v>289</v>
      </c>
      <c r="C396" s="42"/>
      <c r="D396" s="46"/>
      <c r="E396" s="43"/>
      <c r="F396" s="43"/>
      <c r="G396" s="43"/>
      <c r="H396" s="43"/>
      <c r="I396" s="43"/>
    </row>
    <row r="397" spans="1:34">
      <c r="A397" s="41" t="s">
        <v>7</v>
      </c>
      <c r="B397" s="43"/>
      <c r="C397" s="42"/>
      <c r="D397" s="43"/>
      <c r="E397" s="43"/>
      <c r="F397" s="43"/>
      <c r="G397" s="43"/>
      <c r="H397" s="43"/>
      <c r="I397" s="43"/>
    </row>
    <row r="398" spans="1:34">
      <c r="A398" s="41" t="s">
        <v>8</v>
      </c>
      <c r="B398" s="41" t="s">
        <v>4</v>
      </c>
      <c r="C398" s="47" t="s">
        <v>9</v>
      </c>
      <c r="D398" s="41" t="s">
        <v>6</v>
      </c>
      <c r="E398" s="41" t="s">
        <v>106</v>
      </c>
      <c r="F398" s="41" t="s">
        <v>10</v>
      </c>
      <c r="G398" s="41" t="s">
        <v>2</v>
      </c>
      <c r="H398" s="41" t="s">
        <v>5</v>
      </c>
      <c r="I398" s="41" t="s">
        <v>11</v>
      </c>
    </row>
    <row r="399" spans="1:34">
      <c r="A399" s="48" t="s">
        <v>290</v>
      </c>
      <c r="B399" s="48" t="s">
        <v>291</v>
      </c>
      <c r="C399" s="49">
        <v>1</v>
      </c>
      <c r="D399" s="43" t="s">
        <v>13</v>
      </c>
      <c r="E399" s="48" t="s">
        <v>198</v>
      </c>
      <c r="F399" s="48"/>
      <c r="G399" s="48" t="s">
        <v>29</v>
      </c>
      <c r="H399" s="48" t="s">
        <v>18</v>
      </c>
      <c r="I399" s="48"/>
    </row>
    <row r="400" spans="1:34">
      <c r="A400" s="48" t="s">
        <v>292</v>
      </c>
      <c r="B400" s="48" t="s">
        <v>292</v>
      </c>
      <c r="C400" s="59">
        <v>0.1</v>
      </c>
      <c r="D400" s="43" t="s">
        <v>244</v>
      </c>
      <c r="E400" s="48" t="s">
        <v>211</v>
      </c>
      <c r="F400" s="48"/>
      <c r="G400" s="48" t="s">
        <v>27</v>
      </c>
      <c r="H400" s="48" t="s">
        <v>12</v>
      </c>
      <c r="I400" s="48" t="s">
        <v>297</v>
      </c>
    </row>
    <row r="401" spans="1:34">
      <c r="A401" s="48" t="s">
        <v>45</v>
      </c>
      <c r="B401" s="48" t="s">
        <v>43</v>
      </c>
      <c r="C401" s="59">
        <v>3.7599999999999999E-3</v>
      </c>
      <c r="D401" s="43" t="s">
        <v>19</v>
      </c>
      <c r="E401" s="48" t="s">
        <v>211</v>
      </c>
      <c r="F401" s="48"/>
      <c r="G401" s="48" t="s">
        <v>29</v>
      </c>
      <c r="H401" s="48" t="s">
        <v>12</v>
      </c>
      <c r="I401" s="48" t="s">
        <v>296</v>
      </c>
    </row>
    <row r="402" spans="1:34">
      <c r="A402" t="s">
        <v>294</v>
      </c>
      <c r="B402" t="s">
        <v>293</v>
      </c>
      <c r="C402" s="59">
        <v>8.4999999999999995E-4</v>
      </c>
      <c r="D402" s="43" t="s">
        <v>13</v>
      </c>
      <c r="E402" s="48" t="s">
        <v>211</v>
      </c>
      <c r="F402" s="48"/>
      <c r="G402" s="48" t="s">
        <v>49</v>
      </c>
      <c r="H402" s="48" t="s">
        <v>12</v>
      </c>
      <c r="I402" s="48" t="s">
        <v>296</v>
      </c>
    </row>
    <row r="403" spans="1:34">
      <c r="A403" s="39"/>
      <c r="B403" s="39"/>
      <c r="C403" s="40"/>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row>
    <row r="404" spans="1:34">
      <c r="A404" s="41" t="s">
        <v>1</v>
      </c>
      <c r="B404" s="58" t="s">
        <v>315</v>
      </c>
      <c r="C404" s="42"/>
      <c r="D404" s="43"/>
      <c r="E404" s="43"/>
      <c r="F404" s="43"/>
      <c r="G404" s="43"/>
      <c r="H404" s="43"/>
      <c r="I404" s="43"/>
      <c r="J404" s="43"/>
      <c r="K404" s="43"/>
      <c r="L404" s="43"/>
      <c r="M404" s="43"/>
      <c r="N404" s="43"/>
      <c r="O404" s="43"/>
      <c r="P404" s="43"/>
      <c r="Q404" s="43"/>
      <c r="R404" s="43"/>
      <c r="S404" s="43"/>
      <c r="T404" s="43"/>
      <c r="U404" s="43"/>
      <c r="V404" s="43"/>
      <c r="W404" s="43"/>
      <c r="X404" s="43"/>
      <c r="Y404" s="43"/>
      <c r="Z404" s="43"/>
      <c r="AA404" s="43"/>
      <c r="AB404" s="43"/>
      <c r="AC404" s="43"/>
      <c r="AD404" s="43"/>
      <c r="AE404" s="43"/>
      <c r="AF404" s="43"/>
      <c r="AG404" s="43"/>
      <c r="AH404" s="43"/>
    </row>
    <row r="405" spans="1:34">
      <c r="A405" s="41" t="s">
        <v>11</v>
      </c>
      <c r="B405" s="43" t="s">
        <v>247</v>
      </c>
      <c r="C405" s="42"/>
      <c r="D405" s="43"/>
      <c r="E405" s="43"/>
      <c r="F405" s="43"/>
      <c r="G405" s="43"/>
      <c r="H405" s="43"/>
      <c r="I405" s="43"/>
      <c r="J405" s="43"/>
      <c r="K405" s="43"/>
      <c r="L405" s="43"/>
      <c r="M405" s="43"/>
      <c r="N405" s="43"/>
      <c r="O405" s="43"/>
      <c r="P405" s="43"/>
      <c r="Q405" s="43"/>
      <c r="R405" s="43"/>
      <c r="S405" s="43"/>
      <c r="T405" s="43"/>
      <c r="U405" s="43"/>
      <c r="V405" s="43"/>
      <c r="W405" s="43"/>
      <c r="X405" s="43"/>
      <c r="Y405" s="43"/>
      <c r="Z405" s="43"/>
      <c r="AA405" s="43"/>
      <c r="AB405" s="43"/>
      <c r="AC405" s="43"/>
      <c r="AD405" s="43"/>
      <c r="AE405" s="43"/>
      <c r="AF405" s="43"/>
      <c r="AG405" s="43"/>
      <c r="AH405" s="43"/>
    </row>
    <row r="406" spans="1:34">
      <c r="A406" s="41" t="s">
        <v>2</v>
      </c>
      <c r="B406" s="43" t="s">
        <v>29</v>
      </c>
      <c r="C406" s="42"/>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E406" s="43"/>
      <c r="AF406" s="43"/>
      <c r="AG406" s="43"/>
      <c r="AH406" s="43"/>
    </row>
    <row r="407" spans="1:34">
      <c r="A407" s="44" t="s">
        <v>4</v>
      </c>
      <c r="B407" s="43" t="s">
        <v>233</v>
      </c>
      <c r="C407" s="42"/>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E407" s="43"/>
      <c r="AF407" s="43"/>
      <c r="AG407" s="43"/>
      <c r="AH407" s="43"/>
    </row>
    <row r="408" spans="1:34">
      <c r="A408" s="41" t="s">
        <v>3</v>
      </c>
      <c r="B408" s="45">
        <v>1</v>
      </c>
      <c r="C408" s="42"/>
      <c r="D408" s="46"/>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E408" s="43"/>
      <c r="AF408" s="43"/>
      <c r="AG408" s="43"/>
      <c r="AH408" s="43"/>
    </row>
    <row r="409" spans="1:34">
      <c r="A409" s="41" t="s">
        <v>6</v>
      </c>
      <c r="B409" s="43" t="s">
        <v>13</v>
      </c>
      <c r="C409" s="42"/>
      <c r="D409" s="46"/>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E409" s="43"/>
      <c r="AF409" s="43"/>
      <c r="AG409" s="43"/>
      <c r="AH409" s="43"/>
    </row>
    <row r="410" spans="1:34">
      <c r="A410" s="41" t="s">
        <v>76</v>
      </c>
      <c r="B410" t="s">
        <v>248</v>
      </c>
      <c r="C410" s="42"/>
      <c r="D410" s="46"/>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E410" s="43"/>
      <c r="AF410" s="43"/>
      <c r="AG410" s="43"/>
      <c r="AH410" s="43"/>
    </row>
    <row r="411" spans="1:34">
      <c r="A411" s="41" t="s">
        <v>7</v>
      </c>
      <c r="B411" s="43"/>
      <c r="C411" s="42"/>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E411" s="43"/>
      <c r="AF411" s="43"/>
      <c r="AG411" s="43"/>
      <c r="AH411" s="43"/>
    </row>
    <row r="412" spans="1:34">
      <c r="A412" s="41" t="s">
        <v>8</v>
      </c>
      <c r="B412" s="41" t="s">
        <v>4</v>
      </c>
      <c r="C412" s="47" t="s">
        <v>9</v>
      </c>
      <c r="D412" s="41" t="s">
        <v>6</v>
      </c>
      <c r="E412" s="41" t="s">
        <v>106</v>
      </c>
      <c r="F412" s="41" t="s">
        <v>10</v>
      </c>
      <c r="G412" s="41" t="s">
        <v>2</v>
      </c>
      <c r="H412" s="41" t="s">
        <v>5</v>
      </c>
      <c r="I412" s="41" t="s">
        <v>11</v>
      </c>
      <c r="J412" s="43"/>
      <c r="K412" s="43"/>
      <c r="L412" s="43"/>
      <c r="M412" s="43"/>
      <c r="N412" s="43"/>
      <c r="O412" s="43"/>
      <c r="P412" s="43"/>
      <c r="Q412" s="43"/>
      <c r="R412" s="43"/>
      <c r="S412" s="43"/>
      <c r="T412" s="43"/>
      <c r="U412" s="43"/>
      <c r="V412" s="43"/>
      <c r="W412" s="43"/>
      <c r="X412" s="43"/>
      <c r="Y412" s="43"/>
      <c r="Z412" s="43"/>
      <c r="AA412" s="43"/>
      <c r="AB412" s="43"/>
      <c r="AC412" s="43"/>
      <c r="AD412" s="43"/>
      <c r="AE412" s="43"/>
      <c r="AF412" s="43"/>
      <c r="AG412" s="43"/>
      <c r="AH412" s="43"/>
    </row>
    <row r="413" spans="1:34">
      <c r="A413" s="48" t="s">
        <v>232</v>
      </c>
      <c r="B413" s="48" t="s">
        <v>233</v>
      </c>
      <c r="C413" s="49">
        <v>1</v>
      </c>
      <c r="D413" s="43" t="s">
        <v>13</v>
      </c>
      <c r="E413" s="48" t="s">
        <v>198</v>
      </c>
      <c r="F413" s="48"/>
      <c r="G413" s="48" t="s">
        <v>29</v>
      </c>
      <c r="H413" s="48" t="s">
        <v>18</v>
      </c>
      <c r="I413" s="48"/>
      <c r="J413" s="48"/>
      <c r="K413" s="48"/>
      <c r="L413" s="43"/>
      <c r="M413" s="43"/>
      <c r="N413" s="43"/>
      <c r="O413" s="43"/>
      <c r="P413" s="43"/>
      <c r="Q413" s="43"/>
      <c r="R413" s="43"/>
      <c r="S413" s="43"/>
      <c r="T413" s="43"/>
      <c r="U413" s="43"/>
      <c r="V413" s="43"/>
      <c r="W413" s="43"/>
      <c r="X413" s="43"/>
      <c r="Y413" s="43"/>
      <c r="Z413" s="43"/>
      <c r="AA413" s="43"/>
      <c r="AB413" s="43"/>
      <c r="AC413" s="43"/>
      <c r="AD413" s="43"/>
      <c r="AE413" s="43"/>
      <c r="AF413" s="43"/>
      <c r="AG413" s="43"/>
      <c r="AH413" s="43"/>
    </row>
    <row r="414" spans="1:34">
      <c r="A414" s="48" t="s">
        <v>258</v>
      </c>
      <c r="B414" s="48" t="s">
        <v>249</v>
      </c>
      <c r="C414" s="42">
        <v>4.0000000000000001E-3</v>
      </c>
      <c r="D414" s="43" t="s">
        <v>13</v>
      </c>
      <c r="E414" s="48" t="s">
        <v>211</v>
      </c>
      <c r="F414" s="48"/>
      <c r="G414" s="48" t="s">
        <v>29</v>
      </c>
      <c r="H414" s="48" t="s">
        <v>12</v>
      </c>
      <c r="I414" s="48" t="s">
        <v>250</v>
      </c>
      <c r="J414" s="48"/>
      <c r="K414" s="48"/>
      <c r="L414" s="43"/>
      <c r="M414" s="43"/>
      <c r="N414" s="43"/>
      <c r="O414" s="43"/>
      <c r="P414" s="43"/>
      <c r="Q414" s="43"/>
      <c r="R414" s="43"/>
      <c r="S414" s="43"/>
      <c r="T414" s="43"/>
      <c r="U414" s="43"/>
      <c r="V414" s="43"/>
      <c r="W414" s="43"/>
      <c r="X414" s="43"/>
      <c r="Y414" s="43"/>
      <c r="Z414" s="43"/>
      <c r="AA414" s="43"/>
      <c r="AB414" s="43"/>
      <c r="AC414" s="43"/>
      <c r="AD414" s="43"/>
      <c r="AE414" s="43"/>
      <c r="AF414" s="43"/>
      <c r="AG414" s="43"/>
      <c r="AH414" s="43"/>
    </row>
    <row r="415" spans="1:34">
      <c r="A415" s="48" t="s">
        <v>251</v>
      </c>
      <c r="B415" s="48" t="s">
        <v>252</v>
      </c>
      <c r="C415" s="42">
        <v>5.0000000000000002E-5</v>
      </c>
      <c r="D415" s="43" t="s">
        <v>253</v>
      </c>
      <c r="E415" s="48" t="s">
        <v>211</v>
      </c>
      <c r="F415" s="48"/>
      <c r="G415" s="48" t="s">
        <v>140</v>
      </c>
      <c r="H415" s="48" t="s">
        <v>12</v>
      </c>
      <c r="I415" s="48" t="s">
        <v>254</v>
      </c>
      <c r="J415" s="48"/>
      <c r="K415" s="48"/>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row>
    <row r="416" spans="1:34">
      <c r="A416" s="48" t="s">
        <v>242</v>
      </c>
      <c r="B416" s="48" t="s">
        <v>243</v>
      </c>
      <c r="C416" s="49">
        <v>0.01</v>
      </c>
      <c r="D416" s="43" t="s">
        <v>244</v>
      </c>
      <c r="E416" s="48" t="s">
        <v>211</v>
      </c>
      <c r="F416" s="48"/>
      <c r="G416" s="48" t="s">
        <v>49</v>
      </c>
      <c r="H416" s="48" t="s">
        <v>12</v>
      </c>
      <c r="I416" s="48" t="s">
        <v>316</v>
      </c>
      <c r="J416" s="48"/>
      <c r="K416" s="48"/>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row>
    <row r="417" spans="1:34">
      <c r="A417" t="s">
        <v>255</v>
      </c>
      <c r="B417"/>
      <c r="C417" s="42">
        <v>4.4000000000000003E-3</v>
      </c>
      <c r="D417" s="43" t="s">
        <v>13</v>
      </c>
      <c r="E417" s="43" t="s">
        <v>109</v>
      </c>
      <c r="F417" s="43" t="s">
        <v>256</v>
      </c>
      <c r="H417" s="43" t="s">
        <v>15</v>
      </c>
      <c r="I417" s="43" t="s">
        <v>257</v>
      </c>
    </row>
    <row r="418" spans="1:34">
      <c r="A418" s="39"/>
      <c r="B418" s="39"/>
      <c r="C418" s="40"/>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row>
    <row r="419" spans="1:34">
      <c r="A419" s="44" t="s">
        <v>1</v>
      </c>
      <c r="B419" s="37" t="s">
        <v>400</v>
      </c>
    </row>
    <row r="420" spans="1:34">
      <c r="A420" s="44" t="s">
        <v>2</v>
      </c>
      <c r="B420" s="18" t="s">
        <v>49</v>
      </c>
    </row>
    <row r="421" spans="1:34">
      <c r="A421" s="44" t="s">
        <v>3</v>
      </c>
      <c r="B421" s="18">
        <v>1</v>
      </c>
    </row>
    <row r="422" spans="1:34" ht="15.75">
      <c r="A422" s="44" t="s">
        <v>4</v>
      </c>
      <c r="B422" s="60" t="s">
        <v>317</v>
      </c>
    </row>
    <row r="423" spans="1:34">
      <c r="A423" s="44" t="s">
        <v>76</v>
      </c>
      <c r="B423" s="18" t="s">
        <v>401</v>
      </c>
    </row>
    <row r="424" spans="1:34">
      <c r="A424" s="44" t="s">
        <v>5</v>
      </c>
      <c r="B424" s="18" t="s">
        <v>78</v>
      </c>
    </row>
    <row r="425" spans="1:34">
      <c r="A425" s="44" t="s">
        <v>6</v>
      </c>
      <c r="B425" s="18" t="s">
        <v>13</v>
      </c>
    </row>
    <row r="426" spans="1:34">
      <c r="A426" s="44" t="s">
        <v>318</v>
      </c>
      <c r="B426" s="31">
        <f>14.9/(1-B427)</f>
        <v>17.325581395348838</v>
      </c>
    </row>
    <row r="427" spans="1:34">
      <c r="A427" s="44" t="s">
        <v>319</v>
      </c>
      <c r="B427" s="61">
        <v>0.14000000000000001</v>
      </c>
    </row>
    <row r="428" spans="1:34" ht="15.75">
      <c r="A428" s="29" t="s">
        <v>7</v>
      </c>
    </row>
    <row r="429" spans="1:34" s="41" customFormat="1">
      <c r="A429" s="41" t="s">
        <v>8</v>
      </c>
      <c r="B429" s="41" t="s">
        <v>9</v>
      </c>
      <c r="C429" s="41" t="s">
        <v>2</v>
      </c>
      <c r="D429" s="41" t="s">
        <v>6</v>
      </c>
      <c r="E429" s="41" t="s">
        <v>10</v>
      </c>
      <c r="F429" s="41" t="s">
        <v>5</v>
      </c>
      <c r="G429" s="41" t="s">
        <v>11</v>
      </c>
      <c r="H429" s="41" t="s">
        <v>4</v>
      </c>
    </row>
    <row r="430" spans="1:34" ht="15.75">
      <c r="A430" t="s">
        <v>400</v>
      </c>
      <c r="B430" s="18">
        <v>1</v>
      </c>
      <c r="C430" t="s">
        <v>49</v>
      </c>
      <c r="D430" t="s">
        <v>13</v>
      </c>
      <c r="E430" t="s">
        <v>320</v>
      </c>
      <c r="F430" t="s">
        <v>18</v>
      </c>
      <c r="G430" t="s">
        <v>74</v>
      </c>
      <c r="H430" s="60" t="s">
        <v>317</v>
      </c>
    </row>
    <row r="431" spans="1:34">
      <c r="A431" t="s">
        <v>115</v>
      </c>
      <c r="B431" s="18">
        <v>7.5716999999999994E-4</v>
      </c>
      <c r="D431" t="s">
        <v>13</v>
      </c>
      <c r="E431" t="s">
        <v>25</v>
      </c>
      <c r="F431" t="s">
        <v>15</v>
      </c>
      <c r="G431" t="s">
        <v>321</v>
      </c>
    </row>
    <row r="432" spans="1:34">
      <c r="A432" t="s">
        <v>115</v>
      </c>
      <c r="B432" s="18">
        <v>1.7899999999999998E-6</v>
      </c>
      <c r="D432" t="s">
        <v>13</v>
      </c>
      <c r="E432" t="s">
        <v>25</v>
      </c>
      <c r="F432" t="s">
        <v>15</v>
      </c>
      <c r="G432" t="s">
        <v>322</v>
      </c>
    </row>
    <row r="433" spans="1:8">
      <c r="A433" t="s">
        <v>323</v>
      </c>
      <c r="B433" s="18">
        <v>8.9499999999999996E-3</v>
      </c>
      <c r="C433" t="s">
        <v>140</v>
      </c>
      <c r="D433" t="s">
        <v>13</v>
      </c>
      <c r="E433" t="s">
        <v>324</v>
      </c>
      <c r="F433" t="s">
        <v>12</v>
      </c>
      <c r="G433" t="s">
        <v>325</v>
      </c>
      <c r="H433" t="s">
        <v>326</v>
      </c>
    </row>
    <row r="434" spans="1:8">
      <c r="A434" t="s">
        <v>327</v>
      </c>
      <c r="B434" s="18">
        <v>3.382384E-3</v>
      </c>
      <c r="C434" t="s">
        <v>140</v>
      </c>
      <c r="D434" t="s">
        <v>13</v>
      </c>
      <c r="E434" t="s">
        <v>324</v>
      </c>
      <c r="F434" t="s">
        <v>12</v>
      </c>
      <c r="G434" t="s">
        <v>328</v>
      </c>
      <c r="H434" t="s">
        <v>329</v>
      </c>
    </row>
    <row r="435" spans="1:8">
      <c r="A435" t="s">
        <v>258</v>
      </c>
      <c r="B435" s="18">
        <v>1.9689999999999999E-2</v>
      </c>
      <c r="C435" t="s">
        <v>27</v>
      </c>
      <c r="D435" t="s">
        <v>13</v>
      </c>
      <c r="E435" t="s">
        <v>324</v>
      </c>
      <c r="F435" t="s">
        <v>12</v>
      </c>
      <c r="G435" t="s">
        <v>330</v>
      </c>
      <c r="H435" t="s">
        <v>249</v>
      </c>
    </row>
    <row r="436" spans="1:8">
      <c r="A436" t="s">
        <v>313</v>
      </c>
      <c r="B436" s="18">
        <f>0.00179/1000</f>
        <v>1.79E-6</v>
      </c>
      <c r="C436" t="s">
        <v>140</v>
      </c>
      <c r="D436" t="s">
        <v>13</v>
      </c>
      <c r="E436" t="s">
        <v>324</v>
      </c>
      <c r="F436" t="s">
        <v>12</v>
      </c>
      <c r="G436" t="s">
        <v>331</v>
      </c>
      <c r="H436" t="s">
        <v>314</v>
      </c>
    </row>
    <row r="437" spans="1:8">
      <c r="A437" t="s">
        <v>332</v>
      </c>
      <c r="B437" s="18">
        <f>986/1000000</f>
        <v>9.859999999999999E-4</v>
      </c>
      <c r="C437" t="s">
        <v>140</v>
      </c>
      <c r="D437" t="s">
        <v>13</v>
      </c>
      <c r="F437" t="s">
        <v>12</v>
      </c>
      <c r="G437" t="s">
        <v>333</v>
      </c>
      <c r="H437" t="s">
        <v>334</v>
      </c>
    </row>
    <row r="438" spans="1:8">
      <c r="A438" t="s">
        <v>311</v>
      </c>
      <c r="B438" s="18">
        <v>5.3699999999999989E-3</v>
      </c>
      <c r="C438" t="s">
        <v>27</v>
      </c>
      <c r="D438" t="s">
        <v>13</v>
      </c>
      <c r="E438" t="s">
        <v>324</v>
      </c>
      <c r="F438" t="s">
        <v>12</v>
      </c>
      <c r="G438" t="s">
        <v>335</v>
      </c>
      <c r="H438" t="s">
        <v>312</v>
      </c>
    </row>
    <row r="439" spans="1:8">
      <c r="A439" t="s">
        <v>336</v>
      </c>
      <c r="B439" s="18">
        <v>5.3699999999999989E-3</v>
      </c>
      <c r="C439" t="s">
        <v>27</v>
      </c>
      <c r="D439" t="s">
        <v>13</v>
      </c>
      <c r="E439" t="s">
        <v>324</v>
      </c>
      <c r="F439" t="s">
        <v>12</v>
      </c>
      <c r="G439" t="s">
        <v>337</v>
      </c>
      <c r="H439" t="s">
        <v>338</v>
      </c>
    </row>
    <row r="440" spans="1:8">
      <c r="A440" t="s">
        <v>339</v>
      </c>
      <c r="B440" s="18">
        <v>2.3269999999999996E-2</v>
      </c>
      <c r="C440" t="s">
        <v>140</v>
      </c>
      <c r="D440" t="s">
        <v>13</v>
      </c>
      <c r="E440" t="s">
        <v>324</v>
      </c>
      <c r="F440" t="s">
        <v>12</v>
      </c>
      <c r="G440" t="s">
        <v>330</v>
      </c>
      <c r="H440" t="s">
        <v>340</v>
      </c>
    </row>
    <row r="441" spans="1:8">
      <c r="A441" t="s">
        <v>341</v>
      </c>
      <c r="B441" s="18">
        <f>0.01295781*43</f>
        <v>0.55718582999999999</v>
      </c>
      <c r="C441" t="s">
        <v>140</v>
      </c>
      <c r="D441" t="s">
        <v>46</v>
      </c>
      <c r="E441" t="s">
        <v>324</v>
      </c>
      <c r="F441" t="s">
        <v>12</v>
      </c>
      <c r="G441" t="s">
        <v>342</v>
      </c>
      <c r="H441" t="s">
        <v>343</v>
      </c>
    </row>
    <row r="442" spans="1:8">
      <c r="A442" t="s">
        <v>344</v>
      </c>
      <c r="B442" s="18">
        <v>7.464300000000001E-3</v>
      </c>
      <c r="C442" t="s">
        <v>22</v>
      </c>
      <c r="D442" t="s">
        <v>19</v>
      </c>
      <c r="E442" t="s">
        <v>345</v>
      </c>
      <c r="F442" t="s">
        <v>12</v>
      </c>
      <c r="G442" t="s">
        <v>328</v>
      </c>
      <c r="H442" t="s">
        <v>43</v>
      </c>
    </row>
    <row r="443" spans="1:8">
      <c r="A443" t="s">
        <v>344</v>
      </c>
      <c r="B443" s="18">
        <v>1.9407179999999997E-3</v>
      </c>
      <c r="C443" t="s">
        <v>22</v>
      </c>
      <c r="D443" t="s">
        <v>19</v>
      </c>
      <c r="E443" t="s">
        <v>345</v>
      </c>
      <c r="F443" t="s">
        <v>12</v>
      </c>
      <c r="G443" t="s">
        <v>346</v>
      </c>
      <c r="H443" t="s">
        <v>43</v>
      </c>
    </row>
    <row r="444" spans="1:8">
      <c r="A444" t="s">
        <v>347</v>
      </c>
      <c r="B444" s="18">
        <v>3.923859E-3</v>
      </c>
      <c r="C444" t="s">
        <v>49</v>
      </c>
      <c r="D444" t="s">
        <v>13</v>
      </c>
      <c r="E444" t="s">
        <v>324</v>
      </c>
      <c r="F444" t="s">
        <v>12</v>
      </c>
      <c r="G444" t="s">
        <v>328</v>
      </c>
      <c r="H444" t="s">
        <v>348</v>
      </c>
    </row>
    <row r="445" spans="1:8">
      <c r="A445" t="s">
        <v>303</v>
      </c>
      <c r="B445" s="18">
        <f>17.9*(1-B427)</f>
        <v>15.393999999999998</v>
      </c>
      <c r="D445" t="s">
        <v>46</v>
      </c>
      <c r="E445" t="s">
        <v>304</v>
      </c>
      <c r="F445" t="s">
        <v>15</v>
      </c>
      <c r="G445" t="s">
        <v>349</v>
      </c>
    </row>
    <row r="446" spans="1:8">
      <c r="A446" t="s">
        <v>199</v>
      </c>
      <c r="B446" s="18">
        <v>0</v>
      </c>
      <c r="D446" t="s">
        <v>13</v>
      </c>
      <c r="E446" t="s">
        <v>200</v>
      </c>
      <c r="F446" t="s">
        <v>15</v>
      </c>
      <c r="G446" t="s">
        <v>399</v>
      </c>
    </row>
    <row r="447" spans="1:8">
      <c r="A447" t="s">
        <v>307</v>
      </c>
      <c r="B447" s="18">
        <f>1/(7129/10000)</f>
        <v>1.4027212792818067</v>
      </c>
      <c r="D447" t="s">
        <v>17</v>
      </c>
      <c r="E447" t="s">
        <v>16</v>
      </c>
      <c r="F447" t="s">
        <v>15</v>
      </c>
      <c r="G447" t="s">
        <v>350</v>
      </c>
    </row>
    <row r="448" spans="1:8">
      <c r="A448" t="s">
        <v>351</v>
      </c>
      <c r="B448" s="18">
        <f>1/(7129/10000)</f>
        <v>1.4027212792818067</v>
      </c>
      <c r="D448" t="s">
        <v>188</v>
      </c>
      <c r="E448" t="s">
        <v>16</v>
      </c>
      <c r="F448" t="s">
        <v>15</v>
      </c>
      <c r="G448" t="s">
        <v>352</v>
      </c>
    </row>
    <row r="449" spans="1:7">
      <c r="A449" t="s">
        <v>310</v>
      </c>
      <c r="B449" s="18">
        <f>1/(7129/10000)</f>
        <v>1.4027212792818067</v>
      </c>
      <c r="D449" t="s">
        <v>188</v>
      </c>
      <c r="E449" t="s">
        <v>16</v>
      </c>
      <c r="F449" t="s">
        <v>15</v>
      </c>
      <c r="G449" t="s">
        <v>352</v>
      </c>
    </row>
    <row r="450" spans="1:7">
      <c r="A450" t="s">
        <v>130</v>
      </c>
      <c r="B450" s="18">
        <v>0.17007192792102799</v>
      </c>
      <c r="D450" t="s">
        <v>128</v>
      </c>
      <c r="E450" t="s">
        <v>25</v>
      </c>
      <c r="F450" t="s">
        <v>15</v>
      </c>
      <c r="G450" t="s">
        <v>353</v>
      </c>
    </row>
    <row r="451" spans="1:7">
      <c r="A451" t="s">
        <v>119</v>
      </c>
      <c r="B451" s="18">
        <v>8.3517419999999996E-5</v>
      </c>
      <c r="D451" t="s">
        <v>13</v>
      </c>
      <c r="E451" t="s">
        <v>184</v>
      </c>
      <c r="F451" t="s">
        <v>15</v>
      </c>
      <c r="G451" t="s">
        <v>353</v>
      </c>
    </row>
    <row r="452" spans="1:7">
      <c r="A452" t="s">
        <v>284</v>
      </c>
      <c r="B452" s="18">
        <v>1.0182310000000001E-3</v>
      </c>
      <c r="D452" t="s">
        <v>13</v>
      </c>
      <c r="E452" t="s">
        <v>184</v>
      </c>
      <c r="F452" t="s">
        <v>15</v>
      </c>
      <c r="G452" t="s">
        <v>353</v>
      </c>
    </row>
    <row r="453" spans="1:7">
      <c r="A453" t="s">
        <v>354</v>
      </c>
      <c r="B453" s="18">
        <f>B455/2</f>
        <v>0.47991081325301199</v>
      </c>
      <c r="D453" t="s">
        <v>188</v>
      </c>
      <c r="E453" t="s">
        <v>16</v>
      </c>
      <c r="F453" t="s">
        <v>15</v>
      </c>
      <c r="G453" t="s">
        <v>355</v>
      </c>
    </row>
    <row r="454" spans="1:7">
      <c r="A454" t="s">
        <v>356</v>
      </c>
      <c r="B454" s="18">
        <f>B455/2</f>
        <v>0.47991081325301199</v>
      </c>
      <c r="D454" t="s">
        <v>188</v>
      </c>
      <c r="E454" t="s">
        <v>16</v>
      </c>
      <c r="F454" t="s">
        <v>15</v>
      </c>
      <c r="G454" t="s">
        <v>355</v>
      </c>
    </row>
    <row r="455" spans="1:7">
      <c r="A455" t="s">
        <v>357</v>
      </c>
      <c r="B455" s="18">
        <v>0.95982162650602398</v>
      </c>
      <c r="D455" t="s">
        <v>17</v>
      </c>
      <c r="E455" t="s">
        <v>16</v>
      </c>
      <c r="F455" t="s">
        <v>15</v>
      </c>
      <c r="G455" t="s">
        <v>358</v>
      </c>
    </row>
    <row r="456" spans="1:7">
      <c r="A456" t="s">
        <v>359</v>
      </c>
      <c r="B456" s="18">
        <v>1.0107999999999999E-6</v>
      </c>
      <c r="D456" t="s">
        <v>13</v>
      </c>
      <c r="E456" t="s">
        <v>301</v>
      </c>
      <c r="F456" t="s">
        <v>15</v>
      </c>
      <c r="G456" t="s">
        <v>353</v>
      </c>
    </row>
    <row r="457" spans="1:7">
      <c r="A457" t="s">
        <v>360</v>
      </c>
      <c r="B457" s="18">
        <v>6.1366999999999996E-7</v>
      </c>
      <c r="D457" t="s">
        <v>13</v>
      </c>
      <c r="E457" t="s">
        <v>301</v>
      </c>
      <c r="F457" t="s">
        <v>15</v>
      </c>
      <c r="G457" t="s">
        <v>353</v>
      </c>
    </row>
    <row r="458" spans="1:7">
      <c r="A458" t="s">
        <v>361</v>
      </c>
      <c r="B458" s="18">
        <v>4.8131000000000003E-9</v>
      </c>
      <c r="D458" t="s">
        <v>13</v>
      </c>
      <c r="E458" t="s">
        <v>301</v>
      </c>
      <c r="F458" t="s">
        <v>15</v>
      </c>
      <c r="G458" t="s">
        <v>353</v>
      </c>
    </row>
    <row r="459" spans="1:7">
      <c r="A459" t="s">
        <v>362</v>
      </c>
      <c r="B459" s="18">
        <v>6.4977000000000003E-7</v>
      </c>
      <c r="D459" t="s">
        <v>13</v>
      </c>
      <c r="E459" t="s">
        <v>301</v>
      </c>
      <c r="F459" t="s">
        <v>15</v>
      </c>
      <c r="G459" t="s">
        <v>353</v>
      </c>
    </row>
    <row r="460" spans="1:7">
      <c r="A460" t="s">
        <v>363</v>
      </c>
      <c r="B460" s="18">
        <v>-1.5040999999999999E-6</v>
      </c>
      <c r="D460" t="s">
        <v>13</v>
      </c>
      <c r="E460" t="s">
        <v>301</v>
      </c>
      <c r="F460" t="s">
        <v>15</v>
      </c>
      <c r="G460" t="s">
        <v>353</v>
      </c>
    </row>
    <row r="461" spans="1:7">
      <c r="A461" t="s">
        <v>364</v>
      </c>
      <c r="B461" s="18">
        <v>1.2032999999999999E-7</v>
      </c>
      <c r="D461" t="s">
        <v>13</v>
      </c>
      <c r="E461" t="s">
        <v>301</v>
      </c>
      <c r="F461" t="s">
        <v>15</v>
      </c>
      <c r="G461" t="s">
        <v>353</v>
      </c>
    </row>
    <row r="462" spans="1:7">
      <c r="A462" t="s">
        <v>365</v>
      </c>
      <c r="B462" s="18">
        <v>2.4787000000000001E-6</v>
      </c>
      <c r="D462" t="s">
        <v>13</v>
      </c>
      <c r="E462" t="s">
        <v>301</v>
      </c>
      <c r="F462" t="s">
        <v>15</v>
      </c>
      <c r="G462" t="s">
        <v>353</v>
      </c>
    </row>
    <row r="463" spans="1:7">
      <c r="A463" t="s">
        <v>366</v>
      </c>
      <c r="B463" s="18">
        <v>1.0829E-7</v>
      </c>
      <c r="D463" t="s">
        <v>13</v>
      </c>
      <c r="E463" t="s">
        <v>301</v>
      </c>
      <c r="F463" t="s">
        <v>15</v>
      </c>
      <c r="G463" t="s">
        <v>353</v>
      </c>
    </row>
    <row r="464" spans="1:7">
      <c r="A464" t="s">
        <v>367</v>
      </c>
      <c r="B464" s="18">
        <v>1.0107999999999999E-6</v>
      </c>
      <c r="D464" t="s">
        <v>13</v>
      </c>
      <c r="E464" t="s">
        <v>301</v>
      </c>
      <c r="F464" t="s">
        <v>15</v>
      </c>
      <c r="G464" t="s">
        <v>353</v>
      </c>
    </row>
    <row r="465" spans="1:7">
      <c r="A465" t="s">
        <v>368</v>
      </c>
      <c r="B465" s="18">
        <v>2.4065000000000001E-8</v>
      </c>
      <c r="D465" t="s">
        <v>13</v>
      </c>
      <c r="E465" t="s">
        <v>301</v>
      </c>
      <c r="F465" t="s">
        <v>15</v>
      </c>
      <c r="G465" t="s">
        <v>353</v>
      </c>
    </row>
    <row r="466" spans="1:7">
      <c r="A466" t="s">
        <v>369</v>
      </c>
      <c r="B466" s="18">
        <v>-3.2893999999999998E-7</v>
      </c>
      <c r="D466" t="s">
        <v>13</v>
      </c>
      <c r="E466" t="s">
        <v>301</v>
      </c>
      <c r="F466" t="s">
        <v>15</v>
      </c>
      <c r="G466" t="s">
        <v>353</v>
      </c>
    </row>
    <row r="467" spans="1:7">
      <c r="A467" t="s">
        <v>370</v>
      </c>
      <c r="B467" s="18">
        <v>7.9416000000000001E-7</v>
      </c>
      <c r="D467" t="s">
        <v>13</v>
      </c>
      <c r="E467" t="s">
        <v>301</v>
      </c>
      <c r="F467" t="s">
        <v>15</v>
      </c>
      <c r="G467" t="s">
        <v>353</v>
      </c>
    </row>
    <row r="468" spans="1:7">
      <c r="A468" t="s">
        <v>371</v>
      </c>
      <c r="B468" s="18">
        <v>4.1393000000000003E-6</v>
      </c>
      <c r="D468" t="s">
        <v>13</v>
      </c>
      <c r="E468" t="s">
        <v>301</v>
      </c>
      <c r="F468" t="s">
        <v>15</v>
      </c>
      <c r="G468" t="s">
        <v>353</v>
      </c>
    </row>
    <row r="469" spans="1:7">
      <c r="A469" t="s">
        <v>372</v>
      </c>
      <c r="B469" s="18">
        <v>5.0537999999999999E-8</v>
      </c>
      <c r="D469" t="s">
        <v>13</v>
      </c>
      <c r="E469" t="s">
        <v>301</v>
      </c>
      <c r="F469" t="s">
        <v>15</v>
      </c>
      <c r="G469" t="s">
        <v>353</v>
      </c>
    </row>
    <row r="470" spans="1:7">
      <c r="A470" t="s">
        <v>373</v>
      </c>
      <c r="B470" s="18">
        <v>-5.9000999999999996E-6</v>
      </c>
      <c r="D470" t="s">
        <v>13</v>
      </c>
      <c r="E470" t="s">
        <v>301</v>
      </c>
      <c r="F470" t="s">
        <v>15</v>
      </c>
      <c r="G470" t="s">
        <v>353</v>
      </c>
    </row>
    <row r="471" spans="1:7">
      <c r="A471" t="s">
        <v>374</v>
      </c>
      <c r="B471" s="18">
        <v>1.5643E-6</v>
      </c>
      <c r="D471" t="s">
        <v>13</v>
      </c>
      <c r="E471" t="s">
        <v>301</v>
      </c>
      <c r="F471" t="s">
        <v>15</v>
      </c>
      <c r="G471" t="s">
        <v>353</v>
      </c>
    </row>
    <row r="472" spans="1:7">
      <c r="A472" t="s">
        <v>375</v>
      </c>
      <c r="B472" s="18">
        <v>2.6952999999999998E-6</v>
      </c>
      <c r="D472" t="s">
        <v>13</v>
      </c>
      <c r="E472" t="s">
        <v>301</v>
      </c>
      <c r="F472" t="s">
        <v>15</v>
      </c>
      <c r="G472" t="s">
        <v>353</v>
      </c>
    </row>
    <row r="473" spans="1:7">
      <c r="A473" t="s">
        <v>376</v>
      </c>
      <c r="B473" s="18">
        <v>4.4454999999999997E-8</v>
      </c>
      <c r="D473" t="s">
        <v>13</v>
      </c>
      <c r="E473" t="s">
        <v>301</v>
      </c>
      <c r="F473" t="s">
        <v>15</v>
      </c>
      <c r="G473" t="s">
        <v>353</v>
      </c>
    </row>
    <row r="474" spans="1:7">
      <c r="A474" t="s">
        <v>377</v>
      </c>
      <c r="B474" s="18">
        <v>3.6097999999999997E-8</v>
      </c>
      <c r="D474" t="s">
        <v>13</v>
      </c>
      <c r="E474" t="s">
        <v>301</v>
      </c>
      <c r="F474" t="s">
        <v>15</v>
      </c>
      <c r="G474" t="s">
        <v>353</v>
      </c>
    </row>
    <row r="475" spans="1:7">
      <c r="A475" t="s">
        <v>378</v>
      </c>
      <c r="B475" s="18">
        <v>2.1659000000000001E-7</v>
      </c>
      <c r="D475" t="s">
        <v>13</v>
      </c>
      <c r="E475" t="s">
        <v>301</v>
      </c>
      <c r="F475" t="s">
        <v>15</v>
      </c>
      <c r="G475" t="s">
        <v>353</v>
      </c>
    </row>
    <row r="476" spans="1:7">
      <c r="A476" t="s">
        <v>379</v>
      </c>
      <c r="B476" s="18">
        <v>-1.8835E-8</v>
      </c>
      <c r="D476" t="s">
        <v>13</v>
      </c>
      <c r="E476" t="s">
        <v>301</v>
      </c>
      <c r="F476" t="s">
        <v>15</v>
      </c>
      <c r="G476" t="s">
        <v>353</v>
      </c>
    </row>
    <row r="477" spans="1:7">
      <c r="A477" t="s">
        <v>306</v>
      </c>
      <c r="B477" s="18">
        <v>4.2885E-5</v>
      </c>
      <c r="D477" t="s">
        <v>13</v>
      </c>
      <c r="E477" t="s">
        <v>301</v>
      </c>
      <c r="F477" t="s">
        <v>15</v>
      </c>
      <c r="G477" t="s">
        <v>353</v>
      </c>
    </row>
    <row r="478" spans="1:7">
      <c r="A478" t="s">
        <v>300</v>
      </c>
      <c r="B478" s="18">
        <v>9.2460000000000006E-5</v>
      </c>
      <c r="D478" t="s">
        <v>13</v>
      </c>
      <c r="E478" t="s">
        <v>301</v>
      </c>
      <c r="F478" t="s">
        <v>15</v>
      </c>
      <c r="G478" t="s">
        <v>353</v>
      </c>
    </row>
    <row r="479" spans="1:7">
      <c r="A479" t="s">
        <v>380</v>
      </c>
      <c r="B479" s="18">
        <v>5.0297000000000003E-6</v>
      </c>
      <c r="D479" t="s">
        <v>13</v>
      </c>
      <c r="E479" t="s">
        <v>301</v>
      </c>
      <c r="F479" t="s">
        <v>15</v>
      </c>
      <c r="G479" t="s">
        <v>353</v>
      </c>
    </row>
    <row r="480" spans="1:7">
      <c r="A480" t="s">
        <v>381</v>
      </c>
      <c r="B480" s="18">
        <v>2.4306000000000001E-6</v>
      </c>
      <c r="D480" t="s">
        <v>13</v>
      </c>
      <c r="E480" t="s">
        <v>301</v>
      </c>
      <c r="F480" t="s">
        <v>15</v>
      </c>
      <c r="G480" t="s">
        <v>353</v>
      </c>
    </row>
    <row r="481" spans="1:7">
      <c r="A481" t="s">
        <v>382</v>
      </c>
      <c r="B481" s="18">
        <v>1.7326999999999999E-6</v>
      </c>
      <c r="D481" t="s">
        <v>13</v>
      </c>
      <c r="E481" t="s">
        <v>301</v>
      </c>
      <c r="F481" t="s">
        <v>15</v>
      </c>
      <c r="G481" t="s">
        <v>353</v>
      </c>
    </row>
    <row r="482" spans="1:7">
      <c r="A482" t="s">
        <v>383</v>
      </c>
      <c r="B482" s="18">
        <v>2.8878999999999998E-7</v>
      </c>
      <c r="D482" t="s">
        <v>13</v>
      </c>
      <c r="E482" t="s">
        <v>301</v>
      </c>
      <c r="F482" t="s">
        <v>15</v>
      </c>
      <c r="G482" t="s">
        <v>353</v>
      </c>
    </row>
    <row r="483" spans="1:7">
      <c r="A483" t="s">
        <v>305</v>
      </c>
      <c r="B483" s="18">
        <v>1.9661999999999999E-5</v>
      </c>
      <c r="D483" t="s">
        <v>13</v>
      </c>
      <c r="E483" t="s">
        <v>301</v>
      </c>
      <c r="F483" t="s">
        <v>15</v>
      </c>
      <c r="G483" t="s">
        <v>353</v>
      </c>
    </row>
    <row r="484" spans="1:7">
      <c r="A484" t="s">
        <v>384</v>
      </c>
      <c r="B484" s="18">
        <v>1.1911999999999999E-6</v>
      </c>
      <c r="D484" t="s">
        <v>13</v>
      </c>
      <c r="E484" t="s">
        <v>301</v>
      </c>
      <c r="F484" t="s">
        <v>15</v>
      </c>
      <c r="G484" t="s">
        <v>353</v>
      </c>
    </row>
    <row r="485" spans="1:7">
      <c r="A485" t="s">
        <v>385</v>
      </c>
      <c r="B485" s="18">
        <v>1.9252000000000001E-7</v>
      </c>
      <c r="D485" t="s">
        <v>13</v>
      </c>
      <c r="E485" t="s">
        <v>301</v>
      </c>
      <c r="F485" t="s">
        <v>15</v>
      </c>
      <c r="G485" t="s">
        <v>353</v>
      </c>
    </row>
    <row r="486" spans="1:7">
      <c r="A486" t="s">
        <v>386</v>
      </c>
      <c r="B486" s="18">
        <v>3.0442999999999998E-6</v>
      </c>
      <c r="D486" t="s">
        <v>13</v>
      </c>
      <c r="E486" t="s">
        <v>301</v>
      </c>
      <c r="F486" t="s">
        <v>15</v>
      </c>
      <c r="G486" t="s">
        <v>353</v>
      </c>
    </row>
    <row r="487" spans="1:7">
      <c r="A487" t="s">
        <v>387</v>
      </c>
      <c r="B487" s="18">
        <v>4.8130999999999997E-6</v>
      </c>
      <c r="D487" t="s">
        <v>13</v>
      </c>
      <c r="E487" t="s">
        <v>301</v>
      </c>
      <c r="F487" t="s">
        <v>15</v>
      </c>
      <c r="G487" t="s">
        <v>353</v>
      </c>
    </row>
    <row r="488" spans="1:7">
      <c r="A488" t="s">
        <v>388</v>
      </c>
      <c r="B488" s="18">
        <v>5.9441999999999998E-5</v>
      </c>
      <c r="D488" t="s">
        <v>13</v>
      </c>
      <c r="E488" t="s">
        <v>301</v>
      </c>
      <c r="F488" t="s">
        <v>15</v>
      </c>
      <c r="G488" t="s">
        <v>353</v>
      </c>
    </row>
    <row r="489" spans="1:7">
      <c r="A489" t="s">
        <v>389</v>
      </c>
      <c r="B489" s="18">
        <v>3.3691999999999998E-7</v>
      </c>
      <c r="D489" t="s">
        <v>13</v>
      </c>
      <c r="E489" t="s">
        <v>301</v>
      </c>
      <c r="F489" t="s">
        <v>15</v>
      </c>
      <c r="G489" t="s">
        <v>353</v>
      </c>
    </row>
    <row r="490" spans="1:7">
      <c r="A490" t="s">
        <v>390</v>
      </c>
      <c r="B490" s="18">
        <v>1.6846000000000001E-8</v>
      </c>
      <c r="D490" t="s">
        <v>13</v>
      </c>
      <c r="E490" t="s">
        <v>301</v>
      </c>
      <c r="F490" t="s">
        <v>15</v>
      </c>
      <c r="G490" t="s">
        <v>353</v>
      </c>
    </row>
    <row r="491" spans="1:7">
      <c r="A491" t="s">
        <v>391</v>
      </c>
      <c r="B491" s="18">
        <v>5.7757E-7</v>
      </c>
      <c r="D491" t="s">
        <v>13</v>
      </c>
      <c r="E491" t="s">
        <v>301</v>
      </c>
      <c r="F491" t="s">
        <v>15</v>
      </c>
      <c r="G491" t="s">
        <v>353</v>
      </c>
    </row>
    <row r="492" spans="1:7">
      <c r="A492" t="s">
        <v>392</v>
      </c>
      <c r="B492" s="18">
        <v>2.1658999999999999E-8</v>
      </c>
      <c r="D492" t="s">
        <v>13</v>
      </c>
      <c r="E492" t="s">
        <v>301</v>
      </c>
      <c r="F492" t="s">
        <v>15</v>
      </c>
      <c r="G492" t="s">
        <v>353</v>
      </c>
    </row>
    <row r="493" spans="1:7">
      <c r="A493" t="s">
        <v>393</v>
      </c>
      <c r="B493" s="18">
        <v>3.6097999999999997E-8</v>
      </c>
      <c r="D493" t="s">
        <v>13</v>
      </c>
      <c r="E493" t="s">
        <v>301</v>
      </c>
      <c r="F493" t="s">
        <v>15</v>
      </c>
      <c r="G493" t="s">
        <v>353</v>
      </c>
    </row>
    <row r="494" spans="1:7">
      <c r="A494" t="s">
        <v>394</v>
      </c>
      <c r="B494" s="18">
        <v>2.6472E-7</v>
      </c>
      <c r="D494" t="s">
        <v>13</v>
      </c>
      <c r="E494" t="s">
        <v>301</v>
      </c>
      <c r="F494" t="s">
        <v>15</v>
      </c>
      <c r="G494" t="s">
        <v>353</v>
      </c>
    </row>
    <row r="495" spans="1:7">
      <c r="A495" t="s">
        <v>395</v>
      </c>
      <c r="B495" s="18">
        <v>1.2032999999999999E-7</v>
      </c>
      <c r="D495" t="s">
        <v>13</v>
      </c>
      <c r="E495" t="s">
        <v>301</v>
      </c>
      <c r="F495" t="s">
        <v>15</v>
      </c>
      <c r="G495" t="s">
        <v>353</v>
      </c>
    </row>
    <row r="496" spans="1:7">
      <c r="A496" t="s">
        <v>396</v>
      </c>
      <c r="B496" s="18">
        <v>2.6436999999999998E-7</v>
      </c>
      <c r="D496" t="s">
        <v>13</v>
      </c>
      <c r="E496" t="s">
        <v>301</v>
      </c>
      <c r="F496" t="s">
        <v>15</v>
      </c>
      <c r="G496" t="s">
        <v>353</v>
      </c>
    </row>
    <row r="497" spans="1:9">
      <c r="A497" t="s">
        <v>130</v>
      </c>
      <c r="B497" s="18">
        <v>5.9736877488796199E-2</v>
      </c>
      <c r="D497" t="s">
        <v>128</v>
      </c>
      <c r="E497" t="s">
        <v>256</v>
      </c>
      <c r="F497" t="s">
        <v>15</v>
      </c>
      <c r="G497" t="s">
        <v>353</v>
      </c>
    </row>
    <row r="498" spans="1:9">
      <c r="A498" t="s">
        <v>255</v>
      </c>
      <c r="B498" s="18">
        <v>1.1639108E-2</v>
      </c>
      <c r="D498" t="s">
        <v>13</v>
      </c>
      <c r="E498" t="s">
        <v>256</v>
      </c>
      <c r="F498" t="s">
        <v>15</v>
      </c>
      <c r="G498" t="s">
        <v>353</v>
      </c>
    </row>
    <row r="499" spans="1:9">
      <c r="A499" t="s">
        <v>130</v>
      </c>
      <c r="B499" s="18">
        <v>1.4934219372198999E-2</v>
      </c>
      <c r="D499" t="s">
        <v>128</v>
      </c>
      <c r="E499" t="s">
        <v>302</v>
      </c>
      <c r="F499" t="s">
        <v>15</v>
      </c>
      <c r="G499" t="s">
        <v>353</v>
      </c>
    </row>
    <row r="500" spans="1:9">
      <c r="A500" t="s">
        <v>309</v>
      </c>
      <c r="B500" s="18">
        <v>9.7541999999999995E-5</v>
      </c>
      <c r="D500" t="s">
        <v>13</v>
      </c>
      <c r="E500" t="s">
        <v>302</v>
      </c>
      <c r="F500" t="s">
        <v>15</v>
      </c>
      <c r="G500" t="s">
        <v>353</v>
      </c>
    </row>
    <row r="501" spans="1:9">
      <c r="A501" t="s">
        <v>308</v>
      </c>
      <c r="B501" s="18">
        <v>7.5147999999999996E-6</v>
      </c>
      <c r="D501" t="s">
        <v>13</v>
      </c>
      <c r="E501" t="s">
        <v>302</v>
      </c>
      <c r="F501" t="s">
        <v>15</v>
      </c>
      <c r="G501" t="s">
        <v>353</v>
      </c>
    </row>
    <row r="502" spans="1:9">
      <c r="A502" t="s">
        <v>397</v>
      </c>
      <c r="B502" s="18">
        <v>0</v>
      </c>
      <c r="D502" t="s">
        <v>128</v>
      </c>
      <c r="E502" t="s">
        <v>129</v>
      </c>
      <c r="F502" t="s">
        <v>15</v>
      </c>
      <c r="G502" s="62" t="s">
        <v>398</v>
      </c>
    </row>
    <row r="503" spans="1:9" s="53" customFormat="1">
      <c r="B503" s="54"/>
    </row>
    <row r="504" spans="1:9">
      <c r="A504" s="41" t="s">
        <v>1</v>
      </c>
      <c r="B504" s="41" t="s">
        <v>285</v>
      </c>
    </row>
    <row r="505" spans="1:9">
      <c r="A505" s="44" t="s">
        <v>11</v>
      </c>
      <c r="B505" s="55"/>
    </row>
    <row r="506" spans="1:9">
      <c r="A506" s="44" t="s">
        <v>2</v>
      </c>
      <c r="B506" t="s">
        <v>29</v>
      </c>
    </row>
    <row r="507" spans="1:9">
      <c r="A507" s="44" t="s">
        <v>3</v>
      </c>
      <c r="B507" s="45">
        <v>1</v>
      </c>
    </row>
    <row r="508" spans="1:9">
      <c r="A508" s="44" t="s">
        <v>4</v>
      </c>
      <c r="B508" t="s">
        <v>259</v>
      </c>
    </row>
    <row r="509" spans="1:9">
      <c r="A509" s="44" t="s">
        <v>6</v>
      </c>
      <c r="B509" t="s">
        <v>128</v>
      </c>
    </row>
    <row r="510" spans="1:9">
      <c r="A510" s="44" t="s">
        <v>76</v>
      </c>
      <c r="B510"/>
    </row>
    <row r="511" spans="1:9" ht="15.75">
      <c r="A511" s="29" t="s">
        <v>7</v>
      </c>
      <c r="B511"/>
    </row>
    <row r="512" spans="1:9" s="44" customFormat="1">
      <c r="A512" s="44" t="s">
        <v>8</v>
      </c>
      <c r="B512" s="44" t="s">
        <v>4</v>
      </c>
      <c r="C512" s="44" t="s">
        <v>9</v>
      </c>
      <c r="D512" s="44" t="s">
        <v>6</v>
      </c>
      <c r="E512" s="44" t="s">
        <v>106</v>
      </c>
      <c r="F512" s="44" t="s">
        <v>10</v>
      </c>
      <c r="G512" s="44" t="s">
        <v>2</v>
      </c>
      <c r="H512" s="44" t="s">
        <v>5</v>
      </c>
      <c r="I512" s="44" t="s">
        <v>11</v>
      </c>
    </row>
    <row r="513" spans="1:8">
      <c r="A513" t="s">
        <v>285</v>
      </c>
      <c r="B513" t="s">
        <v>259</v>
      </c>
      <c r="C513">
        <v>1</v>
      </c>
      <c r="D513" t="s">
        <v>128</v>
      </c>
      <c r="E513" s="48"/>
      <c r="G513" t="s">
        <v>29</v>
      </c>
      <c r="H513" t="s">
        <v>18</v>
      </c>
    </row>
    <row r="514" spans="1:8">
      <c r="A514" t="s">
        <v>264</v>
      </c>
      <c r="B514" t="s">
        <v>265</v>
      </c>
      <c r="C514">
        <v>1.5153830138359706E-4</v>
      </c>
      <c r="D514" t="s">
        <v>13</v>
      </c>
      <c r="E514" t="s">
        <v>211</v>
      </c>
      <c r="G514" t="s">
        <v>140</v>
      </c>
      <c r="H514" t="s">
        <v>12</v>
      </c>
    </row>
    <row r="515" spans="1:8">
      <c r="A515" t="s">
        <v>266</v>
      </c>
      <c r="B515" t="s">
        <v>135</v>
      </c>
      <c r="C515">
        <v>5.4000000000000001E-11</v>
      </c>
      <c r="D515" t="s">
        <v>6</v>
      </c>
      <c r="E515" t="s">
        <v>211</v>
      </c>
      <c r="G515" t="s">
        <v>140</v>
      </c>
      <c r="H515" t="s">
        <v>12</v>
      </c>
    </row>
    <row r="516" spans="1:8">
      <c r="A516" t="s">
        <v>28</v>
      </c>
      <c r="B516" t="s">
        <v>20</v>
      </c>
      <c r="C516">
        <v>0.9818888836474815</v>
      </c>
      <c r="D516" t="s">
        <v>19</v>
      </c>
      <c r="E516" t="s">
        <v>211</v>
      </c>
      <c r="G516" t="s">
        <v>29</v>
      </c>
      <c r="H516" t="s">
        <v>12</v>
      </c>
    </row>
    <row r="517" spans="1:8">
      <c r="A517" t="s">
        <v>180</v>
      </c>
      <c r="B517" t="s">
        <v>181</v>
      </c>
      <c r="C517">
        <v>1.1400000000000001E-4</v>
      </c>
      <c r="D517" t="s">
        <v>13</v>
      </c>
      <c r="E517" t="s">
        <v>211</v>
      </c>
      <c r="G517" t="s">
        <v>49</v>
      </c>
      <c r="H517" t="s">
        <v>12</v>
      </c>
    </row>
    <row r="518" spans="1:8">
      <c r="A518" t="s">
        <v>267</v>
      </c>
      <c r="B518" t="s">
        <v>268</v>
      </c>
      <c r="C518">
        <v>1.01E-4</v>
      </c>
      <c r="D518" t="s">
        <v>13</v>
      </c>
      <c r="E518" t="s">
        <v>211</v>
      </c>
      <c r="G518" t="s">
        <v>140</v>
      </c>
      <c r="H518" t="s">
        <v>12</v>
      </c>
    </row>
    <row r="519" spans="1:8">
      <c r="A519" t="s">
        <v>269</v>
      </c>
      <c r="B519" s="18" t="s">
        <v>197</v>
      </c>
      <c r="C519">
        <v>1.8942287672949629</v>
      </c>
      <c r="D519" s="43" t="s">
        <v>128</v>
      </c>
      <c r="G519" s="48" t="s">
        <v>29</v>
      </c>
      <c r="H519" t="s">
        <v>12</v>
      </c>
    </row>
    <row r="520" spans="1:8">
      <c r="A520" t="s">
        <v>218</v>
      </c>
      <c r="B520"/>
      <c r="C520">
        <v>1.7715245298393998</v>
      </c>
      <c r="D520" t="s">
        <v>13</v>
      </c>
      <c r="E520" t="s">
        <v>109</v>
      </c>
      <c r="F520" t="s">
        <v>184</v>
      </c>
      <c r="H520" t="s">
        <v>15</v>
      </c>
    </row>
    <row r="521" spans="1:8">
      <c r="A521" t="s">
        <v>260</v>
      </c>
      <c r="B521"/>
      <c r="C521">
        <v>1.28</v>
      </c>
      <c r="D521" t="s">
        <v>46</v>
      </c>
      <c r="E521" t="s">
        <v>109</v>
      </c>
      <c r="F521" t="s">
        <v>184</v>
      </c>
      <c r="H521" t="s">
        <v>15</v>
      </c>
    </row>
    <row r="522" spans="1:8">
      <c r="A522" t="s">
        <v>261</v>
      </c>
      <c r="B522"/>
      <c r="C522">
        <v>0</v>
      </c>
      <c r="D522" t="s">
        <v>13</v>
      </c>
      <c r="E522" t="s">
        <v>109</v>
      </c>
      <c r="F522" t="s">
        <v>184</v>
      </c>
      <c r="H522" t="s">
        <v>15</v>
      </c>
    </row>
    <row r="523" spans="1:8">
      <c r="A523" t="s">
        <v>185</v>
      </c>
      <c r="B523"/>
      <c r="C523">
        <v>7.0244489999999995E-3</v>
      </c>
      <c r="D523" t="s">
        <v>13</v>
      </c>
      <c r="E523" t="s">
        <v>109</v>
      </c>
      <c r="F523" t="s">
        <v>184</v>
      </c>
      <c r="H523" t="s">
        <v>15</v>
      </c>
    </row>
    <row r="524" spans="1:8">
      <c r="A524" t="s">
        <v>262</v>
      </c>
      <c r="B524"/>
      <c r="C524">
        <v>5.1560000000000002E-2</v>
      </c>
      <c r="D524" t="s">
        <v>13</v>
      </c>
      <c r="E524" t="s">
        <v>109</v>
      </c>
      <c r="F524" t="s">
        <v>25</v>
      </c>
      <c r="H524" t="s">
        <v>15</v>
      </c>
    </row>
    <row r="525" spans="1:8">
      <c r="A525" t="s">
        <v>125</v>
      </c>
      <c r="B525"/>
      <c r="C525">
        <v>6.5989999999999998E-6</v>
      </c>
      <c r="D525" t="s">
        <v>13</v>
      </c>
      <c r="E525" t="s">
        <v>109</v>
      </c>
      <c r="F525" t="s">
        <v>263</v>
      </c>
      <c r="H525" t="s">
        <v>15</v>
      </c>
    </row>
    <row r="526" spans="1:8" s="53" customFormat="1">
      <c r="B526" s="54"/>
    </row>
    <row r="527" spans="1:8">
      <c r="A527" s="41" t="s">
        <v>1</v>
      </c>
      <c r="B527" s="41" t="s">
        <v>273</v>
      </c>
    </row>
    <row r="528" spans="1:8">
      <c r="A528" s="44" t="s">
        <v>11</v>
      </c>
      <c r="B528" s="55"/>
    </row>
    <row r="529" spans="1:9">
      <c r="A529" s="44" t="s">
        <v>2</v>
      </c>
      <c r="B529" t="s">
        <v>29</v>
      </c>
    </row>
    <row r="530" spans="1:9">
      <c r="A530" s="44" t="s">
        <v>3</v>
      </c>
      <c r="B530" s="45">
        <v>1</v>
      </c>
    </row>
    <row r="531" spans="1:9">
      <c r="A531" s="44" t="s">
        <v>4</v>
      </c>
      <c r="B531" t="s">
        <v>259</v>
      </c>
    </row>
    <row r="532" spans="1:9">
      <c r="A532" s="44" t="s">
        <v>6</v>
      </c>
      <c r="B532" t="s">
        <v>128</v>
      </c>
    </row>
    <row r="533" spans="1:9">
      <c r="A533" s="44" t="s">
        <v>76</v>
      </c>
      <c r="B533"/>
    </row>
    <row r="534" spans="1:9" ht="15.75">
      <c r="A534" s="29" t="s">
        <v>7</v>
      </c>
      <c r="B534"/>
    </row>
    <row r="535" spans="1:9" s="44" customFormat="1">
      <c r="A535" s="44" t="s">
        <v>8</v>
      </c>
      <c r="B535" s="44" t="s">
        <v>4</v>
      </c>
      <c r="C535" s="44" t="s">
        <v>9</v>
      </c>
      <c r="D535" s="44" t="s">
        <v>6</v>
      </c>
      <c r="E535" s="44" t="s">
        <v>106</v>
      </c>
      <c r="F535" s="44" t="s">
        <v>10</v>
      </c>
      <c r="G535" s="44" t="s">
        <v>2</v>
      </c>
      <c r="H535" s="44" t="s">
        <v>5</v>
      </c>
      <c r="I535" s="44" t="s">
        <v>11</v>
      </c>
    </row>
    <row r="536" spans="1:9">
      <c r="A536" t="s">
        <v>273</v>
      </c>
      <c r="B536" t="s">
        <v>259</v>
      </c>
      <c r="C536">
        <v>1</v>
      </c>
      <c r="D536" t="s">
        <v>128</v>
      </c>
      <c r="E536" s="48"/>
      <c r="G536" t="s">
        <v>29</v>
      </c>
      <c r="H536" t="s">
        <v>18</v>
      </c>
    </row>
    <row r="537" spans="1:9">
      <c r="A537" t="s">
        <v>264</v>
      </c>
      <c r="B537" t="s">
        <v>265</v>
      </c>
      <c r="C537">
        <v>1.5328461905494623E-4</v>
      </c>
      <c r="D537" t="s">
        <v>13</v>
      </c>
      <c r="E537" t="s">
        <v>211</v>
      </c>
      <c r="G537" t="s">
        <v>140</v>
      </c>
      <c r="H537" t="s">
        <v>12</v>
      </c>
    </row>
    <row r="538" spans="1:9">
      <c r="A538" t="s">
        <v>266</v>
      </c>
      <c r="B538" t="s">
        <v>135</v>
      </c>
      <c r="C538">
        <v>5.4000000000000001E-11</v>
      </c>
      <c r="D538" t="s">
        <v>6</v>
      </c>
      <c r="E538" t="s">
        <v>211</v>
      </c>
      <c r="G538" t="s">
        <v>140</v>
      </c>
      <c r="H538" t="s">
        <v>12</v>
      </c>
    </row>
    <row r="539" spans="1:9">
      <c r="A539" t="s">
        <v>28</v>
      </c>
      <c r="B539" t="s">
        <v>20</v>
      </c>
      <c r="C539">
        <v>0.76289810836538974</v>
      </c>
      <c r="D539" t="s">
        <v>19</v>
      </c>
      <c r="E539" t="s">
        <v>211</v>
      </c>
      <c r="G539" t="s">
        <v>29</v>
      </c>
      <c r="H539" t="s">
        <v>12</v>
      </c>
    </row>
    <row r="540" spans="1:9">
      <c r="A540" t="s">
        <v>180</v>
      </c>
      <c r="B540" t="s">
        <v>181</v>
      </c>
      <c r="C540">
        <v>1.1400000000000001E-4</v>
      </c>
      <c r="D540" t="s">
        <v>13</v>
      </c>
      <c r="E540" t="s">
        <v>211</v>
      </c>
      <c r="G540" t="s">
        <v>49</v>
      </c>
      <c r="H540" t="s">
        <v>12</v>
      </c>
    </row>
    <row r="541" spans="1:9">
      <c r="A541" t="s">
        <v>267</v>
      </c>
      <c r="B541" t="s">
        <v>268</v>
      </c>
      <c r="C541">
        <v>1.01E-4</v>
      </c>
      <c r="D541" t="s">
        <v>13</v>
      </c>
      <c r="E541" t="s">
        <v>211</v>
      </c>
      <c r="G541" t="s">
        <v>140</v>
      </c>
      <c r="H541" t="s">
        <v>12</v>
      </c>
    </row>
    <row r="542" spans="1:9">
      <c r="A542" t="s">
        <v>269</v>
      </c>
      <c r="B542" s="18" t="s">
        <v>197</v>
      </c>
      <c r="C542">
        <v>1.9160577381868278</v>
      </c>
      <c r="D542" s="43" t="s">
        <v>128</v>
      </c>
      <c r="G542" s="48" t="s">
        <v>29</v>
      </c>
      <c r="H542" t="s">
        <v>12</v>
      </c>
    </row>
    <row r="543" spans="1:9">
      <c r="A543" t="s">
        <v>218</v>
      </c>
      <c r="B543"/>
      <c r="C543">
        <v>1.8288866704275042</v>
      </c>
      <c r="D543" t="s">
        <v>13</v>
      </c>
      <c r="E543" t="s">
        <v>109</v>
      </c>
      <c r="F543" t="s">
        <v>184</v>
      </c>
      <c r="H543" t="s">
        <v>15</v>
      </c>
    </row>
    <row r="544" spans="1:9">
      <c r="A544" t="s">
        <v>260</v>
      </c>
      <c r="B544"/>
      <c r="C544">
        <v>1.28</v>
      </c>
      <c r="D544" t="s">
        <v>46</v>
      </c>
      <c r="E544" t="s">
        <v>109</v>
      </c>
      <c r="F544" t="s">
        <v>184</v>
      </c>
      <c r="H544" t="s">
        <v>15</v>
      </c>
    </row>
    <row r="545" spans="1:8">
      <c r="A545" t="s">
        <v>261</v>
      </c>
      <c r="B545"/>
      <c r="C545">
        <v>0</v>
      </c>
      <c r="D545" t="s">
        <v>13</v>
      </c>
      <c r="E545" t="s">
        <v>109</v>
      </c>
      <c r="F545" t="s">
        <v>184</v>
      </c>
      <c r="H545" t="s">
        <v>15</v>
      </c>
    </row>
    <row r="546" spans="1:8">
      <c r="A546" t="s">
        <v>185</v>
      </c>
      <c r="B546"/>
      <c r="C546">
        <v>7.1053982999999999E-4</v>
      </c>
      <c r="D546" t="s">
        <v>13</v>
      </c>
      <c r="E546" t="s">
        <v>109</v>
      </c>
      <c r="F546" t="s">
        <v>184</v>
      </c>
      <c r="H546" t="s">
        <v>15</v>
      </c>
    </row>
    <row r="547" spans="1:8">
      <c r="A547" t="s">
        <v>262</v>
      </c>
      <c r="B547"/>
      <c r="C547">
        <v>5.1560000000000002E-2</v>
      </c>
      <c r="D547" t="s">
        <v>13</v>
      </c>
      <c r="E547" t="s">
        <v>109</v>
      </c>
      <c r="F547" t="s">
        <v>25</v>
      </c>
      <c r="H547" t="s">
        <v>15</v>
      </c>
    </row>
    <row r="548" spans="1:8">
      <c r="A548" t="s">
        <v>125</v>
      </c>
      <c r="B548"/>
      <c r="C548">
        <v>6.5989999999999998E-6</v>
      </c>
      <c r="D548" t="s">
        <v>13</v>
      </c>
      <c r="E548" t="s">
        <v>109</v>
      </c>
      <c r="F548" t="s">
        <v>263</v>
      </c>
      <c r="H548" t="s">
        <v>15</v>
      </c>
    </row>
    <row r="549" spans="1:8">
      <c r="A549" s="48" t="s">
        <v>38</v>
      </c>
      <c r="B549" s="48" t="s">
        <v>39</v>
      </c>
      <c r="C549" s="56">
        <v>0</v>
      </c>
      <c r="D549" s="48" t="s">
        <v>13</v>
      </c>
      <c r="E549" t="s">
        <v>211</v>
      </c>
      <c r="G549" s="48" t="s">
        <v>22</v>
      </c>
      <c r="H549" t="s">
        <v>12</v>
      </c>
    </row>
    <row r="550" spans="1:8">
      <c r="A550" s="48" t="s">
        <v>274</v>
      </c>
      <c r="B550" s="48" t="s">
        <v>275</v>
      </c>
      <c r="C550">
        <v>1.2300000000000001E-4</v>
      </c>
      <c r="D550" s="48" t="s">
        <v>13</v>
      </c>
      <c r="E550" t="s">
        <v>211</v>
      </c>
      <c r="G550" s="48" t="s">
        <v>140</v>
      </c>
      <c r="H550" t="s">
        <v>12</v>
      </c>
    </row>
    <row r="551" spans="1:8">
      <c r="A551" s="48" t="s">
        <v>276</v>
      </c>
      <c r="B551" s="48" t="s">
        <v>277</v>
      </c>
      <c r="C551">
        <v>6.9700000000000003E-4</v>
      </c>
      <c r="D551" s="48" t="s">
        <v>13</v>
      </c>
      <c r="E551" t="s">
        <v>211</v>
      </c>
      <c r="G551" s="48" t="s">
        <v>140</v>
      </c>
      <c r="H551" t="s">
        <v>12</v>
      </c>
    </row>
    <row r="552" spans="1:8">
      <c r="A552" t="s">
        <v>278</v>
      </c>
      <c r="B552" t="s">
        <v>279</v>
      </c>
      <c r="C552">
        <v>2.6400000000000001E-5</v>
      </c>
      <c r="D552" s="48" t="s">
        <v>13</v>
      </c>
      <c r="E552" t="s">
        <v>211</v>
      </c>
      <c r="G552" s="48" t="s">
        <v>140</v>
      </c>
      <c r="H552" t="s">
        <v>12</v>
      </c>
    </row>
    <row r="553" spans="1:8">
      <c r="A553" s="48" t="s">
        <v>280</v>
      </c>
      <c r="B553" s="49" t="s">
        <v>281</v>
      </c>
      <c r="C553">
        <v>0</v>
      </c>
      <c r="D553" s="48" t="s">
        <v>13</v>
      </c>
      <c r="E553" t="s">
        <v>211</v>
      </c>
      <c r="G553" s="48" t="s">
        <v>140</v>
      </c>
      <c r="H553" t="s">
        <v>12</v>
      </c>
    </row>
    <row r="554" spans="1:8">
      <c r="A554" s="48" t="s">
        <v>282</v>
      </c>
      <c r="B554" s="49" t="s">
        <v>283</v>
      </c>
      <c r="C554">
        <v>9.2899999999999995E-5</v>
      </c>
      <c r="D554" s="48" t="s">
        <v>13</v>
      </c>
      <c r="E554" t="s">
        <v>211</v>
      </c>
      <c r="G554" s="48" t="s">
        <v>140</v>
      </c>
      <c r="H554" t="s">
        <v>12</v>
      </c>
    </row>
    <row r="555" spans="1:8">
      <c r="A555" s="14" t="s">
        <v>284</v>
      </c>
      <c r="B555" s="49"/>
      <c r="C555">
        <v>1.3412404167307795E-2</v>
      </c>
      <c r="D555" s="48" t="s">
        <v>13</v>
      </c>
      <c r="E555" s="48" t="s">
        <v>109</v>
      </c>
      <c r="F555" t="s">
        <v>184</v>
      </c>
      <c r="H555" t="s">
        <v>15</v>
      </c>
    </row>
    <row r="556" spans="1:8">
      <c r="A556" s="14" t="s">
        <v>108</v>
      </c>
      <c r="B556" s="48"/>
      <c r="C556">
        <v>0.35255462382637631</v>
      </c>
      <c r="D556" s="48" t="s">
        <v>13</v>
      </c>
      <c r="E556" s="48" t="s">
        <v>109</v>
      </c>
      <c r="F556" t="s">
        <v>184</v>
      </c>
      <c r="H556" t="s">
        <v>15</v>
      </c>
    </row>
    <row r="557" spans="1:8" s="53" customFormat="1">
      <c r="B557" s="54"/>
    </row>
    <row r="558" spans="1:8">
      <c r="A558" s="41" t="s">
        <v>1</v>
      </c>
      <c r="B558" s="41" t="s">
        <v>286</v>
      </c>
    </row>
    <row r="559" spans="1:8">
      <c r="A559" s="44" t="s">
        <v>11</v>
      </c>
      <c r="B559" s="55"/>
    </row>
    <row r="560" spans="1:8">
      <c r="A560" s="44" t="s">
        <v>2</v>
      </c>
      <c r="B560" t="s">
        <v>29</v>
      </c>
    </row>
    <row r="561" spans="1:9">
      <c r="A561" s="44" t="s">
        <v>3</v>
      </c>
      <c r="B561" s="45">
        <v>1</v>
      </c>
    </row>
    <row r="562" spans="1:9">
      <c r="A562" s="44" t="s">
        <v>4</v>
      </c>
      <c r="B562" t="s">
        <v>259</v>
      </c>
    </row>
    <row r="563" spans="1:9">
      <c r="A563" s="44" t="s">
        <v>6</v>
      </c>
      <c r="B563" t="s">
        <v>128</v>
      </c>
    </row>
    <row r="564" spans="1:9">
      <c r="A564" s="44" t="s">
        <v>76</v>
      </c>
      <c r="B564"/>
    </row>
    <row r="565" spans="1:9" ht="15.75">
      <c r="A565" s="29" t="s">
        <v>7</v>
      </c>
      <c r="B565"/>
    </row>
    <row r="566" spans="1:9" s="44" customFormat="1">
      <c r="A566" s="44" t="s">
        <v>8</v>
      </c>
      <c r="B566" s="44" t="s">
        <v>4</v>
      </c>
      <c r="C566" s="44" t="s">
        <v>9</v>
      </c>
      <c r="D566" s="44" t="s">
        <v>6</v>
      </c>
      <c r="E566" s="44" t="s">
        <v>106</v>
      </c>
      <c r="F566" s="44" t="s">
        <v>10</v>
      </c>
      <c r="G566" s="44" t="s">
        <v>2</v>
      </c>
      <c r="H566" s="44" t="s">
        <v>5</v>
      </c>
      <c r="I566" s="44" t="s">
        <v>11</v>
      </c>
    </row>
    <row r="567" spans="1:9">
      <c r="A567" t="s">
        <v>286</v>
      </c>
      <c r="B567" t="s">
        <v>259</v>
      </c>
      <c r="C567">
        <v>1</v>
      </c>
      <c r="D567" t="s">
        <v>128</v>
      </c>
      <c r="E567" s="48"/>
      <c r="G567" t="s">
        <v>29</v>
      </c>
      <c r="H567" t="s">
        <v>18</v>
      </c>
    </row>
    <row r="568" spans="1:9">
      <c r="A568" t="s">
        <v>264</v>
      </c>
      <c r="B568" t="s">
        <v>265</v>
      </c>
      <c r="C568">
        <v>1.5303868060521681E-4</v>
      </c>
      <c r="D568" t="s">
        <v>13</v>
      </c>
      <c r="E568" t="s">
        <v>211</v>
      </c>
      <c r="G568" t="s">
        <v>140</v>
      </c>
      <c r="H568" t="s">
        <v>12</v>
      </c>
    </row>
    <row r="569" spans="1:9">
      <c r="A569" t="s">
        <v>266</v>
      </c>
      <c r="B569" t="s">
        <v>135</v>
      </c>
      <c r="C569">
        <v>5.4000000000000001E-11</v>
      </c>
      <c r="D569" t="s">
        <v>6</v>
      </c>
      <c r="E569" t="s">
        <v>211</v>
      </c>
      <c r="G569" t="s">
        <v>140</v>
      </c>
      <c r="H569" t="s">
        <v>12</v>
      </c>
    </row>
    <row r="570" spans="1:9">
      <c r="A570" t="s">
        <v>28</v>
      </c>
      <c r="B570" t="s">
        <v>20</v>
      </c>
      <c r="C570">
        <v>0.6343270522695631</v>
      </c>
      <c r="D570" t="s">
        <v>19</v>
      </c>
      <c r="E570" t="s">
        <v>211</v>
      </c>
      <c r="G570" t="s">
        <v>29</v>
      </c>
      <c r="H570" t="s">
        <v>12</v>
      </c>
    </row>
    <row r="571" spans="1:9">
      <c r="A571" t="s">
        <v>180</v>
      </c>
      <c r="B571" t="s">
        <v>181</v>
      </c>
      <c r="C571">
        <v>1.1400000000000001E-4</v>
      </c>
      <c r="D571" t="s">
        <v>13</v>
      </c>
      <c r="E571" t="s">
        <v>211</v>
      </c>
      <c r="G571" t="s">
        <v>49</v>
      </c>
      <c r="H571" t="s">
        <v>12</v>
      </c>
    </row>
    <row r="572" spans="1:9">
      <c r="A572" t="s">
        <v>267</v>
      </c>
      <c r="B572" t="s">
        <v>268</v>
      </c>
      <c r="C572">
        <v>1.01E-4</v>
      </c>
      <c r="D572" t="s">
        <v>13</v>
      </c>
      <c r="E572" t="s">
        <v>211</v>
      </c>
      <c r="G572" t="s">
        <v>140</v>
      </c>
      <c r="H572" t="s">
        <v>12</v>
      </c>
    </row>
    <row r="573" spans="1:9">
      <c r="A573" t="s">
        <v>269</v>
      </c>
      <c r="B573" s="18" t="s">
        <v>197</v>
      </c>
      <c r="C573">
        <v>1.91298350756521</v>
      </c>
      <c r="D573" s="43" t="s">
        <v>128</v>
      </c>
      <c r="G573" s="48" t="s">
        <v>29</v>
      </c>
      <c r="H573" t="s">
        <v>12</v>
      </c>
    </row>
    <row r="574" spans="1:9">
      <c r="A574" t="s">
        <v>218</v>
      </c>
      <c r="B574"/>
      <c r="C574">
        <v>1.7890643766694927</v>
      </c>
      <c r="D574" t="s">
        <v>13</v>
      </c>
      <c r="E574" t="s">
        <v>109</v>
      </c>
      <c r="F574" t="s">
        <v>184</v>
      </c>
      <c r="H574" t="s">
        <v>15</v>
      </c>
    </row>
    <row r="575" spans="1:9">
      <c r="A575" t="s">
        <v>260</v>
      </c>
      <c r="B575"/>
      <c r="C575">
        <v>1.28</v>
      </c>
      <c r="D575" t="s">
        <v>46</v>
      </c>
      <c r="E575" t="s">
        <v>109</v>
      </c>
      <c r="F575" t="s">
        <v>184</v>
      </c>
      <c r="H575" t="s">
        <v>15</v>
      </c>
    </row>
    <row r="576" spans="1:9">
      <c r="A576" t="s">
        <v>261</v>
      </c>
      <c r="B576"/>
      <c r="C576">
        <v>0</v>
      </c>
      <c r="D576" t="s">
        <v>13</v>
      </c>
      <c r="E576" t="s">
        <v>109</v>
      </c>
      <c r="F576" t="s">
        <v>184</v>
      </c>
      <c r="H576" t="s">
        <v>15</v>
      </c>
    </row>
    <row r="577" spans="1:8">
      <c r="A577" t="s">
        <v>185</v>
      </c>
      <c r="B577"/>
      <c r="C577">
        <v>1.4187996E-2</v>
      </c>
      <c r="D577" t="s">
        <v>13</v>
      </c>
      <c r="E577" t="s">
        <v>109</v>
      </c>
      <c r="F577" t="s">
        <v>184</v>
      </c>
      <c r="H577" t="s">
        <v>15</v>
      </c>
    </row>
    <row r="578" spans="1:8">
      <c r="A578" t="s">
        <v>262</v>
      </c>
      <c r="B578"/>
      <c r="C578">
        <v>5.1560000000000002E-2</v>
      </c>
      <c r="D578" t="s">
        <v>13</v>
      </c>
      <c r="E578" t="s">
        <v>109</v>
      </c>
      <c r="F578" t="s">
        <v>25</v>
      </c>
      <c r="H578" t="s">
        <v>15</v>
      </c>
    </row>
    <row r="579" spans="1:8">
      <c r="A579" t="s">
        <v>125</v>
      </c>
      <c r="B579"/>
      <c r="C579">
        <v>6.5989999999999998E-6</v>
      </c>
      <c r="D579" t="s">
        <v>13</v>
      </c>
      <c r="E579" t="s">
        <v>109</v>
      </c>
      <c r="F579" t="s">
        <v>263</v>
      </c>
      <c r="H579" t="s">
        <v>15</v>
      </c>
    </row>
    <row r="580" spans="1:8">
      <c r="A580" s="48" t="s">
        <v>38</v>
      </c>
      <c r="B580" s="48" t="s">
        <v>39</v>
      </c>
      <c r="C580" s="56">
        <v>0.19129835075652102</v>
      </c>
      <c r="D580" s="48" t="s">
        <v>13</v>
      </c>
      <c r="E580" t="s">
        <v>211</v>
      </c>
      <c r="G580" s="48" t="s">
        <v>22</v>
      </c>
      <c r="H580" t="s">
        <v>12</v>
      </c>
    </row>
    <row r="581" spans="1:8">
      <c r="A581" s="48" t="s">
        <v>274</v>
      </c>
      <c r="B581" s="48" t="s">
        <v>275</v>
      </c>
      <c r="C581">
        <v>0</v>
      </c>
      <c r="D581" s="48" t="s">
        <v>13</v>
      </c>
      <c r="E581" t="s">
        <v>211</v>
      </c>
      <c r="G581" s="48" t="s">
        <v>140</v>
      </c>
      <c r="H581" t="s">
        <v>12</v>
      </c>
    </row>
    <row r="582" spans="1:8">
      <c r="A582" s="48" t="s">
        <v>276</v>
      </c>
      <c r="B582" s="48" t="s">
        <v>277</v>
      </c>
      <c r="C582">
        <v>0</v>
      </c>
      <c r="D582" s="48" t="s">
        <v>13</v>
      </c>
      <c r="E582" t="s">
        <v>211</v>
      </c>
      <c r="G582" s="48" t="s">
        <v>140</v>
      </c>
      <c r="H582" t="s">
        <v>12</v>
      </c>
    </row>
    <row r="583" spans="1:8">
      <c r="A583" t="s">
        <v>278</v>
      </c>
      <c r="B583" t="s">
        <v>279</v>
      </c>
      <c r="C583">
        <v>0</v>
      </c>
      <c r="D583" s="48" t="s">
        <v>13</v>
      </c>
      <c r="E583" t="s">
        <v>211</v>
      </c>
      <c r="G583" s="48" t="s">
        <v>140</v>
      </c>
      <c r="H583" t="s">
        <v>12</v>
      </c>
    </row>
    <row r="584" spans="1:8">
      <c r="A584" s="48" t="s">
        <v>280</v>
      </c>
      <c r="B584" s="49" t="s">
        <v>281</v>
      </c>
      <c r="C584">
        <v>0</v>
      </c>
      <c r="D584" s="48" t="s">
        <v>13</v>
      </c>
      <c r="E584" t="s">
        <v>211</v>
      </c>
      <c r="G584" s="48" t="s">
        <v>140</v>
      </c>
      <c r="H584" t="s">
        <v>12</v>
      </c>
    </row>
    <row r="585" spans="1:8">
      <c r="A585" s="48" t="s">
        <v>282</v>
      </c>
      <c r="B585" s="49" t="s">
        <v>283</v>
      </c>
      <c r="C585">
        <v>0</v>
      </c>
      <c r="D585" s="48" t="s">
        <v>13</v>
      </c>
      <c r="E585" t="s">
        <v>211</v>
      </c>
      <c r="G585" s="48" t="s">
        <v>140</v>
      </c>
      <c r="H585" t="s">
        <v>12</v>
      </c>
    </row>
    <row r="586" spans="1:8">
      <c r="A586" s="14" t="s">
        <v>284</v>
      </c>
      <c r="B586" s="49"/>
      <c r="C586">
        <v>0</v>
      </c>
      <c r="D586" s="48" t="s">
        <v>13</v>
      </c>
      <c r="E586" s="48" t="s">
        <v>109</v>
      </c>
      <c r="F586" t="s">
        <v>184</v>
      </c>
      <c r="H586" t="s">
        <v>15</v>
      </c>
    </row>
    <row r="587" spans="1:8">
      <c r="A587" s="14" t="s">
        <v>108</v>
      </c>
      <c r="B587" s="48"/>
      <c r="C587">
        <v>0</v>
      </c>
      <c r="D587" s="48" t="s">
        <v>13</v>
      </c>
      <c r="E587" s="48" t="s">
        <v>109</v>
      </c>
      <c r="F587" t="s">
        <v>184</v>
      </c>
      <c r="H587" t="s">
        <v>15</v>
      </c>
    </row>
    <row r="588" spans="1:8" s="53" customFormat="1">
      <c r="B588" s="54"/>
    </row>
    <row r="589" spans="1:8">
      <c r="A589" s="41" t="s">
        <v>1</v>
      </c>
      <c r="B589" s="41" t="s">
        <v>287</v>
      </c>
    </row>
    <row r="590" spans="1:8">
      <c r="A590" s="44" t="s">
        <v>11</v>
      </c>
      <c r="B590" s="55"/>
    </row>
    <row r="591" spans="1:8">
      <c r="A591" s="44" t="s">
        <v>2</v>
      </c>
      <c r="B591" t="s">
        <v>29</v>
      </c>
    </row>
    <row r="592" spans="1:8">
      <c r="A592" s="44" t="s">
        <v>3</v>
      </c>
      <c r="B592" s="45">
        <v>1</v>
      </c>
    </row>
    <row r="593" spans="1:9">
      <c r="A593" s="44" t="s">
        <v>4</v>
      </c>
      <c r="B593" t="s">
        <v>259</v>
      </c>
    </row>
    <row r="594" spans="1:9">
      <c r="A594" s="44" t="s">
        <v>6</v>
      </c>
      <c r="B594" t="s">
        <v>128</v>
      </c>
    </row>
    <row r="595" spans="1:9">
      <c r="A595" s="44" t="s">
        <v>76</v>
      </c>
      <c r="B595"/>
    </row>
    <row r="596" spans="1:9" ht="15.75">
      <c r="A596" s="29" t="s">
        <v>7</v>
      </c>
      <c r="B596"/>
    </row>
    <row r="597" spans="1:9" s="44" customFormat="1">
      <c r="A597" s="44" t="s">
        <v>8</v>
      </c>
      <c r="B597" s="44" t="s">
        <v>4</v>
      </c>
      <c r="C597" s="44" t="s">
        <v>9</v>
      </c>
      <c r="D597" s="44" t="s">
        <v>6</v>
      </c>
      <c r="E597" s="44" t="s">
        <v>106</v>
      </c>
      <c r="F597" s="44" t="s">
        <v>10</v>
      </c>
      <c r="G597" s="44" t="s">
        <v>2</v>
      </c>
      <c r="H597" s="44" t="s">
        <v>5</v>
      </c>
      <c r="I597" s="44" t="s">
        <v>11</v>
      </c>
    </row>
    <row r="598" spans="1:9">
      <c r="A598" t="s">
        <v>287</v>
      </c>
      <c r="B598" t="s">
        <v>259</v>
      </c>
      <c r="C598">
        <v>1</v>
      </c>
      <c r="D598" t="s">
        <v>128</v>
      </c>
      <c r="E598" s="48"/>
      <c r="G598" t="s">
        <v>29</v>
      </c>
      <c r="H598" t="s">
        <v>18</v>
      </c>
    </row>
    <row r="599" spans="1:9">
      <c r="A599" t="s">
        <v>264</v>
      </c>
      <c r="B599" t="s">
        <v>265</v>
      </c>
      <c r="C599">
        <v>1.5294587364305477E-4</v>
      </c>
      <c r="D599" t="s">
        <v>13</v>
      </c>
      <c r="E599" t="s">
        <v>211</v>
      </c>
      <c r="G599" t="s">
        <v>140</v>
      </c>
      <c r="H599" t="s">
        <v>12</v>
      </c>
    </row>
    <row r="600" spans="1:9">
      <c r="A600" t="s">
        <v>266</v>
      </c>
      <c r="B600" t="s">
        <v>135</v>
      </c>
      <c r="C600">
        <v>5.4000000000000001E-11</v>
      </c>
      <c r="D600" t="s">
        <v>6</v>
      </c>
      <c r="E600" t="s">
        <v>211</v>
      </c>
      <c r="G600" t="s">
        <v>140</v>
      </c>
      <c r="H600" t="s">
        <v>12</v>
      </c>
    </row>
    <row r="601" spans="1:9">
      <c r="A601" t="s">
        <v>28</v>
      </c>
      <c r="B601" t="s">
        <v>20</v>
      </c>
      <c r="C601">
        <v>0.67679502616145548</v>
      </c>
      <c r="D601" t="s">
        <v>19</v>
      </c>
      <c r="E601" t="s">
        <v>211</v>
      </c>
      <c r="G601" t="s">
        <v>29</v>
      </c>
      <c r="H601" t="s">
        <v>12</v>
      </c>
    </row>
    <row r="602" spans="1:9">
      <c r="A602" t="s">
        <v>180</v>
      </c>
      <c r="B602" t="s">
        <v>181</v>
      </c>
      <c r="C602">
        <v>1.1400000000000001E-4</v>
      </c>
      <c r="D602" t="s">
        <v>13</v>
      </c>
      <c r="E602" t="s">
        <v>211</v>
      </c>
      <c r="G602" t="s">
        <v>49</v>
      </c>
      <c r="H602" t="s">
        <v>12</v>
      </c>
    </row>
    <row r="603" spans="1:9">
      <c r="A603" t="s">
        <v>267</v>
      </c>
      <c r="B603" t="s">
        <v>268</v>
      </c>
      <c r="C603">
        <v>1.01E-4</v>
      </c>
      <c r="D603" t="s">
        <v>13</v>
      </c>
      <c r="E603" t="s">
        <v>211</v>
      </c>
      <c r="G603" t="s">
        <v>140</v>
      </c>
      <c r="H603" t="s">
        <v>12</v>
      </c>
    </row>
    <row r="604" spans="1:9">
      <c r="A604" t="s">
        <v>269</v>
      </c>
      <c r="B604" s="18" t="s">
        <v>197</v>
      </c>
      <c r="C604">
        <v>1.9118234205381845</v>
      </c>
      <c r="D604" s="43" t="s">
        <v>128</v>
      </c>
      <c r="G604" s="48" t="s">
        <v>29</v>
      </c>
      <c r="H604" t="s">
        <v>12</v>
      </c>
    </row>
    <row r="605" spans="1:9">
      <c r="A605" t="s">
        <v>218</v>
      </c>
      <c r="B605"/>
      <c r="C605">
        <v>1.7695466599821643</v>
      </c>
      <c r="D605" t="s">
        <v>13</v>
      </c>
      <c r="E605" t="s">
        <v>109</v>
      </c>
      <c r="F605" t="s">
        <v>184</v>
      </c>
      <c r="H605" t="s">
        <v>15</v>
      </c>
    </row>
    <row r="606" spans="1:9">
      <c r="A606" t="s">
        <v>260</v>
      </c>
      <c r="B606"/>
      <c r="C606">
        <v>1.28</v>
      </c>
      <c r="D606" t="s">
        <v>46</v>
      </c>
      <c r="E606" t="s">
        <v>109</v>
      </c>
      <c r="F606" t="s">
        <v>184</v>
      </c>
      <c r="H606" t="s">
        <v>15</v>
      </c>
    </row>
    <row r="607" spans="1:9">
      <c r="A607" t="s">
        <v>261</v>
      </c>
      <c r="B607"/>
      <c r="C607">
        <v>0</v>
      </c>
      <c r="D607" t="s">
        <v>13</v>
      </c>
      <c r="E607" t="s">
        <v>109</v>
      </c>
      <c r="F607" t="s">
        <v>184</v>
      </c>
      <c r="H607" t="s">
        <v>15</v>
      </c>
    </row>
    <row r="608" spans="1:9">
      <c r="A608" t="s">
        <v>185</v>
      </c>
      <c r="B608"/>
      <c r="C608">
        <v>2.1269088000000002E-2</v>
      </c>
      <c r="D608" t="s">
        <v>13</v>
      </c>
      <c r="E608" t="s">
        <v>109</v>
      </c>
      <c r="F608" t="s">
        <v>184</v>
      </c>
      <c r="H608" t="s">
        <v>15</v>
      </c>
    </row>
    <row r="609" spans="1:9">
      <c r="A609" t="s">
        <v>262</v>
      </c>
      <c r="B609"/>
      <c r="C609">
        <v>5.1560000000000002E-2</v>
      </c>
      <c r="D609" t="s">
        <v>13</v>
      </c>
      <c r="E609" t="s">
        <v>109</v>
      </c>
      <c r="F609" t="s">
        <v>25</v>
      </c>
      <c r="H609" t="s">
        <v>15</v>
      </c>
    </row>
    <row r="610" spans="1:9">
      <c r="A610" t="s">
        <v>125</v>
      </c>
      <c r="B610"/>
      <c r="C610">
        <v>6.5989999999999998E-6</v>
      </c>
      <c r="D610" t="s">
        <v>13</v>
      </c>
      <c r="E610" t="s">
        <v>109</v>
      </c>
      <c r="F610" t="s">
        <v>263</v>
      </c>
      <c r="H610" t="s">
        <v>15</v>
      </c>
    </row>
    <row r="611" spans="1:9">
      <c r="A611" s="48" t="s">
        <v>38</v>
      </c>
      <c r="B611" s="48" t="s">
        <v>39</v>
      </c>
      <c r="C611" s="57">
        <v>0</v>
      </c>
      <c r="D611" s="48" t="s">
        <v>13</v>
      </c>
      <c r="E611" t="s">
        <v>211</v>
      </c>
      <c r="G611" s="48" t="s">
        <v>22</v>
      </c>
      <c r="H611" t="s">
        <v>12</v>
      </c>
    </row>
    <row r="612" spans="1:9">
      <c r="A612" s="48" t="s">
        <v>274</v>
      </c>
      <c r="B612" s="48" t="s">
        <v>275</v>
      </c>
      <c r="C612">
        <v>2.0799999999999999E-4</v>
      </c>
      <c r="D612" s="48" t="s">
        <v>13</v>
      </c>
      <c r="E612" t="s">
        <v>211</v>
      </c>
      <c r="G612" s="48" t="s">
        <v>140</v>
      </c>
      <c r="H612" t="s">
        <v>12</v>
      </c>
    </row>
    <row r="613" spans="1:9">
      <c r="A613" s="48" t="s">
        <v>276</v>
      </c>
      <c r="B613" s="48" t="s">
        <v>277</v>
      </c>
      <c r="C613">
        <v>0</v>
      </c>
      <c r="D613" s="48" t="s">
        <v>13</v>
      </c>
      <c r="E613" t="s">
        <v>211</v>
      </c>
      <c r="G613" s="48" t="s">
        <v>140</v>
      </c>
      <c r="H613" t="s">
        <v>12</v>
      </c>
    </row>
    <row r="614" spans="1:9">
      <c r="A614" t="s">
        <v>278</v>
      </c>
      <c r="B614" t="s">
        <v>279</v>
      </c>
      <c r="C614">
        <v>3.98E-6</v>
      </c>
      <c r="D614" s="48" t="s">
        <v>13</v>
      </c>
      <c r="E614" t="s">
        <v>211</v>
      </c>
      <c r="G614" s="48" t="s">
        <v>140</v>
      </c>
      <c r="H614" t="s">
        <v>12</v>
      </c>
    </row>
    <row r="615" spans="1:9">
      <c r="A615" s="48" t="s">
        <v>280</v>
      </c>
      <c r="B615" s="49" t="s">
        <v>281</v>
      </c>
      <c r="C615">
        <v>0</v>
      </c>
      <c r="D615" s="48" t="s">
        <v>13</v>
      </c>
      <c r="E615" t="s">
        <v>211</v>
      </c>
      <c r="G615" s="48" t="s">
        <v>140</v>
      </c>
      <c r="H615" t="s">
        <v>12</v>
      </c>
    </row>
    <row r="616" spans="1:9">
      <c r="A616" s="48" t="s">
        <v>282</v>
      </c>
      <c r="B616" s="49" t="s">
        <v>283</v>
      </c>
      <c r="C616">
        <v>0</v>
      </c>
      <c r="D616" s="48" t="s">
        <v>13</v>
      </c>
      <c r="E616" t="s">
        <v>211</v>
      </c>
      <c r="G616" s="48" t="s">
        <v>140</v>
      </c>
      <c r="H616" t="s">
        <v>12</v>
      </c>
    </row>
    <row r="617" spans="1:9">
      <c r="A617" s="14" t="s">
        <v>284</v>
      </c>
      <c r="B617" s="49"/>
      <c r="C617">
        <v>0</v>
      </c>
      <c r="D617" s="48" t="s">
        <v>13</v>
      </c>
      <c r="E617" s="48" t="s">
        <v>109</v>
      </c>
      <c r="F617" t="s">
        <v>184</v>
      </c>
      <c r="H617" t="s">
        <v>15</v>
      </c>
    </row>
    <row r="618" spans="1:9">
      <c r="A618" s="14" t="s">
        <v>108</v>
      </c>
      <c r="B618" s="48"/>
      <c r="C618">
        <v>0</v>
      </c>
      <c r="D618" s="48" t="s">
        <v>13</v>
      </c>
      <c r="E618" s="48" t="s">
        <v>109</v>
      </c>
      <c r="F618" t="s">
        <v>184</v>
      </c>
      <c r="H618" t="s">
        <v>15</v>
      </c>
    </row>
    <row r="619" spans="1:9">
      <c r="A619" s="53"/>
      <c r="B619" s="54"/>
      <c r="C619" s="53"/>
      <c r="D619" s="53"/>
      <c r="E619" s="53"/>
      <c r="F619" s="53"/>
      <c r="G619" s="53"/>
      <c r="H619" s="53"/>
      <c r="I619" s="53"/>
    </row>
    <row r="620" spans="1:9">
      <c r="A620" s="41" t="s">
        <v>1</v>
      </c>
      <c r="B620" s="41" t="s">
        <v>288</v>
      </c>
    </row>
    <row r="621" spans="1:9">
      <c r="A621" s="44" t="s">
        <v>11</v>
      </c>
      <c r="B621" s="55"/>
    </row>
    <row r="622" spans="1:9">
      <c r="A622" s="44" t="s">
        <v>2</v>
      </c>
      <c r="B622" t="s">
        <v>29</v>
      </c>
    </row>
    <row r="623" spans="1:9">
      <c r="A623" s="44" t="s">
        <v>3</v>
      </c>
      <c r="B623" s="45">
        <v>1</v>
      </c>
    </row>
    <row r="624" spans="1:9">
      <c r="A624" s="44" t="s">
        <v>4</v>
      </c>
      <c r="B624" t="s">
        <v>259</v>
      </c>
    </row>
    <row r="625" spans="1:9">
      <c r="A625" s="44" t="s">
        <v>6</v>
      </c>
      <c r="B625" t="s">
        <v>128</v>
      </c>
    </row>
    <row r="626" spans="1:9">
      <c r="A626" s="44" t="s">
        <v>76</v>
      </c>
      <c r="B626"/>
    </row>
    <row r="627" spans="1:9" ht="15.75">
      <c r="A627" s="29" t="s">
        <v>7</v>
      </c>
      <c r="B627"/>
    </row>
    <row r="628" spans="1:9">
      <c r="A628" s="44" t="s">
        <v>8</v>
      </c>
      <c r="B628" s="44" t="s">
        <v>4</v>
      </c>
      <c r="C628" s="44" t="s">
        <v>9</v>
      </c>
      <c r="D628" s="44" t="s">
        <v>6</v>
      </c>
      <c r="E628" s="44" t="s">
        <v>106</v>
      </c>
      <c r="F628" s="44" t="s">
        <v>10</v>
      </c>
      <c r="G628" s="44" t="s">
        <v>2</v>
      </c>
      <c r="H628" s="44" t="s">
        <v>5</v>
      </c>
      <c r="I628" s="44" t="s">
        <v>11</v>
      </c>
    </row>
    <row r="629" spans="1:9">
      <c r="A629" t="s">
        <v>288</v>
      </c>
      <c r="B629" t="s">
        <v>259</v>
      </c>
      <c r="C629">
        <v>1</v>
      </c>
      <c r="D629" t="s">
        <v>128</v>
      </c>
      <c r="E629" s="48"/>
      <c r="G629" t="s">
        <v>29</v>
      </c>
      <c r="H629" t="s">
        <v>18</v>
      </c>
    </row>
    <row r="630" spans="1:9">
      <c r="A630" t="s">
        <v>264</v>
      </c>
      <c r="B630" t="s">
        <v>265</v>
      </c>
      <c r="C630">
        <v>1.5029864785434452E-4</v>
      </c>
      <c r="D630" t="s">
        <v>13</v>
      </c>
      <c r="E630" t="s">
        <v>211</v>
      </c>
      <c r="G630" t="s">
        <v>140</v>
      </c>
      <c r="H630" t="s">
        <v>12</v>
      </c>
    </row>
    <row r="631" spans="1:9">
      <c r="A631" t="s">
        <v>266</v>
      </c>
      <c r="B631" t="s">
        <v>135</v>
      </c>
      <c r="C631">
        <v>0</v>
      </c>
      <c r="D631" t="s">
        <v>6</v>
      </c>
      <c r="E631" t="s">
        <v>211</v>
      </c>
      <c r="G631" t="s">
        <v>140</v>
      </c>
      <c r="H631" t="s">
        <v>12</v>
      </c>
    </row>
    <row r="632" spans="1:9">
      <c r="A632" t="s">
        <v>28</v>
      </c>
      <c r="B632" t="s">
        <v>20</v>
      </c>
      <c r="C632">
        <v>0.6575565843627571</v>
      </c>
      <c r="D632" t="s">
        <v>19</v>
      </c>
      <c r="E632" t="s">
        <v>211</v>
      </c>
      <c r="G632" t="s">
        <v>29</v>
      </c>
      <c r="H632" t="s">
        <v>12</v>
      </c>
    </row>
    <row r="633" spans="1:9">
      <c r="A633" t="s">
        <v>180</v>
      </c>
      <c r="B633" t="s">
        <v>181</v>
      </c>
      <c r="C633">
        <v>0</v>
      </c>
      <c r="D633" t="s">
        <v>13</v>
      </c>
      <c r="E633" t="s">
        <v>211</v>
      </c>
      <c r="G633" t="s">
        <v>49</v>
      </c>
      <c r="H633" t="s">
        <v>12</v>
      </c>
    </row>
    <row r="634" spans="1:9">
      <c r="A634" t="s">
        <v>267</v>
      </c>
      <c r="B634" t="s">
        <v>268</v>
      </c>
      <c r="C634">
        <v>0</v>
      </c>
      <c r="D634" t="s">
        <v>13</v>
      </c>
      <c r="E634" t="s">
        <v>211</v>
      </c>
      <c r="G634" t="s">
        <v>140</v>
      </c>
      <c r="H634" t="s">
        <v>12</v>
      </c>
    </row>
    <row r="635" spans="1:9">
      <c r="A635" t="s">
        <v>269</v>
      </c>
      <c r="B635" s="18" t="s">
        <v>197</v>
      </c>
      <c r="C635">
        <v>1.8787330981793062</v>
      </c>
      <c r="D635" s="43" t="s">
        <v>128</v>
      </c>
      <c r="G635" s="48" t="s">
        <v>29</v>
      </c>
      <c r="H635" t="s">
        <v>12</v>
      </c>
    </row>
    <row r="636" spans="1:9">
      <c r="A636" t="s">
        <v>218</v>
      </c>
      <c r="B636"/>
      <c r="C636">
        <v>1.7592062868727893</v>
      </c>
      <c r="D636" t="s">
        <v>13</v>
      </c>
      <c r="E636" t="s">
        <v>109</v>
      </c>
      <c r="F636" t="s">
        <v>184</v>
      </c>
      <c r="H636" t="s">
        <v>15</v>
      </c>
    </row>
    <row r="637" spans="1:9">
      <c r="A637" t="s">
        <v>260</v>
      </c>
      <c r="B637"/>
      <c r="C637">
        <v>0</v>
      </c>
      <c r="D637" t="s">
        <v>46</v>
      </c>
      <c r="E637" t="s">
        <v>109</v>
      </c>
      <c r="F637" t="s">
        <v>184</v>
      </c>
      <c r="H637" t="s">
        <v>15</v>
      </c>
    </row>
    <row r="638" spans="1:9">
      <c r="A638" t="s">
        <v>261</v>
      </c>
      <c r="B638"/>
      <c r="C638">
        <v>0</v>
      </c>
      <c r="D638" t="s">
        <v>13</v>
      </c>
      <c r="E638" t="s">
        <v>109</v>
      </c>
      <c r="F638" t="s">
        <v>184</v>
      </c>
      <c r="H638" t="s">
        <v>15</v>
      </c>
    </row>
    <row r="639" spans="1:9">
      <c r="A639" t="s">
        <v>185</v>
      </c>
      <c r="B639"/>
      <c r="C639">
        <v>3.4834928759999994E-4</v>
      </c>
      <c r="D639" t="s">
        <v>13</v>
      </c>
      <c r="E639" t="s">
        <v>109</v>
      </c>
      <c r="F639" t="s">
        <v>184</v>
      </c>
      <c r="H639" t="s">
        <v>15</v>
      </c>
    </row>
    <row r="640" spans="1:9">
      <c r="A640" t="s">
        <v>262</v>
      </c>
      <c r="B640"/>
      <c r="C640">
        <v>0</v>
      </c>
      <c r="D640" t="s">
        <v>13</v>
      </c>
      <c r="E640" t="s">
        <v>109</v>
      </c>
      <c r="F640" t="s">
        <v>25</v>
      </c>
      <c r="H640" t="s">
        <v>15</v>
      </c>
    </row>
    <row r="641" spans="1:8">
      <c r="A641" t="s">
        <v>125</v>
      </c>
      <c r="B641"/>
      <c r="C641">
        <v>0</v>
      </c>
      <c r="D641" t="s">
        <v>13</v>
      </c>
      <c r="E641" t="s">
        <v>109</v>
      </c>
      <c r="F641" t="s">
        <v>263</v>
      </c>
      <c r="H641" t="s">
        <v>15</v>
      </c>
    </row>
    <row r="642" spans="1:8">
      <c r="A642" s="48" t="s">
        <v>38</v>
      </c>
      <c r="B642" s="48" t="s">
        <v>39</v>
      </c>
      <c r="C642" s="57">
        <v>0</v>
      </c>
      <c r="D642" s="48" t="s">
        <v>13</v>
      </c>
      <c r="E642" t="s">
        <v>211</v>
      </c>
      <c r="G642" s="48" t="s">
        <v>22</v>
      </c>
      <c r="H642" t="s">
        <v>12</v>
      </c>
    </row>
    <row r="643" spans="1:8">
      <c r="A643" s="48" t="s">
        <v>274</v>
      </c>
      <c r="B643" s="48" t="s">
        <v>275</v>
      </c>
      <c r="C643">
        <v>0</v>
      </c>
      <c r="D643" s="48" t="s">
        <v>13</v>
      </c>
      <c r="E643" t="s">
        <v>211</v>
      </c>
      <c r="G643" s="48" t="s">
        <v>140</v>
      </c>
      <c r="H643" t="s">
        <v>12</v>
      </c>
    </row>
    <row r="644" spans="1:8">
      <c r="A644" s="48" t="s">
        <v>276</v>
      </c>
      <c r="B644" s="48" t="s">
        <v>277</v>
      </c>
      <c r="C644">
        <v>0</v>
      </c>
      <c r="D644" s="48" t="s">
        <v>13</v>
      </c>
      <c r="E644" t="s">
        <v>211</v>
      </c>
      <c r="G644" s="48" t="s">
        <v>140</v>
      </c>
      <c r="H644" t="s">
        <v>12</v>
      </c>
    </row>
    <row r="645" spans="1:8">
      <c r="A645" t="s">
        <v>278</v>
      </c>
      <c r="B645" t="s">
        <v>279</v>
      </c>
      <c r="C645">
        <v>0</v>
      </c>
      <c r="D645" s="48" t="s">
        <v>13</v>
      </c>
      <c r="E645" t="s">
        <v>211</v>
      </c>
      <c r="G645" s="48" t="s">
        <v>140</v>
      </c>
      <c r="H645" t="s">
        <v>12</v>
      </c>
    </row>
    <row r="646" spans="1:8">
      <c r="A646" s="48" t="s">
        <v>280</v>
      </c>
      <c r="B646" s="49" t="s">
        <v>281</v>
      </c>
      <c r="C646">
        <v>0</v>
      </c>
      <c r="D646" s="48" t="s">
        <v>13</v>
      </c>
      <c r="E646" t="s">
        <v>211</v>
      </c>
      <c r="G646" s="48" t="s">
        <v>140</v>
      </c>
      <c r="H646" t="s">
        <v>12</v>
      </c>
    </row>
    <row r="647" spans="1:8">
      <c r="A647" s="48" t="s">
        <v>282</v>
      </c>
      <c r="B647" s="49" t="s">
        <v>283</v>
      </c>
      <c r="C647">
        <v>0</v>
      </c>
      <c r="D647" s="48" t="s">
        <v>13</v>
      </c>
      <c r="E647" t="s">
        <v>211</v>
      </c>
      <c r="G647" s="48" t="s">
        <v>140</v>
      </c>
      <c r="H647" t="s">
        <v>12</v>
      </c>
    </row>
    <row r="648" spans="1:8">
      <c r="A648" s="14" t="s">
        <v>284</v>
      </c>
      <c r="B648" s="49"/>
      <c r="C648">
        <v>0</v>
      </c>
      <c r="D648" s="48" t="s">
        <v>13</v>
      </c>
      <c r="E648" s="48" t="s">
        <v>109</v>
      </c>
      <c r="F648" t="s">
        <v>184</v>
      </c>
      <c r="H648" t="s">
        <v>15</v>
      </c>
    </row>
    <row r="649" spans="1:8">
      <c r="A649" s="14" t="s">
        <v>108</v>
      </c>
      <c r="B649" s="48"/>
      <c r="C649">
        <v>0</v>
      </c>
      <c r="D649" s="48" t="s">
        <v>13</v>
      </c>
      <c r="E649" s="48" t="s">
        <v>109</v>
      </c>
      <c r="F649" t="s">
        <v>184</v>
      </c>
      <c r="H649" t="s">
        <v>15</v>
      </c>
    </row>
    <row r="650" spans="1:8" s="53" customFormat="1">
      <c r="B650" s="54"/>
    </row>
    <row r="651" spans="1:8">
      <c r="A651" s="41" t="s">
        <v>1</v>
      </c>
      <c r="B651" s="41" t="s">
        <v>447</v>
      </c>
    </row>
    <row r="652" spans="1:8">
      <c r="A652" s="44" t="s">
        <v>11</v>
      </c>
      <c r="B652" s="55"/>
    </row>
    <row r="653" spans="1:8">
      <c r="A653" s="44" t="s">
        <v>2</v>
      </c>
      <c r="B653" t="s">
        <v>29</v>
      </c>
    </row>
    <row r="654" spans="1:8">
      <c r="A654" s="44" t="s">
        <v>3</v>
      </c>
      <c r="B654" s="45">
        <v>1</v>
      </c>
    </row>
    <row r="655" spans="1:8">
      <c r="A655" s="44" t="s">
        <v>4</v>
      </c>
      <c r="B655" t="s">
        <v>259</v>
      </c>
    </row>
    <row r="656" spans="1:8">
      <c r="A656" s="44" t="s">
        <v>6</v>
      </c>
      <c r="B656" t="s">
        <v>128</v>
      </c>
    </row>
    <row r="657" spans="1:9">
      <c r="A657" s="44" t="s">
        <v>76</v>
      </c>
      <c r="B657"/>
    </row>
    <row r="658" spans="1:9" ht="15.75">
      <c r="A658" s="29" t="s">
        <v>7</v>
      </c>
      <c r="B658"/>
    </row>
    <row r="659" spans="1:9" s="44" customFormat="1">
      <c r="A659" s="44" t="s">
        <v>8</v>
      </c>
      <c r="B659" s="44" t="s">
        <v>4</v>
      </c>
      <c r="C659" s="44" t="s">
        <v>9</v>
      </c>
      <c r="D659" s="44" t="s">
        <v>6</v>
      </c>
      <c r="E659" s="44" t="s">
        <v>106</v>
      </c>
      <c r="F659" s="44" t="s">
        <v>10</v>
      </c>
      <c r="G659" s="44" t="s">
        <v>2</v>
      </c>
      <c r="H659" s="44" t="s">
        <v>5</v>
      </c>
      <c r="I659" s="44" t="s">
        <v>11</v>
      </c>
    </row>
    <row r="660" spans="1:9">
      <c r="A660" t="s">
        <v>447</v>
      </c>
      <c r="B660" t="s">
        <v>259</v>
      </c>
      <c r="C660">
        <v>1</v>
      </c>
      <c r="D660" t="s">
        <v>128</v>
      </c>
      <c r="E660" s="48"/>
      <c r="G660" t="s">
        <v>29</v>
      </c>
      <c r="H660" t="s">
        <v>18</v>
      </c>
    </row>
    <row r="661" spans="1:9">
      <c r="A661" t="s">
        <v>264</v>
      </c>
      <c r="B661" t="s">
        <v>265</v>
      </c>
      <c r="C661">
        <v>1.5153830138359706E-4</v>
      </c>
      <c r="D661" t="s">
        <v>13</v>
      </c>
      <c r="E661" t="s">
        <v>211</v>
      </c>
      <c r="G661" t="s">
        <v>140</v>
      </c>
      <c r="H661" t="s">
        <v>12</v>
      </c>
    </row>
    <row r="662" spans="1:9">
      <c r="A662" t="s">
        <v>266</v>
      </c>
      <c r="B662" t="s">
        <v>135</v>
      </c>
      <c r="C662">
        <v>5.4000000000000001E-11</v>
      </c>
      <c r="D662" t="s">
        <v>6</v>
      </c>
      <c r="E662" t="s">
        <v>211</v>
      </c>
      <c r="G662" t="s">
        <v>140</v>
      </c>
      <c r="H662" t="s">
        <v>12</v>
      </c>
    </row>
    <row r="663" spans="1:9">
      <c r="A663" t="s">
        <v>28</v>
      </c>
      <c r="B663" t="s">
        <v>20</v>
      </c>
      <c r="C663" s="38">
        <v>0.9818888836474815</v>
      </c>
      <c r="D663" t="s">
        <v>19</v>
      </c>
      <c r="E663" t="s">
        <v>211</v>
      </c>
      <c r="G663" t="s">
        <v>29</v>
      </c>
      <c r="H663" t="s">
        <v>12</v>
      </c>
    </row>
    <row r="664" spans="1:9">
      <c r="A664" t="s">
        <v>180</v>
      </c>
      <c r="B664" t="s">
        <v>181</v>
      </c>
      <c r="C664">
        <v>1.1400000000000001E-4</v>
      </c>
      <c r="D664" t="s">
        <v>13</v>
      </c>
      <c r="E664" t="s">
        <v>211</v>
      </c>
      <c r="G664" t="s">
        <v>49</v>
      </c>
      <c r="H664" t="s">
        <v>12</v>
      </c>
    </row>
    <row r="665" spans="1:9">
      <c r="A665" t="s">
        <v>267</v>
      </c>
      <c r="B665" t="s">
        <v>268</v>
      </c>
      <c r="C665">
        <v>1.01E-4</v>
      </c>
      <c r="D665" t="s">
        <v>13</v>
      </c>
      <c r="E665" t="s">
        <v>211</v>
      </c>
      <c r="G665" t="s">
        <v>140</v>
      </c>
      <c r="H665" t="s">
        <v>12</v>
      </c>
    </row>
    <row r="666" spans="1:9">
      <c r="A666" t="s">
        <v>269</v>
      </c>
      <c r="B666" s="18" t="s">
        <v>197</v>
      </c>
      <c r="C666">
        <v>1.8942287672949629</v>
      </c>
      <c r="D666" s="43" t="s">
        <v>128</v>
      </c>
      <c r="G666" s="48" t="s">
        <v>29</v>
      </c>
      <c r="H666" t="s">
        <v>12</v>
      </c>
    </row>
    <row r="667" spans="1:9">
      <c r="A667" t="s">
        <v>218</v>
      </c>
      <c r="B667"/>
      <c r="C667">
        <v>1.826313948288041E-2</v>
      </c>
      <c r="D667" t="s">
        <v>13</v>
      </c>
      <c r="E667" t="s">
        <v>109</v>
      </c>
      <c r="F667" t="s">
        <v>184</v>
      </c>
      <c r="H667" t="s">
        <v>15</v>
      </c>
    </row>
    <row r="668" spans="1:9">
      <c r="A668" t="s">
        <v>260</v>
      </c>
      <c r="B668"/>
      <c r="C668">
        <v>1.28</v>
      </c>
      <c r="D668" t="s">
        <v>46</v>
      </c>
      <c r="E668" t="s">
        <v>109</v>
      </c>
      <c r="F668" t="s">
        <v>184</v>
      </c>
      <c r="H668" t="s">
        <v>15</v>
      </c>
    </row>
    <row r="669" spans="1:9">
      <c r="A669" t="s">
        <v>261</v>
      </c>
      <c r="B669"/>
      <c r="C669">
        <v>0</v>
      </c>
      <c r="D669" t="s">
        <v>13</v>
      </c>
      <c r="E669" t="s">
        <v>109</v>
      </c>
      <c r="F669" t="s">
        <v>184</v>
      </c>
      <c r="H669" t="s">
        <v>15</v>
      </c>
    </row>
    <row r="670" spans="1:9">
      <c r="A670" t="s">
        <v>185</v>
      </c>
      <c r="B670"/>
      <c r="C670">
        <v>7.0244489999999995E-3</v>
      </c>
      <c r="D670" t="s">
        <v>13</v>
      </c>
      <c r="E670" t="s">
        <v>109</v>
      </c>
      <c r="F670" t="s">
        <v>184</v>
      </c>
      <c r="H670" t="s">
        <v>15</v>
      </c>
    </row>
    <row r="671" spans="1:9">
      <c r="A671" t="s">
        <v>262</v>
      </c>
      <c r="B671"/>
      <c r="C671">
        <v>5.1560000000000002E-2</v>
      </c>
      <c r="D671" t="s">
        <v>13</v>
      </c>
      <c r="E671" t="s">
        <v>109</v>
      </c>
      <c r="F671" t="s">
        <v>25</v>
      </c>
      <c r="H671" t="s">
        <v>15</v>
      </c>
    </row>
    <row r="672" spans="1:9">
      <c r="A672" t="s">
        <v>125</v>
      </c>
      <c r="B672"/>
      <c r="C672">
        <v>6.5989999999999998E-6</v>
      </c>
      <c r="D672" t="s">
        <v>13</v>
      </c>
      <c r="E672" t="s">
        <v>109</v>
      </c>
      <c r="F672" t="s">
        <v>263</v>
      </c>
      <c r="H672" t="s">
        <v>15</v>
      </c>
    </row>
    <row r="673" spans="1:9" s="53" customFormat="1">
      <c r="B673" s="54"/>
    </row>
    <row r="674" spans="1:9">
      <c r="A674" s="41" t="s">
        <v>1</v>
      </c>
      <c r="B674" s="41" t="s">
        <v>448</v>
      </c>
    </row>
    <row r="675" spans="1:9">
      <c r="A675" s="44" t="s">
        <v>11</v>
      </c>
      <c r="B675" s="55"/>
    </row>
    <row r="676" spans="1:9">
      <c r="A676" s="44" t="s">
        <v>2</v>
      </c>
      <c r="B676" t="s">
        <v>29</v>
      </c>
    </row>
    <row r="677" spans="1:9">
      <c r="A677" s="44" t="s">
        <v>3</v>
      </c>
      <c r="B677" s="45">
        <v>1</v>
      </c>
    </row>
    <row r="678" spans="1:9">
      <c r="A678" s="44" t="s">
        <v>4</v>
      </c>
      <c r="B678" t="s">
        <v>259</v>
      </c>
    </row>
    <row r="679" spans="1:9">
      <c r="A679" s="44" t="s">
        <v>6</v>
      </c>
      <c r="B679" t="s">
        <v>128</v>
      </c>
    </row>
    <row r="680" spans="1:9">
      <c r="A680" s="44" t="s">
        <v>76</v>
      </c>
      <c r="B680"/>
    </row>
    <row r="681" spans="1:9" ht="15.75">
      <c r="A681" s="29" t="s">
        <v>7</v>
      </c>
      <c r="B681"/>
    </row>
    <row r="682" spans="1:9" s="44" customFormat="1">
      <c r="A682" s="44" t="s">
        <v>8</v>
      </c>
      <c r="B682" s="44" t="s">
        <v>4</v>
      </c>
      <c r="C682" s="44" t="s">
        <v>9</v>
      </c>
      <c r="D682" s="44" t="s">
        <v>6</v>
      </c>
      <c r="E682" s="44" t="s">
        <v>106</v>
      </c>
      <c r="F682" s="44" t="s">
        <v>10</v>
      </c>
      <c r="G682" s="44" t="s">
        <v>2</v>
      </c>
      <c r="H682" s="44" t="s">
        <v>5</v>
      </c>
      <c r="I682" s="44" t="s">
        <v>11</v>
      </c>
    </row>
    <row r="683" spans="1:9">
      <c r="A683" t="s">
        <v>448</v>
      </c>
      <c r="B683" t="s">
        <v>259</v>
      </c>
      <c r="C683">
        <v>1</v>
      </c>
      <c r="D683" t="s">
        <v>128</v>
      </c>
      <c r="E683" s="48"/>
      <c r="G683" t="s">
        <v>29</v>
      </c>
      <c r="H683" t="s">
        <v>18</v>
      </c>
    </row>
    <row r="684" spans="1:9">
      <c r="A684" t="s">
        <v>264</v>
      </c>
      <c r="B684" t="s">
        <v>265</v>
      </c>
      <c r="C684">
        <v>1.5328461905494623E-4</v>
      </c>
      <c r="D684" t="s">
        <v>13</v>
      </c>
      <c r="E684" t="s">
        <v>211</v>
      </c>
      <c r="G684" t="s">
        <v>140</v>
      </c>
      <c r="H684" t="s">
        <v>12</v>
      </c>
    </row>
    <row r="685" spans="1:9">
      <c r="A685" t="s">
        <v>266</v>
      </c>
      <c r="B685" t="s">
        <v>135</v>
      </c>
      <c r="C685">
        <v>5.4000000000000001E-11</v>
      </c>
      <c r="D685" t="s">
        <v>6</v>
      </c>
      <c r="E685" t="s">
        <v>211</v>
      </c>
      <c r="G685" t="s">
        <v>140</v>
      </c>
      <c r="H685" t="s">
        <v>12</v>
      </c>
    </row>
    <row r="686" spans="1:9">
      <c r="A686" t="s">
        <v>28</v>
      </c>
      <c r="B686" t="s">
        <v>20</v>
      </c>
      <c r="C686" s="38">
        <v>0.76289810836538974</v>
      </c>
      <c r="D686" t="s">
        <v>19</v>
      </c>
      <c r="E686" t="s">
        <v>211</v>
      </c>
      <c r="G686" t="s">
        <v>29</v>
      </c>
      <c r="H686" t="s">
        <v>12</v>
      </c>
    </row>
    <row r="687" spans="1:9">
      <c r="A687" t="s">
        <v>180</v>
      </c>
      <c r="B687" t="s">
        <v>181</v>
      </c>
      <c r="C687">
        <v>1.1400000000000001E-4</v>
      </c>
      <c r="D687" t="s">
        <v>13</v>
      </c>
      <c r="E687" t="s">
        <v>211</v>
      </c>
      <c r="G687" t="s">
        <v>49</v>
      </c>
      <c r="H687" t="s">
        <v>12</v>
      </c>
    </row>
    <row r="688" spans="1:9">
      <c r="A688" t="s">
        <v>267</v>
      </c>
      <c r="B688" t="s">
        <v>268</v>
      </c>
      <c r="C688">
        <v>1.01E-4</v>
      </c>
      <c r="D688" t="s">
        <v>13</v>
      </c>
      <c r="E688" t="s">
        <v>211</v>
      </c>
      <c r="G688" t="s">
        <v>140</v>
      </c>
      <c r="H688" t="s">
        <v>12</v>
      </c>
    </row>
    <row r="689" spans="1:8">
      <c r="A689" t="s">
        <v>269</v>
      </c>
      <c r="B689" s="18" t="s">
        <v>197</v>
      </c>
      <c r="C689">
        <v>1.9160577381868278</v>
      </c>
      <c r="D689" s="43" t="s">
        <v>128</v>
      </c>
      <c r="G689" s="48" t="s">
        <v>29</v>
      </c>
      <c r="H689" t="s">
        <v>12</v>
      </c>
    </row>
    <row r="690" spans="1:8">
      <c r="A690" t="s">
        <v>218</v>
      </c>
      <c r="B690"/>
      <c r="C690">
        <v>1.8473602731590951E-3</v>
      </c>
      <c r="D690" t="s">
        <v>13</v>
      </c>
      <c r="E690" t="s">
        <v>109</v>
      </c>
      <c r="F690" t="s">
        <v>184</v>
      </c>
      <c r="H690" t="s">
        <v>15</v>
      </c>
    </row>
    <row r="691" spans="1:8">
      <c r="A691" t="s">
        <v>260</v>
      </c>
      <c r="B691"/>
      <c r="C691">
        <v>1.28</v>
      </c>
      <c r="D691" t="s">
        <v>46</v>
      </c>
      <c r="E691" t="s">
        <v>109</v>
      </c>
      <c r="F691" t="s">
        <v>184</v>
      </c>
      <c r="H691" t="s">
        <v>15</v>
      </c>
    </row>
    <row r="692" spans="1:8">
      <c r="A692" t="s">
        <v>261</v>
      </c>
      <c r="B692"/>
      <c r="C692">
        <v>0</v>
      </c>
      <c r="D692" t="s">
        <v>13</v>
      </c>
      <c r="E692" t="s">
        <v>109</v>
      </c>
      <c r="F692" t="s">
        <v>184</v>
      </c>
      <c r="H692" t="s">
        <v>15</v>
      </c>
    </row>
    <row r="693" spans="1:8">
      <c r="A693" t="s">
        <v>185</v>
      </c>
      <c r="B693"/>
      <c r="C693">
        <v>7.1053982999999999E-4</v>
      </c>
      <c r="D693" t="s">
        <v>13</v>
      </c>
      <c r="E693" t="s">
        <v>109</v>
      </c>
      <c r="F693" t="s">
        <v>184</v>
      </c>
      <c r="H693" t="s">
        <v>15</v>
      </c>
    </row>
    <row r="694" spans="1:8">
      <c r="A694" t="s">
        <v>262</v>
      </c>
      <c r="B694"/>
      <c r="C694">
        <v>5.1560000000000002E-2</v>
      </c>
      <c r="D694" t="s">
        <v>13</v>
      </c>
      <c r="E694" t="s">
        <v>109</v>
      </c>
      <c r="F694" t="s">
        <v>25</v>
      </c>
      <c r="H694" t="s">
        <v>15</v>
      </c>
    </row>
    <row r="695" spans="1:8">
      <c r="A695" t="s">
        <v>125</v>
      </c>
      <c r="B695"/>
      <c r="C695">
        <v>6.5989999999999998E-6</v>
      </c>
      <c r="D695" t="s">
        <v>13</v>
      </c>
      <c r="E695" t="s">
        <v>109</v>
      </c>
      <c r="F695" t="s">
        <v>263</v>
      </c>
      <c r="H695" t="s">
        <v>15</v>
      </c>
    </row>
    <row r="696" spans="1:8">
      <c r="A696" s="48" t="s">
        <v>38</v>
      </c>
      <c r="B696" s="48" t="s">
        <v>39</v>
      </c>
      <c r="C696" s="56">
        <v>0</v>
      </c>
      <c r="D696" s="48" t="s">
        <v>13</v>
      </c>
      <c r="E696" t="s">
        <v>211</v>
      </c>
      <c r="G696" s="48" t="s">
        <v>22</v>
      </c>
      <c r="H696" t="s">
        <v>12</v>
      </c>
    </row>
    <row r="697" spans="1:8">
      <c r="A697" s="48" t="s">
        <v>274</v>
      </c>
      <c r="B697" s="48" t="s">
        <v>275</v>
      </c>
      <c r="C697">
        <v>1.2300000000000001E-4</v>
      </c>
      <c r="D697" s="48" t="s">
        <v>13</v>
      </c>
      <c r="E697" t="s">
        <v>211</v>
      </c>
      <c r="G697" s="48" t="s">
        <v>140</v>
      </c>
      <c r="H697" t="s">
        <v>12</v>
      </c>
    </row>
    <row r="698" spans="1:8">
      <c r="A698" s="48" t="s">
        <v>276</v>
      </c>
      <c r="B698" s="48" t="s">
        <v>277</v>
      </c>
      <c r="C698">
        <v>6.9700000000000003E-4</v>
      </c>
      <c r="D698" s="48" t="s">
        <v>13</v>
      </c>
      <c r="E698" t="s">
        <v>211</v>
      </c>
      <c r="G698" s="48" t="s">
        <v>140</v>
      </c>
      <c r="H698" t="s">
        <v>12</v>
      </c>
    </row>
    <row r="699" spans="1:8">
      <c r="A699" t="s">
        <v>278</v>
      </c>
      <c r="B699" t="s">
        <v>279</v>
      </c>
      <c r="C699">
        <v>2.6400000000000001E-5</v>
      </c>
      <c r="D699" s="48" t="s">
        <v>13</v>
      </c>
      <c r="E699" t="s">
        <v>211</v>
      </c>
      <c r="G699" s="48" t="s">
        <v>140</v>
      </c>
      <c r="H699" t="s">
        <v>12</v>
      </c>
    </row>
    <row r="700" spans="1:8">
      <c r="A700" s="48" t="s">
        <v>280</v>
      </c>
      <c r="B700" s="49" t="s">
        <v>281</v>
      </c>
      <c r="C700">
        <v>0</v>
      </c>
      <c r="D700" s="48" t="s">
        <v>13</v>
      </c>
      <c r="E700" t="s">
        <v>211</v>
      </c>
      <c r="G700" s="48" t="s">
        <v>140</v>
      </c>
      <c r="H700" t="s">
        <v>12</v>
      </c>
    </row>
    <row r="701" spans="1:8">
      <c r="A701" s="48" t="s">
        <v>282</v>
      </c>
      <c r="B701" s="49" t="s">
        <v>283</v>
      </c>
      <c r="C701">
        <v>9.2899999999999995E-5</v>
      </c>
      <c r="D701" s="48" t="s">
        <v>13</v>
      </c>
      <c r="E701" t="s">
        <v>211</v>
      </c>
      <c r="G701" s="48" t="s">
        <v>140</v>
      </c>
      <c r="H701" t="s">
        <v>12</v>
      </c>
    </row>
    <row r="702" spans="1:8">
      <c r="A702" s="14" t="s">
        <v>284</v>
      </c>
      <c r="B702" s="49"/>
      <c r="C702">
        <v>1.3412404167307795E-2</v>
      </c>
      <c r="D702" s="48" t="s">
        <v>13</v>
      </c>
      <c r="E702" s="48" t="s">
        <v>109</v>
      </c>
      <c r="F702" t="s">
        <v>184</v>
      </c>
      <c r="H702" t="s">
        <v>15</v>
      </c>
    </row>
    <row r="703" spans="1:8">
      <c r="A703" s="14" t="s">
        <v>108</v>
      </c>
      <c r="B703" s="48"/>
      <c r="C703">
        <v>0.35255462382637631</v>
      </c>
      <c r="D703" s="48" t="s">
        <v>13</v>
      </c>
      <c r="E703" s="48" t="s">
        <v>109</v>
      </c>
      <c r="F703" t="s">
        <v>184</v>
      </c>
      <c r="H703" t="s">
        <v>15</v>
      </c>
    </row>
    <row r="704" spans="1:8" s="53" customFormat="1">
      <c r="B704" s="54"/>
    </row>
    <row r="705" spans="1:9">
      <c r="A705" s="41" t="s">
        <v>1</v>
      </c>
      <c r="B705" s="41" t="s">
        <v>449</v>
      </c>
    </row>
    <row r="706" spans="1:9">
      <c r="A706" s="44" t="s">
        <v>11</v>
      </c>
      <c r="B706" s="55"/>
    </row>
    <row r="707" spans="1:9">
      <c r="A707" s="44" t="s">
        <v>2</v>
      </c>
      <c r="B707" t="s">
        <v>29</v>
      </c>
    </row>
    <row r="708" spans="1:9">
      <c r="A708" s="44" t="s">
        <v>3</v>
      </c>
      <c r="B708" s="45">
        <v>1</v>
      </c>
    </row>
    <row r="709" spans="1:9">
      <c r="A709" s="44" t="s">
        <v>4</v>
      </c>
      <c r="B709" t="s">
        <v>259</v>
      </c>
    </row>
    <row r="710" spans="1:9">
      <c r="A710" s="44" t="s">
        <v>6</v>
      </c>
      <c r="B710" t="s">
        <v>128</v>
      </c>
    </row>
    <row r="711" spans="1:9">
      <c r="A711" s="44" t="s">
        <v>76</v>
      </c>
      <c r="B711"/>
    </row>
    <row r="712" spans="1:9" ht="15.75">
      <c r="A712" s="29" t="s">
        <v>7</v>
      </c>
      <c r="B712"/>
    </row>
    <row r="713" spans="1:9" s="44" customFormat="1">
      <c r="A713" s="44" t="s">
        <v>8</v>
      </c>
      <c r="B713" s="44" t="s">
        <v>4</v>
      </c>
      <c r="C713" s="44" t="s">
        <v>9</v>
      </c>
      <c r="D713" s="44" t="s">
        <v>6</v>
      </c>
      <c r="E713" s="44" t="s">
        <v>106</v>
      </c>
      <c r="F713" s="44" t="s">
        <v>10</v>
      </c>
      <c r="G713" s="44" t="s">
        <v>2</v>
      </c>
      <c r="H713" s="44" t="s">
        <v>5</v>
      </c>
      <c r="I713" s="44" t="s">
        <v>11</v>
      </c>
    </row>
    <row r="714" spans="1:9">
      <c r="A714" t="s">
        <v>449</v>
      </c>
      <c r="B714" t="s">
        <v>259</v>
      </c>
      <c r="C714">
        <v>1</v>
      </c>
      <c r="D714" t="s">
        <v>128</v>
      </c>
      <c r="E714" s="48"/>
      <c r="G714" t="s">
        <v>29</v>
      </c>
      <c r="H714" t="s">
        <v>18</v>
      </c>
    </row>
    <row r="715" spans="1:9">
      <c r="A715" t="s">
        <v>264</v>
      </c>
      <c r="B715" t="s">
        <v>265</v>
      </c>
      <c r="C715">
        <v>1.5303868060521681E-4</v>
      </c>
      <c r="D715" t="s">
        <v>13</v>
      </c>
      <c r="E715" t="s">
        <v>211</v>
      </c>
      <c r="G715" t="s">
        <v>140</v>
      </c>
      <c r="H715" t="s">
        <v>12</v>
      </c>
    </row>
    <row r="716" spans="1:9">
      <c r="A716" t="s">
        <v>266</v>
      </c>
      <c r="B716" t="s">
        <v>135</v>
      </c>
      <c r="C716">
        <v>5.4000000000000001E-11</v>
      </c>
      <c r="D716" t="s">
        <v>6</v>
      </c>
      <c r="E716" t="s">
        <v>211</v>
      </c>
      <c r="G716" t="s">
        <v>140</v>
      </c>
      <c r="H716" t="s">
        <v>12</v>
      </c>
    </row>
    <row r="717" spans="1:9">
      <c r="A717" t="s">
        <v>28</v>
      </c>
      <c r="B717" t="s">
        <v>20</v>
      </c>
      <c r="C717" s="38">
        <v>0.6343270522695631</v>
      </c>
      <c r="D717" t="s">
        <v>19</v>
      </c>
      <c r="E717" t="s">
        <v>211</v>
      </c>
      <c r="G717" t="s">
        <v>29</v>
      </c>
      <c r="H717" t="s">
        <v>12</v>
      </c>
    </row>
    <row r="718" spans="1:9">
      <c r="A718" t="s">
        <v>180</v>
      </c>
      <c r="B718" t="s">
        <v>181</v>
      </c>
      <c r="C718">
        <v>1.1400000000000001E-4</v>
      </c>
      <c r="D718" t="s">
        <v>13</v>
      </c>
      <c r="E718" t="s">
        <v>211</v>
      </c>
      <c r="G718" t="s">
        <v>49</v>
      </c>
      <c r="H718" t="s">
        <v>12</v>
      </c>
    </row>
    <row r="719" spans="1:9">
      <c r="A719" t="s">
        <v>267</v>
      </c>
      <c r="B719" t="s">
        <v>268</v>
      </c>
      <c r="C719">
        <v>1.01E-4</v>
      </c>
      <c r="D719" t="s">
        <v>13</v>
      </c>
      <c r="E719" t="s">
        <v>211</v>
      </c>
      <c r="G719" t="s">
        <v>140</v>
      </c>
      <c r="H719" t="s">
        <v>12</v>
      </c>
    </row>
    <row r="720" spans="1:9">
      <c r="A720" t="s">
        <v>269</v>
      </c>
      <c r="B720" s="18" t="s">
        <v>197</v>
      </c>
      <c r="C720">
        <v>1.91298350756521</v>
      </c>
      <c r="D720" s="43" t="s">
        <v>128</v>
      </c>
      <c r="G720" s="48" t="s">
        <v>29</v>
      </c>
      <c r="H720" t="s">
        <v>12</v>
      </c>
    </row>
    <row r="721" spans="1:8">
      <c r="A721" t="s">
        <v>218</v>
      </c>
      <c r="B721"/>
      <c r="C721">
        <v>3.688792529215449E-2</v>
      </c>
      <c r="D721" t="s">
        <v>13</v>
      </c>
      <c r="E721" t="s">
        <v>109</v>
      </c>
      <c r="F721" t="s">
        <v>184</v>
      </c>
      <c r="H721" t="s">
        <v>15</v>
      </c>
    </row>
    <row r="722" spans="1:8">
      <c r="A722" t="s">
        <v>260</v>
      </c>
      <c r="B722"/>
      <c r="C722">
        <v>1.28</v>
      </c>
      <c r="D722" t="s">
        <v>46</v>
      </c>
      <c r="E722" t="s">
        <v>109</v>
      </c>
      <c r="F722" t="s">
        <v>184</v>
      </c>
      <c r="H722" t="s">
        <v>15</v>
      </c>
    </row>
    <row r="723" spans="1:8">
      <c r="A723" t="s">
        <v>261</v>
      </c>
      <c r="B723"/>
      <c r="C723">
        <v>0</v>
      </c>
      <c r="D723" t="s">
        <v>13</v>
      </c>
      <c r="E723" t="s">
        <v>109</v>
      </c>
      <c r="F723" t="s">
        <v>184</v>
      </c>
      <c r="H723" t="s">
        <v>15</v>
      </c>
    </row>
    <row r="724" spans="1:8">
      <c r="A724" t="s">
        <v>185</v>
      </c>
      <c r="B724"/>
      <c r="C724">
        <v>1.4187996E-2</v>
      </c>
      <c r="D724" t="s">
        <v>13</v>
      </c>
      <c r="E724" t="s">
        <v>109</v>
      </c>
      <c r="F724" t="s">
        <v>184</v>
      </c>
      <c r="H724" t="s">
        <v>15</v>
      </c>
    </row>
    <row r="725" spans="1:8">
      <c r="A725" t="s">
        <v>262</v>
      </c>
      <c r="B725"/>
      <c r="C725">
        <v>5.1560000000000002E-2</v>
      </c>
      <c r="D725" t="s">
        <v>13</v>
      </c>
      <c r="E725" t="s">
        <v>109</v>
      </c>
      <c r="F725" t="s">
        <v>25</v>
      </c>
      <c r="H725" t="s">
        <v>15</v>
      </c>
    </row>
    <row r="726" spans="1:8">
      <c r="A726" t="s">
        <v>125</v>
      </c>
      <c r="B726"/>
      <c r="C726">
        <v>6.5989999999999998E-6</v>
      </c>
      <c r="D726" t="s">
        <v>13</v>
      </c>
      <c r="E726" t="s">
        <v>109</v>
      </c>
      <c r="F726" t="s">
        <v>263</v>
      </c>
      <c r="H726" t="s">
        <v>15</v>
      </c>
    </row>
    <row r="727" spans="1:8">
      <c r="A727" s="48" t="s">
        <v>38</v>
      </c>
      <c r="B727" s="48" t="s">
        <v>39</v>
      </c>
      <c r="C727" s="56">
        <v>0.19129835075652102</v>
      </c>
      <c r="D727" s="48" t="s">
        <v>13</v>
      </c>
      <c r="E727" t="s">
        <v>211</v>
      </c>
      <c r="G727" s="48" t="s">
        <v>22</v>
      </c>
      <c r="H727" t="s">
        <v>12</v>
      </c>
    </row>
    <row r="728" spans="1:8">
      <c r="A728" s="48" t="s">
        <v>274</v>
      </c>
      <c r="B728" s="48" t="s">
        <v>275</v>
      </c>
      <c r="C728">
        <v>0</v>
      </c>
      <c r="D728" s="48" t="s">
        <v>13</v>
      </c>
      <c r="E728" t="s">
        <v>211</v>
      </c>
      <c r="G728" s="48" t="s">
        <v>140</v>
      </c>
      <c r="H728" t="s">
        <v>12</v>
      </c>
    </row>
    <row r="729" spans="1:8">
      <c r="A729" s="48" t="s">
        <v>276</v>
      </c>
      <c r="B729" s="48" t="s">
        <v>277</v>
      </c>
      <c r="C729">
        <v>0</v>
      </c>
      <c r="D729" s="48" t="s">
        <v>13</v>
      </c>
      <c r="E729" t="s">
        <v>211</v>
      </c>
      <c r="G729" s="48" t="s">
        <v>140</v>
      </c>
      <c r="H729" t="s">
        <v>12</v>
      </c>
    </row>
    <row r="730" spans="1:8">
      <c r="A730" t="s">
        <v>278</v>
      </c>
      <c r="B730" t="s">
        <v>279</v>
      </c>
      <c r="C730">
        <v>0</v>
      </c>
      <c r="D730" s="48" t="s">
        <v>13</v>
      </c>
      <c r="E730" t="s">
        <v>211</v>
      </c>
      <c r="G730" s="48" t="s">
        <v>140</v>
      </c>
      <c r="H730" t="s">
        <v>12</v>
      </c>
    </row>
    <row r="731" spans="1:8">
      <c r="A731" s="48" t="s">
        <v>280</v>
      </c>
      <c r="B731" s="49" t="s">
        <v>281</v>
      </c>
      <c r="C731">
        <v>0</v>
      </c>
      <c r="D731" s="48" t="s">
        <v>13</v>
      </c>
      <c r="E731" t="s">
        <v>211</v>
      </c>
      <c r="G731" s="48" t="s">
        <v>140</v>
      </c>
      <c r="H731" t="s">
        <v>12</v>
      </c>
    </row>
    <row r="732" spans="1:8">
      <c r="A732" s="48" t="s">
        <v>282</v>
      </c>
      <c r="B732" s="49" t="s">
        <v>283</v>
      </c>
      <c r="C732">
        <v>0</v>
      </c>
      <c r="D732" s="48" t="s">
        <v>13</v>
      </c>
      <c r="E732" t="s">
        <v>211</v>
      </c>
      <c r="G732" s="48" t="s">
        <v>140</v>
      </c>
      <c r="H732" t="s">
        <v>12</v>
      </c>
    </row>
    <row r="733" spans="1:8">
      <c r="A733" s="14" t="s">
        <v>284</v>
      </c>
      <c r="B733" s="49"/>
      <c r="C733">
        <v>0</v>
      </c>
      <c r="D733" s="48" t="s">
        <v>13</v>
      </c>
      <c r="E733" s="48" t="s">
        <v>109</v>
      </c>
      <c r="F733" t="s">
        <v>184</v>
      </c>
      <c r="H733" t="s">
        <v>15</v>
      </c>
    </row>
    <row r="734" spans="1:8">
      <c r="A734" s="14" t="s">
        <v>108</v>
      </c>
      <c r="B734" s="48"/>
      <c r="C734">
        <v>0</v>
      </c>
      <c r="D734" s="48" t="s">
        <v>13</v>
      </c>
      <c r="E734" s="48" t="s">
        <v>109</v>
      </c>
      <c r="F734" t="s">
        <v>184</v>
      </c>
      <c r="H734" t="s">
        <v>15</v>
      </c>
    </row>
    <row r="735" spans="1:8" s="53" customFormat="1">
      <c r="B735" s="54"/>
    </row>
    <row r="736" spans="1:8">
      <c r="A736" s="41" t="s">
        <v>1</v>
      </c>
      <c r="B736" s="41" t="s">
        <v>450</v>
      </c>
    </row>
    <row r="737" spans="1:9">
      <c r="A737" s="44" t="s">
        <v>11</v>
      </c>
      <c r="B737" s="55"/>
    </row>
    <row r="738" spans="1:9">
      <c r="A738" s="44" t="s">
        <v>2</v>
      </c>
      <c r="B738" t="s">
        <v>29</v>
      </c>
    </row>
    <row r="739" spans="1:9">
      <c r="A739" s="44" t="s">
        <v>3</v>
      </c>
      <c r="B739" s="45">
        <v>1</v>
      </c>
    </row>
    <row r="740" spans="1:9">
      <c r="A740" s="44" t="s">
        <v>4</v>
      </c>
      <c r="B740" t="s">
        <v>259</v>
      </c>
    </row>
    <row r="741" spans="1:9">
      <c r="A741" s="44" t="s">
        <v>6</v>
      </c>
      <c r="B741" t="s">
        <v>128</v>
      </c>
    </row>
    <row r="742" spans="1:9">
      <c r="A742" s="44" t="s">
        <v>76</v>
      </c>
      <c r="B742"/>
    </row>
    <row r="743" spans="1:9" ht="15.75">
      <c r="A743" s="29" t="s">
        <v>7</v>
      </c>
      <c r="B743"/>
    </row>
    <row r="744" spans="1:9" s="44" customFormat="1">
      <c r="A744" s="44" t="s">
        <v>8</v>
      </c>
      <c r="B744" s="44" t="s">
        <v>4</v>
      </c>
      <c r="C744" s="44" t="s">
        <v>9</v>
      </c>
      <c r="D744" s="44" t="s">
        <v>6</v>
      </c>
      <c r="E744" s="44" t="s">
        <v>106</v>
      </c>
      <c r="F744" s="44" t="s">
        <v>10</v>
      </c>
      <c r="G744" s="44" t="s">
        <v>2</v>
      </c>
      <c r="H744" s="44" t="s">
        <v>5</v>
      </c>
      <c r="I744" s="44" t="s">
        <v>11</v>
      </c>
    </row>
    <row r="745" spans="1:9">
      <c r="A745" t="s">
        <v>450</v>
      </c>
      <c r="B745" t="s">
        <v>259</v>
      </c>
      <c r="C745">
        <v>1</v>
      </c>
      <c r="D745" t="s">
        <v>128</v>
      </c>
      <c r="E745" s="48"/>
      <c r="G745" t="s">
        <v>29</v>
      </c>
      <c r="H745" t="s">
        <v>18</v>
      </c>
    </row>
    <row r="746" spans="1:9">
      <c r="A746" t="s">
        <v>264</v>
      </c>
      <c r="B746" t="s">
        <v>265</v>
      </c>
      <c r="C746">
        <v>1.5294587364305477E-4</v>
      </c>
      <c r="D746" t="s">
        <v>13</v>
      </c>
      <c r="E746" t="s">
        <v>211</v>
      </c>
      <c r="G746" t="s">
        <v>140</v>
      </c>
      <c r="H746" t="s">
        <v>12</v>
      </c>
    </row>
    <row r="747" spans="1:9">
      <c r="A747" t="s">
        <v>266</v>
      </c>
      <c r="B747" t="s">
        <v>135</v>
      </c>
      <c r="C747">
        <v>5.4000000000000001E-11</v>
      </c>
      <c r="D747" t="s">
        <v>6</v>
      </c>
      <c r="E747" t="s">
        <v>211</v>
      </c>
      <c r="G747" t="s">
        <v>140</v>
      </c>
      <c r="H747" t="s">
        <v>12</v>
      </c>
    </row>
    <row r="748" spans="1:9">
      <c r="A748" t="s">
        <v>28</v>
      </c>
      <c r="B748" t="s">
        <v>20</v>
      </c>
      <c r="C748" s="38">
        <v>0.67679502616145548</v>
      </c>
      <c r="D748" t="s">
        <v>19</v>
      </c>
      <c r="E748" t="s">
        <v>211</v>
      </c>
      <c r="G748" t="s">
        <v>29</v>
      </c>
      <c r="H748" t="s">
        <v>12</v>
      </c>
    </row>
    <row r="749" spans="1:9">
      <c r="A749" t="s">
        <v>180</v>
      </c>
      <c r="B749" t="s">
        <v>181</v>
      </c>
      <c r="C749">
        <v>1.1400000000000001E-4</v>
      </c>
      <c r="D749" t="s">
        <v>13</v>
      </c>
      <c r="E749" t="s">
        <v>211</v>
      </c>
      <c r="G749" t="s">
        <v>49</v>
      </c>
      <c r="H749" t="s">
        <v>12</v>
      </c>
    </row>
    <row r="750" spans="1:9">
      <c r="A750" t="s">
        <v>267</v>
      </c>
      <c r="B750" t="s">
        <v>268</v>
      </c>
      <c r="C750">
        <v>1.01E-4</v>
      </c>
      <c r="D750" t="s">
        <v>13</v>
      </c>
      <c r="E750" t="s">
        <v>211</v>
      </c>
      <c r="G750" t="s">
        <v>140</v>
      </c>
      <c r="H750" t="s">
        <v>12</v>
      </c>
    </row>
    <row r="751" spans="1:9">
      <c r="A751" t="s">
        <v>269</v>
      </c>
      <c r="B751" s="18" t="s">
        <v>197</v>
      </c>
      <c r="C751">
        <v>1.9118234205381845</v>
      </c>
      <c r="D751" s="43" t="s">
        <v>128</v>
      </c>
      <c r="G751" s="48" t="s">
        <v>29</v>
      </c>
      <c r="H751" t="s">
        <v>12</v>
      </c>
    </row>
    <row r="752" spans="1:9">
      <c r="A752" t="s">
        <v>218</v>
      </c>
      <c r="B752"/>
      <c r="C752">
        <v>5.5298333124442628E-2</v>
      </c>
      <c r="D752" t="s">
        <v>13</v>
      </c>
      <c r="E752" t="s">
        <v>109</v>
      </c>
      <c r="F752" t="s">
        <v>184</v>
      </c>
      <c r="H752" t="s">
        <v>15</v>
      </c>
    </row>
    <row r="753" spans="1:9">
      <c r="A753" t="s">
        <v>260</v>
      </c>
      <c r="B753"/>
      <c r="C753">
        <v>1.28</v>
      </c>
      <c r="D753" t="s">
        <v>46</v>
      </c>
      <c r="E753" t="s">
        <v>109</v>
      </c>
      <c r="F753" t="s">
        <v>184</v>
      </c>
      <c r="H753" t="s">
        <v>15</v>
      </c>
    </row>
    <row r="754" spans="1:9">
      <c r="A754" t="s">
        <v>261</v>
      </c>
      <c r="B754"/>
      <c r="C754">
        <v>0</v>
      </c>
      <c r="D754" t="s">
        <v>13</v>
      </c>
      <c r="E754" t="s">
        <v>109</v>
      </c>
      <c r="F754" t="s">
        <v>184</v>
      </c>
      <c r="H754" t="s">
        <v>15</v>
      </c>
    </row>
    <row r="755" spans="1:9">
      <c r="A755" t="s">
        <v>185</v>
      </c>
      <c r="B755"/>
      <c r="C755">
        <v>2.1269088000000002E-2</v>
      </c>
      <c r="D755" t="s">
        <v>13</v>
      </c>
      <c r="E755" t="s">
        <v>109</v>
      </c>
      <c r="F755" t="s">
        <v>184</v>
      </c>
      <c r="H755" t="s">
        <v>15</v>
      </c>
    </row>
    <row r="756" spans="1:9">
      <c r="A756" t="s">
        <v>262</v>
      </c>
      <c r="B756"/>
      <c r="C756">
        <v>5.1560000000000002E-2</v>
      </c>
      <c r="D756" t="s">
        <v>13</v>
      </c>
      <c r="E756" t="s">
        <v>109</v>
      </c>
      <c r="F756" t="s">
        <v>25</v>
      </c>
      <c r="H756" t="s">
        <v>15</v>
      </c>
    </row>
    <row r="757" spans="1:9">
      <c r="A757" t="s">
        <v>125</v>
      </c>
      <c r="B757"/>
      <c r="C757">
        <v>6.5989999999999998E-6</v>
      </c>
      <c r="D757" t="s">
        <v>13</v>
      </c>
      <c r="E757" t="s">
        <v>109</v>
      </c>
      <c r="F757" t="s">
        <v>263</v>
      </c>
      <c r="H757" t="s">
        <v>15</v>
      </c>
    </row>
    <row r="758" spans="1:9">
      <c r="A758" s="48" t="s">
        <v>38</v>
      </c>
      <c r="B758" s="48" t="s">
        <v>39</v>
      </c>
      <c r="C758" s="57">
        <v>0</v>
      </c>
      <c r="D758" s="48" t="s">
        <v>13</v>
      </c>
      <c r="E758" t="s">
        <v>211</v>
      </c>
      <c r="G758" s="48" t="s">
        <v>22</v>
      </c>
      <c r="H758" t="s">
        <v>12</v>
      </c>
    </row>
    <row r="759" spans="1:9">
      <c r="A759" s="48" t="s">
        <v>274</v>
      </c>
      <c r="B759" s="48" t="s">
        <v>275</v>
      </c>
      <c r="C759">
        <v>2.0799999999999999E-4</v>
      </c>
      <c r="D759" s="48" t="s">
        <v>13</v>
      </c>
      <c r="E759" t="s">
        <v>211</v>
      </c>
      <c r="G759" s="48" t="s">
        <v>140</v>
      </c>
      <c r="H759" t="s">
        <v>12</v>
      </c>
    </row>
    <row r="760" spans="1:9">
      <c r="A760" s="48" t="s">
        <v>276</v>
      </c>
      <c r="B760" s="48" t="s">
        <v>277</v>
      </c>
      <c r="C760">
        <v>0</v>
      </c>
      <c r="D760" s="48" t="s">
        <v>13</v>
      </c>
      <c r="E760" t="s">
        <v>211</v>
      </c>
      <c r="G760" s="48" t="s">
        <v>140</v>
      </c>
      <c r="H760" t="s">
        <v>12</v>
      </c>
    </row>
    <row r="761" spans="1:9">
      <c r="A761" t="s">
        <v>278</v>
      </c>
      <c r="B761" t="s">
        <v>279</v>
      </c>
      <c r="C761">
        <v>3.98E-6</v>
      </c>
      <c r="D761" s="48" t="s">
        <v>13</v>
      </c>
      <c r="E761" t="s">
        <v>211</v>
      </c>
      <c r="G761" s="48" t="s">
        <v>140</v>
      </c>
      <c r="H761" t="s">
        <v>12</v>
      </c>
    </row>
    <row r="762" spans="1:9">
      <c r="A762" s="48" t="s">
        <v>280</v>
      </c>
      <c r="B762" s="49" t="s">
        <v>281</v>
      </c>
      <c r="C762">
        <v>0</v>
      </c>
      <c r="D762" s="48" t="s">
        <v>13</v>
      </c>
      <c r="E762" t="s">
        <v>211</v>
      </c>
      <c r="G762" s="48" t="s">
        <v>140</v>
      </c>
      <c r="H762" t="s">
        <v>12</v>
      </c>
    </row>
    <row r="763" spans="1:9">
      <c r="A763" s="48" t="s">
        <v>282</v>
      </c>
      <c r="B763" s="49" t="s">
        <v>283</v>
      </c>
      <c r="C763">
        <v>0</v>
      </c>
      <c r="D763" s="48" t="s">
        <v>13</v>
      </c>
      <c r="E763" t="s">
        <v>211</v>
      </c>
      <c r="G763" s="48" t="s">
        <v>140</v>
      </c>
      <c r="H763" t="s">
        <v>12</v>
      </c>
    </row>
    <row r="764" spans="1:9">
      <c r="A764" s="14" t="s">
        <v>284</v>
      </c>
      <c r="B764" s="49"/>
      <c r="C764">
        <v>0</v>
      </c>
      <c r="D764" s="48" t="s">
        <v>13</v>
      </c>
      <c r="E764" s="48" t="s">
        <v>109</v>
      </c>
      <c r="F764" t="s">
        <v>184</v>
      </c>
      <c r="H764" t="s">
        <v>15</v>
      </c>
    </row>
    <row r="765" spans="1:9">
      <c r="A765" s="14" t="s">
        <v>108</v>
      </c>
      <c r="B765" s="48"/>
      <c r="C765">
        <v>0</v>
      </c>
      <c r="D765" s="48" t="s">
        <v>13</v>
      </c>
      <c r="E765" s="48" t="s">
        <v>109</v>
      </c>
      <c r="F765" t="s">
        <v>184</v>
      </c>
      <c r="H765" t="s">
        <v>15</v>
      </c>
    </row>
    <row r="766" spans="1:9">
      <c r="A766" s="53"/>
      <c r="B766" s="54"/>
      <c r="C766" s="53"/>
      <c r="D766" s="53"/>
      <c r="E766" s="53"/>
      <c r="F766" s="53"/>
      <c r="G766" s="53"/>
      <c r="H766" s="53"/>
      <c r="I766" s="53"/>
    </row>
    <row r="767" spans="1:9">
      <c r="A767" s="41" t="s">
        <v>1</v>
      </c>
      <c r="B767" s="41" t="s">
        <v>451</v>
      </c>
    </row>
    <row r="768" spans="1:9">
      <c r="A768" s="44" t="s">
        <v>11</v>
      </c>
      <c r="B768" s="55"/>
    </row>
    <row r="769" spans="1:9">
      <c r="A769" s="44" t="s">
        <v>2</v>
      </c>
      <c r="B769" t="s">
        <v>29</v>
      </c>
    </row>
    <row r="770" spans="1:9">
      <c r="A770" s="44" t="s">
        <v>3</v>
      </c>
      <c r="B770" s="45">
        <v>1</v>
      </c>
    </row>
    <row r="771" spans="1:9">
      <c r="A771" s="44" t="s">
        <v>4</v>
      </c>
      <c r="B771" t="s">
        <v>259</v>
      </c>
    </row>
    <row r="772" spans="1:9">
      <c r="A772" s="44" t="s">
        <v>6</v>
      </c>
      <c r="B772" t="s">
        <v>128</v>
      </c>
    </row>
    <row r="773" spans="1:9">
      <c r="A773" s="44" t="s">
        <v>76</v>
      </c>
      <c r="B773"/>
    </row>
    <row r="774" spans="1:9" ht="15.75">
      <c r="A774" s="29" t="s">
        <v>7</v>
      </c>
      <c r="B774"/>
    </row>
    <row r="775" spans="1:9">
      <c r="A775" s="44" t="s">
        <v>8</v>
      </c>
      <c r="B775" s="44" t="s">
        <v>4</v>
      </c>
      <c r="C775" s="44" t="s">
        <v>9</v>
      </c>
      <c r="D775" s="44" t="s">
        <v>6</v>
      </c>
      <c r="E775" s="44" t="s">
        <v>106</v>
      </c>
      <c r="F775" s="44" t="s">
        <v>10</v>
      </c>
      <c r="G775" s="44" t="s">
        <v>2</v>
      </c>
      <c r="H775" s="44" t="s">
        <v>5</v>
      </c>
      <c r="I775" s="44" t="s">
        <v>11</v>
      </c>
    </row>
    <row r="776" spans="1:9">
      <c r="A776" t="s">
        <v>451</v>
      </c>
      <c r="B776" t="s">
        <v>259</v>
      </c>
      <c r="C776">
        <v>1</v>
      </c>
      <c r="D776" t="s">
        <v>128</v>
      </c>
      <c r="E776" s="48"/>
      <c r="G776" t="s">
        <v>29</v>
      </c>
      <c r="H776" t="s">
        <v>18</v>
      </c>
    </row>
    <row r="777" spans="1:9">
      <c r="A777" t="s">
        <v>264</v>
      </c>
      <c r="B777" t="s">
        <v>265</v>
      </c>
      <c r="C777">
        <v>1.5029864785434452E-4</v>
      </c>
      <c r="D777" t="s">
        <v>13</v>
      </c>
      <c r="E777" t="s">
        <v>211</v>
      </c>
      <c r="G777" t="s">
        <v>140</v>
      </c>
      <c r="H777" t="s">
        <v>12</v>
      </c>
    </row>
    <row r="778" spans="1:9">
      <c r="A778" t="s">
        <v>266</v>
      </c>
      <c r="B778" t="s">
        <v>135</v>
      </c>
      <c r="C778">
        <v>0</v>
      </c>
      <c r="D778" t="s">
        <v>6</v>
      </c>
      <c r="E778" t="s">
        <v>211</v>
      </c>
      <c r="G778" t="s">
        <v>140</v>
      </c>
      <c r="H778" t="s">
        <v>12</v>
      </c>
    </row>
    <row r="779" spans="1:9">
      <c r="A779" t="s">
        <v>28</v>
      </c>
      <c r="B779" t="s">
        <v>20</v>
      </c>
      <c r="C779" s="38">
        <v>0.6575565843627571</v>
      </c>
      <c r="D779" t="s">
        <v>19</v>
      </c>
      <c r="E779" t="s">
        <v>211</v>
      </c>
      <c r="G779" t="s">
        <v>29</v>
      </c>
      <c r="H779" t="s">
        <v>12</v>
      </c>
    </row>
    <row r="780" spans="1:9">
      <c r="A780" t="s">
        <v>180</v>
      </c>
      <c r="B780" t="s">
        <v>181</v>
      </c>
      <c r="C780">
        <v>0</v>
      </c>
      <c r="D780" t="s">
        <v>13</v>
      </c>
      <c r="E780" t="s">
        <v>211</v>
      </c>
      <c r="G780" t="s">
        <v>49</v>
      </c>
      <c r="H780" t="s">
        <v>12</v>
      </c>
    </row>
    <row r="781" spans="1:9">
      <c r="A781" t="s">
        <v>267</v>
      </c>
      <c r="B781" t="s">
        <v>268</v>
      </c>
      <c r="C781">
        <v>0</v>
      </c>
      <c r="D781" t="s">
        <v>13</v>
      </c>
      <c r="E781" t="s">
        <v>211</v>
      </c>
      <c r="G781" t="s">
        <v>140</v>
      </c>
      <c r="H781" t="s">
        <v>12</v>
      </c>
    </row>
    <row r="782" spans="1:9">
      <c r="A782" t="s">
        <v>269</v>
      </c>
      <c r="B782" s="18" t="s">
        <v>197</v>
      </c>
      <c r="C782">
        <v>1.8787330981793062</v>
      </c>
      <c r="D782" s="43" t="s">
        <v>128</v>
      </c>
      <c r="G782" s="48" t="s">
        <v>29</v>
      </c>
      <c r="H782" t="s">
        <v>12</v>
      </c>
    </row>
    <row r="783" spans="1:9">
      <c r="A783" t="s">
        <v>218</v>
      </c>
      <c r="B783"/>
      <c r="C783">
        <v>9.0568692693203737E-4</v>
      </c>
      <c r="D783" t="s">
        <v>13</v>
      </c>
      <c r="E783" t="s">
        <v>109</v>
      </c>
      <c r="F783" t="s">
        <v>184</v>
      </c>
      <c r="H783" t="s">
        <v>15</v>
      </c>
    </row>
    <row r="784" spans="1:9">
      <c r="A784" t="s">
        <v>260</v>
      </c>
      <c r="B784"/>
      <c r="C784">
        <v>0</v>
      </c>
      <c r="D784" t="s">
        <v>46</v>
      </c>
      <c r="E784" t="s">
        <v>109</v>
      </c>
      <c r="F784" t="s">
        <v>184</v>
      </c>
      <c r="H784" t="s">
        <v>15</v>
      </c>
    </row>
    <row r="785" spans="1:9">
      <c r="A785" t="s">
        <v>261</v>
      </c>
      <c r="B785"/>
      <c r="C785">
        <v>0</v>
      </c>
      <c r="D785" t="s">
        <v>13</v>
      </c>
      <c r="E785" t="s">
        <v>109</v>
      </c>
      <c r="F785" t="s">
        <v>184</v>
      </c>
      <c r="H785" t="s">
        <v>15</v>
      </c>
    </row>
    <row r="786" spans="1:9">
      <c r="A786" t="s">
        <v>185</v>
      </c>
      <c r="B786"/>
      <c r="C786">
        <v>3.4834928759999994E-4</v>
      </c>
      <c r="D786" t="s">
        <v>13</v>
      </c>
      <c r="E786" t="s">
        <v>109</v>
      </c>
      <c r="F786" t="s">
        <v>184</v>
      </c>
      <c r="H786" t="s">
        <v>15</v>
      </c>
    </row>
    <row r="787" spans="1:9">
      <c r="A787" t="s">
        <v>262</v>
      </c>
      <c r="B787"/>
      <c r="C787">
        <v>0</v>
      </c>
      <c r="D787" t="s">
        <v>13</v>
      </c>
      <c r="E787" t="s">
        <v>109</v>
      </c>
      <c r="F787" t="s">
        <v>25</v>
      </c>
      <c r="H787" t="s">
        <v>15</v>
      </c>
    </row>
    <row r="788" spans="1:9">
      <c r="A788" t="s">
        <v>125</v>
      </c>
      <c r="B788"/>
      <c r="C788">
        <v>0</v>
      </c>
      <c r="D788" t="s">
        <v>13</v>
      </c>
      <c r="E788" t="s">
        <v>109</v>
      </c>
      <c r="F788" t="s">
        <v>263</v>
      </c>
      <c r="H788" t="s">
        <v>15</v>
      </c>
    </row>
    <row r="789" spans="1:9">
      <c r="A789" s="48" t="s">
        <v>38</v>
      </c>
      <c r="B789" s="48" t="s">
        <v>39</v>
      </c>
      <c r="C789" s="57">
        <v>0</v>
      </c>
      <c r="D789" s="48" t="s">
        <v>13</v>
      </c>
      <c r="E789" t="s">
        <v>211</v>
      </c>
      <c r="G789" s="48" t="s">
        <v>22</v>
      </c>
      <c r="H789" t="s">
        <v>12</v>
      </c>
    </row>
    <row r="790" spans="1:9">
      <c r="A790" s="48" t="s">
        <v>274</v>
      </c>
      <c r="B790" s="48" t="s">
        <v>275</v>
      </c>
      <c r="C790">
        <v>0</v>
      </c>
      <c r="D790" s="48" t="s">
        <v>13</v>
      </c>
      <c r="E790" t="s">
        <v>211</v>
      </c>
      <c r="G790" s="48" t="s">
        <v>140</v>
      </c>
      <c r="H790" t="s">
        <v>12</v>
      </c>
    </row>
    <row r="791" spans="1:9">
      <c r="A791" s="48" t="s">
        <v>276</v>
      </c>
      <c r="B791" s="48" t="s">
        <v>277</v>
      </c>
      <c r="C791">
        <v>0</v>
      </c>
      <c r="D791" s="48" t="s">
        <v>13</v>
      </c>
      <c r="E791" t="s">
        <v>211</v>
      </c>
      <c r="G791" s="48" t="s">
        <v>140</v>
      </c>
      <c r="H791" t="s">
        <v>12</v>
      </c>
    </row>
    <row r="792" spans="1:9">
      <c r="A792" t="s">
        <v>278</v>
      </c>
      <c r="B792" t="s">
        <v>279</v>
      </c>
      <c r="C792">
        <v>0</v>
      </c>
      <c r="D792" s="48" t="s">
        <v>13</v>
      </c>
      <c r="E792" t="s">
        <v>211</v>
      </c>
      <c r="G792" s="48" t="s">
        <v>140</v>
      </c>
      <c r="H792" t="s">
        <v>12</v>
      </c>
    </row>
    <row r="793" spans="1:9">
      <c r="A793" s="48" t="s">
        <v>280</v>
      </c>
      <c r="B793" s="49" t="s">
        <v>281</v>
      </c>
      <c r="C793">
        <v>0</v>
      </c>
      <c r="D793" s="48" t="s">
        <v>13</v>
      </c>
      <c r="E793" t="s">
        <v>211</v>
      </c>
      <c r="G793" s="48" t="s">
        <v>140</v>
      </c>
      <c r="H793" t="s">
        <v>12</v>
      </c>
    </row>
    <row r="794" spans="1:9">
      <c r="A794" s="48" t="s">
        <v>282</v>
      </c>
      <c r="B794" s="49" t="s">
        <v>283</v>
      </c>
      <c r="C794">
        <v>0</v>
      </c>
      <c r="D794" s="48" t="s">
        <v>13</v>
      </c>
      <c r="E794" t="s">
        <v>211</v>
      </c>
      <c r="G794" s="48" t="s">
        <v>140</v>
      </c>
      <c r="H794" t="s">
        <v>12</v>
      </c>
    </row>
    <row r="795" spans="1:9">
      <c r="A795" s="14" t="s">
        <v>284</v>
      </c>
      <c r="B795" s="49"/>
      <c r="C795">
        <v>0</v>
      </c>
      <c r="D795" s="48" t="s">
        <v>13</v>
      </c>
      <c r="E795" s="48" t="s">
        <v>109</v>
      </c>
      <c r="F795" t="s">
        <v>184</v>
      </c>
      <c r="H795" t="s">
        <v>15</v>
      </c>
    </row>
    <row r="796" spans="1:9">
      <c r="A796" s="14" t="s">
        <v>108</v>
      </c>
      <c r="B796" s="48"/>
      <c r="C796">
        <v>0</v>
      </c>
      <c r="D796" s="48" t="s">
        <v>13</v>
      </c>
      <c r="E796" s="48" t="s">
        <v>109</v>
      </c>
      <c r="F796" t="s">
        <v>184</v>
      </c>
      <c r="H796" t="s">
        <v>15</v>
      </c>
    </row>
    <row r="797" spans="1:9">
      <c r="A797" s="53"/>
      <c r="B797" s="54"/>
      <c r="C797" s="53"/>
      <c r="D797" s="53"/>
      <c r="E797" s="53"/>
      <c r="F797" s="53"/>
      <c r="G797" s="53"/>
      <c r="H797" s="53"/>
      <c r="I797" s="53"/>
    </row>
    <row r="798" spans="1:9">
      <c r="A798" s="41" t="s">
        <v>1</v>
      </c>
      <c r="B798" s="41" t="s">
        <v>429</v>
      </c>
    </row>
    <row r="799" spans="1:9">
      <c r="A799" s="44" t="s">
        <v>11</v>
      </c>
    </row>
    <row r="800" spans="1:9">
      <c r="A800" s="44" t="s">
        <v>2</v>
      </c>
      <c r="B800" s="18" t="s">
        <v>29</v>
      </c>
    </row>
    <row r="801" spans="1:21">
      <c r="A801" s="44" t="s">
        <v>3</v>
      </c>
      <c r="B801" s="18">
        <v>1</v>
      </c>
    </row>
    <row r="802" spans="1:21">
      <c r="A802" s="44" t="s">
        <v>4</v>
      </c>
      <c r="B802" s="18" t="s">
        <v>402</v>
      </c>
    </row>
    <row r="803" spans="1:21">
      <c r="A803" s="44" t="s">
        <v>6</v>
      </c>
      <c r="B803" t="s">
        <v>128</v>
      </c>
    </row>
    <row r="804" spans="1:21">
      <c r="A804" s="44" t="s">
        <v>76</v>
      </c>
      <c r="B804" s="18" t="s">
        <v>403</v>
      </c>
    </row>
    <row r="805" spans="1:21" ht="15.75">
      <c r="A805" s="29" t="s">
        <v>7</v>
      </c>
      <c r="B805" s="24"/>
      <c r="C805" s="24"/>
      <c r="D805" s="24"/>
      <c r="E805" s="24"/>
      <c r="F805" s="24"/>
      <c r="G805" s="24"/>
      <c r="H805" s="24"/>
      <c r="I805" s="24"/>
      <c r="J805" s="24"/>
      <c r="K805" s="24"/>
      <c r="L805" s="24"/>
      <c r="M805" s="24"/>
      <c r="N805" s="24"/>
      <c r="O805" s="24"/>
      <c r="P805" s="24"/>
      <c r="Q805" s="24"/>
      <c r="R805" s="24"/>
      <c r="S805" s="24"/>
      <c r="T805" s="24"/>
    </row>
    <row r="806" spans="1:21" s="44" customFormat="1">
      <c r="A806" s="44" t="s">
        <v>8</v>
      </c>
      <c r="B806" s="44" t="s">
        <v>4</v>
      </c>
      <c r="C806" s="44" t="s">
        <v>9</v>
      </c>
      <c r="D806" s="44" t="s">
        <v>6</v>
      </c>
      <c r="E806" s="41" t="s">
        <v>106</v>
      </c>
      <c r="F806" s="44" t="s">
        <v>10</v>
      </c>
      <c r="G806" s="44" t="s">
        <v>2</v>
      </c>
      <c r="H806" s="44" t="s">
        <v>5</v>
      </c>
      <c r="I806" s="44" t="s">
        <v>11</v>
      </c>
      <c r="J806" s="44" t="s">
        <v>404</v>
      </c>
      <c r="K806" s="44" t="s">
        <v>405</v>
      </c>
      <c r="L806" s="44" t="s">
        <v>406</v>
      </c>
      <c r="M806" s="44" t="s">
        <v>407</v>
      </c>
      <c r="N806" s="44" t="s">
        <v>408</v>
      </c>
      <c r="O806" s="44" t="s">
        <v>409</v>
      </c>
      <c r="P806" s="44" t="s">
        <v>410</v>
      </c>
      <c r="Q806" s="44" t="s">
        <v>411</v>
      </c>
      <c r="R806" s="44" t="s">
        <v>412</v>
      </c>
      <c r="S806" s="44" t="s">
        <v>413</v>
      </c>
      <c r="T806" s="44" t="s">
        <v>414</v>
      </c>
      <c r="U806" s="44" t="s">
        <v>415</v>
      </c>
    </row>
    <row r="807" spans="1:21">
      <c r="A807" t="s">
        <v>429</v>
      </c>
      <c r="B807" t="s">
        <v>402</v>
      </c>
      <c r="C807">
        <v>1</v>
      </c>
      <c r="D807" t="s">
        <v>128</v>
      </c>
      <c r="G807" t="s">
        <v>29</v>
      </c>
      <c r="H807" t="s">
        <v>18</v>
      </c>
      <c r="I807" t="s">
        <v>432</v>
      </c>
      <c r="U807" t="s">
        <v>416</v>
      </c>
    </row>
    <row r="808" spans="1:21">
      <c r="A808" t="s">
        <v>417</v>
      </c>
      <c r="B808" t="s">
        <v>418</v>
      </c>
      <c r="C808">
        <v>2.8299989989246005E-7</v>
      </c>
      <c r="D808" t="s">
        <v>6</v>
      </c>
      <c r="G808" t="s">
        <v>49</v>
      </c>
      <c r="H808" t="s">
        <v>12</v>
      </c>
      <c r="I808" t="s">
        <v>432</v>
      </c>
      <c r="J808">
        <v>2</v>
      </c>
      <c r="K808">
        <v>-14.745139500000001</v>
      </c>
      <c r="L808">
        <v>1.05</v>
      </c>
      <c r="M808">
        <v>1.2</v>
      </c>
      <c r="N808">
        <v>1.03</v>
      </c>
      <c r="O808">
        <v>1.01</v>
      </c>
      <c r="P808">
        <v>1.2</v>
      </c>
      <c r="Q808">
        <v>1.2</v>
      </c>
      <c r="R808">
        <v>3</v>
      </c>
      <c r="S808">
        <v>0.57228175400000003</v>
      </c>
    </row>
    <row r="809" spans="1:21">
      <c r="A809" s="48" t="s">
        <v>452</v>
      </c>
      <c r="B809" s="48" t="s">
        <v>452</v>
      </c>
      <c r="C809">
        <v>1.9717499999999999</v>
      </c>
      <c r="D809" t="s">
        <v>13</v>
      </c>
      <c r="G809" t="s">
        <v>29</v>
      </c>
      <c r="H809" t="s">
        <v>12</v>
      </c>
      <c r="I809" t="s">
        <v>430</v>
      </c>
    </row>
    <row r="810" spans="1:21">
      <c r="A810" t="s">
        <v>172</v>
      </c>
      <c r="B810" t="s">
        <v>57</v>
      </c>
      <c r="C810">
        <v>0.38744588744588737</v>
      </c>
      <c r="D810" t="s">
        <v>13</v>
      </c>
      <c r="G810" t="s">
        <v>29</v>
      </c>
      <c r="H810" t="s">
        <v>12</v>
      </c>
      <c r="I810" t="s">
        <v>430</v>
      </c>
    </row>
    <row r="811" spans="1:21">
      <c r="A811" t="s">
        <v>419</v>
      </c>
      <c r="B811" t="s">
        <v>420</v>
      </c>
      <c r="C811">
        <v>5.9999993977199999E-5</v>
      </c>
      <c r="D811" t="s">
        <v>13</v>
      </c>
      <c r="G811" t="s">
        <v>49</v>
      </c>
      <c r="H811" t="s">
        <v>12</v>
      </c>
      <c r="I811" t="s">
        <v>432</v>
      </c>
      <c r="J811">
        <v>2</v>
      </c>
      <c r="K811">
        <v>-9.3884865570000002</v>
      </c>
      <c r="L811">
        <v>1.05</v>
      </c>
      <c r="M811">
        <v>1.2</v>
      </c>
      <c r="N811">
        <v>1.03</v>
      </c>
      <c r="O811">
        <v>1.01</v>
      </c>
      <c r="P811">
        <v>1.2</v>
      </c>
      <c r="Q811">
        <v>1.2</v>
      </c>
      <c r="R811">
        <v>1.05</v>
      </c>
      <c r="S811">
        <v>0.162370827</v>
      </c>
    </row>
    <row r="812" spans="1:21">
      <c r="A812" t="s">
        <v>130</v>
      </c>
      <c r="C812">
        <v>1.6132499999999999</v>
      </c>
      <c r="D812" t="s">
        <v>128</v>
      </c>
      <c r="F812" t="s">
        <v>302</v>
      </c>
      <c r="H812" t="s">
        <v>15</v>
      </c>
      <c r="I812" t="s">
        <v>430</v>
      </c>
    </row>
    <row r="813" spans="1:21">
      <c r="A813" t="s">
        <v>260</v>
      </c>
      <c r="B813"/>
      <c r="C813">
        <v>11.333081249999999</v>
      </c>
      <c r="D813" t="s">
        <v>46</v>
      </c>
      <c r="F813" t="s">
        <v>184</v>
      </c>
      <c r="H813" t="s">
        <v>15</v>
      </c>
      <c r="I813" t="s">
        <v>431</v>
      </c>
    </row>
    <row r="814" spans="1:21">
      <c r="A814" s="53"/>
      <c r="B814" s="54"/>
      <c r="C814" s="53"/>
      <c r="D814" s="53"/>
      <c r="E814" s="53"/>
      <c r="F814" s="53"/>
      <c r="G814" s="53"/>
      <c r="H814" s="53"/>
      <c r="I814" s="53"/>
    </row>
    <row r="815" spans="1:21" ht="15.75">
      <c r="A815" s="41" t="s">
        <v>1</v>
      </c>
      <c r="B815" s="41" t="s">
        <v>417</v>
      </c>
      <c r="C815" s="24"/>
      <c r="D815" s="24"/>
      <c r="E815" s="24"/>
      <c r="F815" s="24"/>
      <c r="G815" s="24"/>
      <c r="H815" s="24"/>
      <c r="I815" s="24"/>
      <c r="J815" s="24"/>
      <c r="K815" s="24"/>
      <c r="L815" s="24"/>
      <c r="M815" s="24"/>
      <c r="N815" s="24"/>
      <c r="O815" s="24"/>
      <c r="P815" s="24"/>
      <c r="Q815" s="24"/>
      <c r="R815" s="24"/>
      <c r="S815" s="24"/>
      <c r="T815" s="24"/>
    </row>
    <row r="816" spans="1:21" ht="15.75">
      <c r="A816" s="44" t="s">
        <v>11</v>
      </c>
      <c r="B816" s="41"/>
      <c r="C816" s="24"/>
      <c r="D816" s="24"/>
      <c r="E816" s="24"/>
      <c r="F816" s="24"/>
      <c r="G816" s="24"/>
      <c r="H816" s="24"/>
      <c r="I816" s="24"/>
      <c r="J816" s="24"/>
      <c r="K816" s="24"/>
      <c r="L816" s="24"/>
      <c r="M816" s="24"/>
      <c r="N816" s="24"/>
      <c r="O816" s="24"/>
      <c r="P816" s="24"/>
      <c r="Q816" s="24"/>
      <c r="R816" s="24"/>
      <c r="S816" s="24"/>
      <c r="T816" s="24"/>
    </row>
    <row r="817" spans="1:21" ht="15.75">
      <c r="A817" s="44" t="s">
        <v>2</v>
      </c>
      <c r="B817" t="s">
        <v>49</v>
      </c>
      <c r="C817" s="24"/>
      <c r="D817" s="24"/>
      <c r="E817" s="24"/>
      <c r="F817" s="24"/>
      <c r="G817" s="24"/>
      <c r="H817" s="24"/>
      <c r="I817" s="24"/>
      <c r="J817" s="24"/>
      <c r="K817" s="24"/>
      <c r="L817" s="24"/>
      <c r="M817" s="24"/>
      <c r="N817" s="24"/>
      <c r="O817" s="24"/>
      <c r="P817" s="24"/>
      <c r="Q817" s="24"/>
      <c r="R817" s="24"/>
      <c r="S817" s="24"/>
      <c r="T817" s="24"/>
    </row>
    <row r="818" spans="1:21" ht="15.75">
      <c r="A818" s="44" t="s">
        <v>3</v>
      </c>
      <c r="B818">
        <v>1</v>
      </c>
      <c r="C818" s="24"/>
      <c r="D818" s="24"/>
      <c r="E818" s="24"/>
      <c r="F818" s="24"/>
      <c r="G818" s="24"/>
      <c r="H818" s="24"/>
      <c r="I818" s="24"/>
      <c r="J818" s="24"/>
      <c r="K818" s="24"/>
      <c r="L818" s="24"/>
      <c r="M818" s="24"/>
      <c r="N818" s="24"/>
      <c r="O818" s="24"/>
      <c r="P818" s="24"/>
      <c r="Q818" s="24"/>
      <c r="R818" s="24"/>
      <c r="S818" s="24"/>
      <c r="T818" s="24"/>
    </row>
    <row r="819" spans="1:21" ht="15.75">
      <c r="A819" s="44" t="s">
        <v>4</v>
      </c>
      <c r="B819" t="s">
        <v>418</v>
      </c>
      <c r="C819" s="24"/>
      <c r="D819" s="24"/>
      <c r="E819" s="24"/>
      <c r="F819" s="24"/>
      <c r="G819" s="24"/>
      <c r="H819" s="24"/>
      <c r="I819" s="24"/>
      <c r="J819" s="24"/>
      <c r="K819" s="24"/>
      <c r="L819" s="24"/>
      <c r="M819" s="24"/>
      <c r="N819" s="24"/>
      <c r="O819" s="24"/>
      <c r="P819" s="24"/>
      <c r="Q819" s="24"/>
      <c r="R819" s="24"/>
      <c r="S819" s="24"/>
      <c r="T819" s="24"/>
    </row>
    <row r="820" spans="1:21" ht="15.75">
      <c r="A820" s="44" t="s">
        <v>6</v>
      </c>
      <c r="B820" t="s">
        <v>6</v>
      </c>
      <c r="C820" s="24"/>
      <c r="D820" s="24"/>
      <c r="E820" s="24"/>
      <c r="F820" s="24"/>
      <c r="G820" s="24"/>
      <c r="H820" s="24"/>
      <c r="I820" s="24"/>
      <c r="J820" s="24"/>
      <c r="K820" s="24"/>
      <c r="L820" s="24"/>
      <c r="M820" s="24"/>
      <c r="N820" s="24"/>
      <c r="O820" s="24"/>
      <c r="P820" s="24"/>
      <c r="Q820" s="24"/>
      <c r="R820" s="24"/>
      <c r="S820" s="24"/>
      <c r="T820" s="24"/>
    </row>
    <row r="821" spans="1:21" ht="15.75">
      <c r="A821" s="44" t="s">
        <v>76</v>
      </c>
      <c r="B821" t="s">
        <v>403</v>
      </c>
      <c r="C821" s="24"/>
      <c r="D821" s="24"/>
      <c r="E821" s="24"/>
      <c r="F821" s="24"/>
      <c r="G821" s="24"/>
      <c r="H821" s="24"/>
      <c r="I821" s="24"/>
      <c r="J821" s="24"/>
      <c r="K821" s="24"/>
      <c r="L821" s="24"/>
      <c r="M821" s="24"/>
      <c r="N821" s="24"/>
      <c r="O821" s="24"/>
      <c r="P821" s="24"/>
      <c r="Q821" s="24"/>
      <c r="R821" s="24"/>
      <c r="S821" s="24"/>
      <c r="T821" s="24"/>
    </row>
    <row r="822" spans="1:21" ht="15.75">
      <c r="A822" s="29" t="s">
        <v>7</v>
      </c>
      <c r="B822" s="24"/>
    </row>
    <row r="823" spans="1:21">
      <c r="A823" s="44" t="s">
        <v>8</v>
      </c>
      <c r="B823" s="44" t="s">
        <v>4</v>
      </c>
      <c r="C823" s="44" t="s">
        <v>9</v>
      </c>
      <c r="D823" s="44" t="s">
        <v>6</v>
      </c>
      <c r="E823" s="41" t="s">
        <v>106</v>
      </c>
      <c r="F823" s="44" t="s">
        <v>10</v>
      </c>
      <c r="G823" s="44" t="s">
        <v>2</v>
      </c>
      <c r="H823" s="44" t="s">
        <v>5</v>
      </c>
      <c r="I823" s="44" t="s">
        <v>11</v>
      </c>
      <c r="J823" s="44" t="s">
        <v>404</v>
      </c>
      <c r="K823" s="44" t="s">
        <v>405</v>
      </c>
      <c r="L823" s="44" t="s">
        <v>406</v>
      </c>
      <c r="M823" s="44" t="s">
        <v>407</v>
      </c>
      <c r="N823" s="44" t="s">
        <v>408</v>
      </c>
      <c r="O823" s="44" t="s">
        <v>409</v>
      </c>
      <c r="P823" s="44" t="s">
        <v>410</v>
      </c>
      <c r="Q823" s="44" t="s">
        <v>411</v>
      </c>
      <c r="R823" s="44" t="s">
        <v>412</v>
      </c>
      <c r="S823" s="44" t="s">
        <v>413</v>
      </c>
      <c r="T823" s="44" t="s">
        <v>414</v>
      </c>
      <c r="U823" s="44" t="s">
        <v>415</v>
      </c>
    </row>
    <row r="824" spans="1:21" s="44" customFormat="1">
      <c r="A824" t="s">
        <v>417</v>
      </c>
      <c r="B824" t="s">
        <v>418</v>
      </c>
      <c r="C824">
        <v>1</v>
      </c>
      <c r="D824" t="s">
        <v>6</v>
      </c>
      <c r="F824"/>
      <c r="G824" t="s">
        <v>49</v>
      </c>
      <c r="H824" t="s">
        <v>18</v>
      </c>
      <c r="I824"/>
      <c r="J824"/>
      <c r="K824"/>
      <c r="L824"/>
      <c r="M824"/>
      <c r="N824"/>
      <c r="O824"/>
      <c r="P824"/>
      <c r="Q824"/>
      <c r="R824"/>
      <c r="S824"/>
      <c r="T824"/>
      <c r="U824" t="s">
        <v>421</v>
      </c>
    </row>
    <row r="825" spans="1:21">
      <c r="A825" t="s">
        <v>422</v>
      </c>
      <c r="B825" t="s">
        <v>423</v>
      </c>
      <c r="C825">
        <v>5940</v>
      </c>
      <c r="D825" t="s">
        <v>13</v>
      </c>
      <c r="E825" t="s">
        <v>211</v>
      </c>
      <c r="G825" t="s">
        <v>140</v>
      </c>
      <c r="H825" t="s">
        <v>12</v>
      </c>
      <c r="J825">
        <v>2</v>
      </c>
      <c r="K825">
        <v>8.6894644119999995</v>
      </c>
      <c r="L825">
        <v>1.5</v>
      </c>
      <c r="M825">
        <v>1.2</v>
      </c>
      <c r="N825">
        <v>1.5</v>
      </c>
      <c r="O825">
        <v>1.1000000000000001</v>
      </c>
      <c r="P825">
        <v>2</v>
      </c>
      <c r="Q825">
        <v>1.2</v>
      </c>
      <c r="R825">
        <v>1.05</v>
      </c>
      <c r="S825">
        <v>0.47095746399999999</v>
      </c>
    </row>
    <row r="826" spans="1:21">
      <c r="A826" t="s">
        <v>424</v>
      </c>
      <c r="B826" t="s">
        <v>425</v>
      </c>
      <c r="C826">
        <v>660</v>
      </c>
      <c r="D826" t="s">
        <v>13</v>
      </c>
      <c r="E826" t="s">
        <v>211</v>
      </c>
      <c r="G826" t="s">
        <v>140</v>
      </c>
      <c r="H826" t="s">
        <v>12</v>
      </c>
      <c r="J826">
        <v>2</v>
      </c>
      <c r="K826">
        <v>6.4922398350000003</v>
      </c>
      <c r="L826">
        <v>1.5</v>
      </c>
      <c r="M826">
        <v>1.2</v>
      </c>
      <c r="N826">
        <v>1.5</v>
      </c>
      <c r="O826">
        <v>1.1000000000000001</v>
      </c>
      <c r="P826">
        <v>2</v>
      </c>
      <c r="Q826">
        <v>1.2</v>
      </c>
      <c r="R826">
        <v>1.05</v>
      </c>
      <c r="S826">
        <v>0.47095746399999999</v>
      </c>
    </row>
    <row r="827" spans="1:21">
      <c r="A827" s="53"/>
      <c r="B827" s="54"/>
      <c r="C827" s="53"/>
      <c r="D827" s="53"/>
      <c r="E827" s="53"/>
      <c r="F827" s="53"/>
      <c r="G827" s="53"/>
      <c r="H827" s="53"/>
      <c r="I827" s="53"/>
    </row>
    <row r="828" spans="1:21" ht="15.75">
      <c r="A828" s="41" t="s">
        <v>1</v>
      </c>
      <c r="B828" s="41" t="s">
        <v>419</v>
      </c>
      <c r="C828" s="24"/>
      <c r="D828" s="24"/>
      <c r="E828" s="24"/>
      <c r="F828" s="24"/>
      <c r="G828" s="24"/>
      <c r="H828" s="24"/>
      <c r="I828" s="24"/>
      <c r="J828" s="24"/>
      <c r="K828" s="24"/>
      <c r="L828" s="24"/>
      <c r="M828" s="24"/>
      <c r="N828" s="24"/>
      <c r="O828" s="24"/>
      <c r="P828" s="24"/>
      <c r="Q828" s="24"/>
      <c r="R828" s="24"/>
      <c r="S828" s="24"/>
      <c r="T828" s="24"/>
    </row>
    <row r="829" spans="1:21" ht="15.75">
      <c r="A829" s="44" t="s">
        <v>11</v>
      </c>
      <c r="B829"/>
      <c r="C829" s="24"/>
      <c r="D829" s="24"/>
      <c r="F829" s="24"/>
      <c r="G829" s="24"/>
      <c r="H829" s="24"/>
      <c r="I829" s="24"/>
      <c r="J829" s="24"/>
      <c r="K829" s="24"/>
      <c r="L829" s="24"/>
      <c r="M829" s="24"/>
      <c r="N829" s="24"/>
      <c r="O829" s="24"/>
      <c r="P829" s="24"/>
      <c r="Q829" s="24"/>
      <c r="R829" s="24"/>
      <c r="S829" s="24"/>
      <c r="T829" s="24"/>
    </row>
    <row r="830" spans="1:21" ht="15.75">
      <c r="A830" s="44" t="s">
        <v>2</v>
      </c>
      <c r="B830" t="s">
        <v>49</v>
      </c>
      <c r="C830" s="24"/>
      <c r="D830" s="24"/>
      <c r="F830" s="24"/>
      <c r="G830" s="24"/>
      <c r="H830" s="24"/>
      <c r="I830" s="24"/>
      <c r="J830" s="24"/>
      <c r="K830" s="24"/>
      <c r="L830" s="24"/>
      <c r="M830" s="24"/>
      <c r="N830" s="24"/>
      <c r="O830" s="24"/>
      <c r="P830" s="24"/>
      <c r="Q830" s="24"/>
      <c r="R830" s="24"/>
      <c r="S830" s="24"/>
      <c r="T830" s="24"/>
    </row>
    <row r="831" spans="1:21" ht="15.75">
      <c r="A831" s="44" t="s">
        <v>3</v>
      </c>
      <c r="B831">
        <v>1</v>
      </c>
      <c r="C831" s="24"/>
      <c r="D831" s="24"/>
      <c r="F831" s="24"/>
      <c r="G831" s="24"/>
      <c r="H831" s="24"/>
      <c r="I831" s="24"/>
      <c r="J831" s="24"/>
      <c r="K831" s="24"/>
      <c r="L831" s="24"/>
      <c r="M831" s="24"/>
      <c r="N831" s="24"/>
      <c r="O831" s="24"/>
      <c r="P831" s="24"/>
      <c r="Q831" s="24"/>
      <c r="R831" s="24"/>
      <c r="S831" s="24"/>
      <c r="T831" s="24"/>
    </row>
    <row r="832" spans="1:21" ht="15.75">
      <c r="A832" s="44" t="s">
        <v>4</v>
      </c>
      <c r="B832" t="s">
        <v>420</v>
      </c>
      <c r="C832" s="24"/>
      <c r="D832" s="24"/>
      <c r="F832" s="24"/>
      <c r="G832" s="24"/>
      <c r="H832" s="24"/>
      <c r="I832" s="24"/>
      <c r="J832" s="24"/>
      <c r="K832" s="24"/>
      <c r="L832" s="24"/>
      <c r="M832" s="24"/>
      <c r="N832" s="24"/>
      <c r="O832" s="24"/>
      <c r="P832" s="24"/>
      <c r="Q832" s="24"/>
      <c r="R832" s="24"/>
      <c r="S832" s="24"/>
      <c r="T832" s="24"/>
    </row>
    <row r="833" spans="1:21" ht="15.75">
      <c r="A833" s="44" t="s">
        <v>6</v>
      </c>
      <c r="B833" t="s">
        <v>13</v>
      </c>
      <c r="C833" s="24"/>
      <c r="D833" s="24"/>
      <c r="E833" s="24"/>
      <c r="F833" s="24"/>
      <c r="G833" s="24"/>
      <c r="H833" s="24"/>
      <c r="I833" s="24"/>
      <c r="J833" s="24"/>
      <c r="K833" s="24"/>
      <c r="L833" s="24"/>
      <c r="M833" s="24"/>
      <c r="N833" s="24"/>
      <c r="O833" s="24"/>
      <c r="P833" s="24"/>
      <c r="Q833" s="24"/>
      <c r="R833" s="24"/>
      <c r="S833" s="24"/>
      <c r="T833" s="24"/>
    </row>
    <row r="834" spans="1:21" ht="15.75">
      <c r="A834" s="44" t="s">
        <v>76</v>
      </c>
      <c r="B834" t="s">
        <v>426</v>
      </c>
      <c r="C834" s="24"/>
      <c r="D834" s="24"/>
      <c r="E834" s="24"/>
      <c r="F834" s="24"/>
      <c r="G834" s="24"/>
      <c r="H834" s="24"/>
      <c r="I834" s="24"/>
      <c r="J834" s="24"/>
      <c r="K834" s="24"/>
      <c r="L834" s="24"/>
      <c r="M834" s="24"/>
      <c r="N834" s="24"/>
      <c r="O834" s="24"/>
      <c r="P834" s="24"/>
      <c r="Q834" s="24"/>
      <c r="R834" s="24"/>
      <c r="S834" s="24"/>
      <c r="T834" s="24"/>
    </row>
    <row r="835" spans="1:21" ht="15.75">
      <c r="A835" s="29" t="s">
        <v>7</v>
      </c>
      <c r="B835" s="24"/>
    </row>
    <row r="836" spans="1:21" s="44" customFormat="1">
      <c r="A836" s="44" t="s">
        <v>8</v>
      </c>
      <c r="B836" s="44" t="s">
        <v>4</v>
      </c>
      <c r="C836" s="44" t="s">
        <v>9</v>
      </c>
      <c r="D836" s="44" t="s">
        <v>6</v>
      </c>
      <c r="E836" s="41" t="s">
        <v>106</v>
      </c>
      <c r="F836" s="44" t="s">
        <v>10</v>
      </c>
      <c r="G836" s="44" t="s">
        <v>2</v>
      </c>
      <c r="H836" s="44" t="s">
        <v>5</v>
      </c>
      <c r="I836" s="44" t="s">
        <v>11</v>
      </c>
      <c r="J836" s="44" t="s">
        <v>404</v>
      </c>
      <c r="K836" s="44" t="s">
        <v>405</v>
      </c>
      <c r="L836" s="44" t="s">
        <v>406</v>
      </c>
      <c r="M836" s="44" t="s">
        <v>407</v>
      </c>
      <c r="N836" s="44" t="s">
        <v>408</v>
      </c>
      <c r="O836" s="44" t="s">
        <v>409</v>
      </c>
      <c r="P836" s="44" t="s">
        <v>410</v>
      </c>
      <c r="Q836" s="44" t="s">
        <v>411</v>
      </c>
      <c r="R836" s="44" t="s">
        <v>412</v>
      </c>
      <c r="S836" s="44" t="s">
        <v>413</v>
      </c>
      <c r="T836" s="44" t="s">
        <v>414</v>
      </c>
      <c r="U836" s="44" t="s">
        <v>415</v>
      </c>
    </row>
    <row r="837" spans="1:21">
      <c r="A837" t="s">
        <v>419</v>
      </c>
      <c r="B837" t="s">
        <v>420</v>
      </c>
      <c r="C837">
        <v>1</v>
      </c>
      <c r="D837" t="s">
        <v>13</v>
      </c>
      <c r="G837" t="s">
        <v>49</v>
      </c>
      <c r="H837" t="s">
        <v>18</v>
      </c>
      <c r="U837" t="s">
        <v>421</v>
      </c>
    </row>
    <row r="838" spans="1:21">
      <c r="A838" t="s">
        <v>427</v>
      </c>
      <c r="B838" t="s">
        <v>428</v>
      </c>
      <c r="C838">
        <v>0.81</v>
      </c>
      <c r="D838" t="s">
        <v>13</v>
      </c>
      <c r="E838" t="s">
        <v>211</v>
      </c>
      <c r="G838" t="s">
        <v>140</v>
      </c>
      <c r="H838" t="s">
        <v>12</v>
      </c>
      <c r="J838">
        <v>2</v>
      </c>
      <c r="K838">
        <v>-0.210721031</v>
      </c>
      <c r="L838">
        <v>1.5</v>
      </c>
      <c r="M838">
        <v>1.2</v>
      </c>
      <c r="N838">
        <v>1.5</v>
      </c>
      <c r="O838">
        <v>1.1000000000000001</v>
      </c>
      <c r="P838">
        <v>2</v>
      </c>
      <c r="Q838">
        <v>1.2</v>
      </c>
      <c r="R838">
        <v>1.05</v>
      </c>
      <c r="S838">
        <v>0.47095746399999999</v>
      </c>
    </row>
    <row r="839" spans="1:21">
      <c r="A839" s="34" t="s">
        <v>150</v>
      </c>
      <c r="B839" t="s">
        <v>151</v>
      </c>
      <c r="C839">
        <v>0.19</v>
      </c>
      <c r="D839" t="s">
        <v>13</v>
      </c>
      <c r="E839" t="s">
        <v>211</v>
      </c>
      <c r="G839" t="s">
        <v>140</v>
      </c>
      <c r="H839" t="s">
        <v>12</v>
      </c>
      <c r="J839">
        <v>2</v>
      </c>
      <c r="K839">
        <v>-1.660731207</v>
      </c>
      <c r="L839">
        <v>1.5</v>
      </c>
      <c r="M839">
        <v>1.2</v>
      </c>
      <c r="N839">
        <v>1.5</v>
      </c>
      <c r="O839">
        <v>1.1000000000000001</v>
      </c>
      <c r="P839">
        <v>2</v>
      </c>
      <c r="Q839">
        <v>1.2</v>
      </c>
      <c r="R839">
        <v>1.05</v>
      </c>
      <c r="S839">
        <v>0.47095746399999999</v>
      </c>
    </row>
    <row r="840" spans="1:21">
      <c r="A840" s="53"/>
      <c r="B840" s="54"/>
      <c r="C840" s="53"/>
      <c r="D840" s="53"/>
      <c r="E840" s="53"/>
      <c r="F840" s="53"/>
      <c r="G840" s="53"/>
      <c r="H840" s="53"/>
      <c r="I840" s="53"/>
    </row>
    <row r="841" spans="1:21" s="43" customFormat="1">
      <c r="A841" s="41" t="s">
        <v>1</v>
      </c>
      <c r="B841" s="41" t="s">
        <v>452</v>
      </c>
      <c r="C841" s="42"/>
    </row>
    <row r="842" spans="1:21" s="43" customFormat="1">
      <c r="A842" s="41" t="s">
        <v>11</v>
      </c>
      <c r="B842" s="43" t="s">
        <v>453</v>
      </c>
      <c r="C842" s="42"/>
    </row>
    <row r="843" spans="1:21" s="43" customFormat="1">
      <c r="A843" s="41" t="s">
        <v>2</v>
      </c>
      <c r="B843" s="43" t="s">
        <v>29</v>
      </c>
      <c r="C843" s="42"/>
    </row>
    <row r="844" spans="1:21" s="43" customFormat="1">
      <c r="A844" s="44" t="s">
        <v>4</v>
      </c>
      <c r="B844" s="48" t="s">
        <v>452</v>
      </c>
      <c r="C844" s="42"/>
    </row>
    <row r="845" spans="1:21" s="43" customFormat="1">
      <c r="A845" s="41" t="s">
        <v>3</v>
      </c>
      <c r="B845" s="45">
        <v>1</v>
      </c>
      <c r="C845" s="42"/>
      <c r="D845" s="46"/>
    </row>
    <row r="846" spans="1:21" s="43" customFormat="1">
      <c r="A846" s="41" t="s">
        <v>6</v>
      </c>
      <c r="B846" s="43" t="s">
        <v>13</v>
      </c>
      <c r="C846" s="42"/>
      <c r="D846" s="46"/>
    </row>
    <row r="847" spans="1:21" s="43" customFormat="1">
      <c r="A847" s="41" t="s">
        <v>76</v>
      </c>
      <c r="B847" s="43" t="s">
        <v>446</v>
      </c>
      <c r="C847" s="42"/>
      <c r="D847" s="46"/>
    </row>
    <row r="848" spans="1:21" s="43" customFormat="1">
      <c r="A848" s="41" t="s">
        <v>7</v>
      </c>
      <c r="C848" s="42"/>
    </row>
    <row r="849" spans="1:11" s="43" customFormat="1">
      <c r="A849" s="41" t="s">
        <v>8</v>
      </c>
      <c r="B849" s="41" t="s">
        <v>4</v>
      </c>
      <c r="C849" s="47" t="s">
        <v>9</v>
      </c>
      <c r="D849" s="41" t="s">
        <v>6</v>
      </c>
      <c r="E849" s="41" t="s">
        <v>106</v>
      </c>
      <c r="F849" s="41" t="s">
        <v>10</v>
      </c>
      <c r="G849" s="41" t="s">
        <v>2</v>
      </c>
      <c r="H849" s="41" t="s">
        <v>5</v>
      </c>
      <c r="I849" s="41" t="s">
        <v>11</v>
      </c>
    </row>
    <row r="850" spans="1:11" s="43" customFormat="1">
      <c r="A850" s="48" t="s">
        <v>452</v>
      </c>
      <c r="B850" s="48" t="s">
        <v>452</v>
      </c>
      <c r="C850" s="65">
        <v>1</v>
      </c>
      <c r="D850" s="43" t="s">
        <v>13</v>
      </c>
      <c r="E850" s="48"/>
      <c r="F850" s="48"/>
      <c r="G850" s="48" t="s">
        <v>29</v>
      </c>
      <c r="H850" s="48" t="s">
        <v>18</v>
      </c>
      <c r="I850" s="48"/>
      <c r="J850" s="48"/>
      <c r="K850" s="48"/>
    </row>
    <row r="851" spans="1:11" s="43" customFormat="1">
      <c r="A851" s="48" t="s">
        <v>454</v>
      </c>
      <c r="B851" s="48" t="s">
        <v>454</v>
      </c>
      <c r="C851" s="65">
        <v>1</v>
      </c>
      <c r="D851" s="43" t="s">
        <v>13</v>
      </c>
      <c r="E851" s="48"/>
      <c r="F851" s="48"/>
      <c r="G851" s="48" t="s">
        <v>29</v>
      </c>
      <c r="H851" t="s">
        <v>12</v>
      </c>
      <c r="I851" s="48" t="s">
        <v>457</v>
      </c>
      <c r="J851" s="48"/>
      <c r="K851" s="48"/>
    </row>
    <row r="852" spans="1:11" s="43" customFormat="1">
      <c r="A852" s="48" t="s">
        <v>45</v>
      </c>
      <c r="B852" s="48" t="s">
        <v>43</v>
      </c>
      <c r="C852" s="66">
        <v>0.38400000000000001</v>
      </c>
      <c r="D852" t="s">
        <v>19</v>
      </c>
      <c r="E852" t="s">
        <v>211</v>
      </c>
      <c r="F852"/>
      <c r="G852" t="s">
        <v>29</v>
      </c>
      <c r="H852" t="s">
        <v>12</v>
      </c>
      <c r="I852"/>
      <c r="J852" s="48"/>
      <c r="K852" s="48"/>
    </row>
    <row r="853" spans="1:11" s="43" customFormat="1">
      <c r="A853" t="s">
        <v>274</v>
      </c>
      <c r="B853" t="s">
        <v>275</v>
      </c>
      <c r="C853" s="18">
        <v>2.8400000000000002E-4</v>
      </c>
      <c r="D853" t="s">
        <v>13</v>
      </c>
      <c r="E853" t="s">
        <v>211</v>
      </c>
      <c r="F853"/>
      <c r="G853" t="s">
        <v>140</v>
      </c>
      <c r="H853" t="s">
        <v>12</v>
      </c>
      <c r="I853"/>
      <c r="J853" s="48"/>
      <c r="K853" s="48"/>
    </row>
    <row r="854" spans="1:11" s="43" customFormat="1">
      <c r="A854" t="s">
        <v>433</v>
      </c>
      <c r="B854" t="s">
        <v>434</v>
      </c>
      <c r="C854" s="18">
        <v>3.0400000000000002E-4</v>
      </c>
      <c r="D854" t="s">
        <v>13</v>
      </c>
      <c r="E854" t="s">
        <v>211</v>
      </c>
      <c r="F854"/>
      <c r="G854" t="s">
        <v>140</v>
      </c>
      <c r="H854" t="s">
        <v>12</v>
      </c>
      <c r="I854"/>
      <c r="J854" s="48"/>
      <c r="K854" s="48"/>
    </row>
    <row r="855" spans="1:11" s="43" customFormat="1">
      <c r="A855" t="s">
        <v>276</v>
      </c>
      <c r="B855" t="s">
        <v>277</v>
      </c>
      <c r="C855" s="18">
        <v>8.2600000000000002E-5</v>
      </c>
      <c r="D855" t="s">
        <v>13</v>
      </c>
      <c r="E855" t="s">
        <v>211</v>
      </c>
      <c r="F855"/>
      <c r="G855" t="s">
        <v>140</v>
      </c>
      <c r="H855" t="s">
        <v>12</v>
      </c>
      <c r="I855"/>
      <c r="J855" s="48"/>
      <c r="K855" s="48"/>
    </row>
    <row r="856" spans="1:11" s="43" customFormat="1">
      <c r="A856" t="s">
        <v>435</v>
      </c>
      <c r="B856" t="s">
        <v>436</v>
      </c>
      <c r="C856" s="18">
        <v>8.2699999999999996E-11</v>
      </c>
      <c r="D856" t="s">
        <v>6</v>
      </c>
      <c r="E856" t="s">
        <v>211</v>
      </c>
      <c r="F856"/>
      <c r="G856" t="s">
        <v>49</v>
      </c>
      <c r="H856" t="s">
        <v>12</v>
      </c>
      <c r="I856"/>
      <c r="J856" s="48"/>
      <c r="K856" s="48"/>
    </row>
    <row r="857" spans="1:11" s="43" customFormat="1">
      <c r="A857" t="s">
        <v>437</v>
      </c>
      <c r="B857" t="s">
        <v>438</v>
      </c>
      <c r="C857" s="18">
        <v>7.4400000000000002E-10</v>
      </c>
      <c r="D857" t="s">
        <v>6</v>
      </c>
      <c r="E857" t="s">
        <v>211</v>
      </c>
      <c r="F857"/>
      <c r="G857" t="s">
        <v>140</v>
      </c>
      <c r="H857" t="s">
        <v>12</v>
      </c>
      <c r="I857"/>
      <c r="J857" s="48"/>
      <c r="K857" s="48"/>
    </row>
    <row r="858" spans="1:11" s="43" customFormat="1">
      <c r="A858" t="s">
        <v>439</v>
      </c>
      <c r="B858" t="s">
        <v>440</v>
      </c>
      <c r="C858" s="18">
        <v>3.3099999999999999E-10</v>
      </c>
      <c r="D858" t="s">
        <v>6</v>
      </c>
      <c r="E858" t="s">
        <v>211</v>
      </c>
      <c r="F858"/>
      <c r="G858" t="s">
        <v>140</v>
      </c>
      <c r="H858" t="s">
        <v>12</v>
      </c>
      <c r="I858"/>
      <c r="J858" s="48"/>
      <c r="K858" s="48"/>
    </row>
    <row r="859" spans="1:11" s="43" customFormat="1">
      <c r="A859" t="s">
        <v>144</v>
      </c>
      <c r="B859" t="s">
        <v>145</v>
      </c>
      <c r="C859" s="18">
        <v>5.1400000000000003E-12</v>
      </c>
      <c r="D859" t="s">
        <v>6</v>
      </c>
      <c r="E859" t="s">
        <v>211</v>
      </c>
      <c r="F859"/>
      <c r="G859" t="s">
        <v>140</v>
      </c>
      <c r="H859" t="s">
        <v>12</v>
      </c>
      <c r="I859"/>
      <c r="J859" s="48"/>
      <c r="K859" s="48"/>
    </row>
    <row r="860" spans="1:11" s="43" customFormat="1">
      <c r="A860" t="s">
        <v>441</v>
      </c>
      <c r="B860" t="s">
        <v>442</v>
      </c>
      <c r="C860" s="18">
        <v>5.7899999999999997E-10</v>
      </c>
      <c r="D860" t="s">
        <v>6</v>
      </c>
      <c r="E860" t="s">
        <v>211</v>
      </c>
      <c r="F860"/>
      <c r="G860" t="s">
        <v>140</v>
      </c>
      <c r="H860" t="s">
        <v>12</v>
      </c>
      <c r="I860"/>
      <c r="J860" s="48"/>
      <c r="K860" s="48"/>
    </row>
    <row r="861" spans="1:11" s="43" customFormat="1">
      <c r="A861" t="s">
        <v>443</v>
      </c>
      <c r="B861" t="s">
        <v>444</v>
      </c>
      <c r="C861" s="18">
        <v>-2.2699999999999999E-4</v>
      </c>
      <c r="D861" t="s">
        <v>13</v>
      </c>
      <c r="E861" t="s">
        <v>211</v>
      </c>
      <c r="F861"/>
      <c r="G861" t="s">
        <v>22</v>
      </c>
      <c r="H861" t="s">
        <v>12</v>
      </c>
      <c r="I861"/>
      <c r="J861" s="48"/>
      <c r="K861" s="48"/>
    </row>
    <row r="862" spans="1:11" s="43" customFormat="1">
      <c r="A862" s="48" t="s">
        <v>127</v>
      </c>
      <c r="B862" s="48"/>
      <c r="C862" s="67">
        <v>8.3199999999999996E-2</v>
      </c>
      <c r="D862" s="43" t="s">
        <v>128</v>
      </c>
      <c r="E862" s="48" t="s">
        <v>109</v>
      </c>
      <c r="F862" s="43" t="s">
        <v>129</v>
      </c>
      <c r="G862"/>
      <c r="H862" t="s">
        <v>15</v>
      </c>
      <c r="I862" s="48"/>
      <c r="J862" s="48"/>
      <c r="K862" s="48"/>
    </row>
    <row r="863" spans="1:11" s="43" customFormat="1">
      <c r="A863" t="s">
        <v>284</v>
      </c>
      <c r="B863"/>
      <c r="C863" s="18">
        <v>1.2300000000000001E-4</v>
      </c>
      <c r="D863" t="s">
        <v>13</v>
      </c>
      <c r="E863" s="48" t="s">
        <v>109</v>
      </c>
      <c r="F863" s="45" t="s">
        <v>184</v>
      </c>
      <c r="G863"/>
      <c r="H863" t="s">
        <v>15</v>
      </c>
      <c r="I863"/>
      <c r="J863" s="48"/>
      <c r="K863" s="48"/>
    </row>
    <row r="864" spans="1:11" s="43" customFormat="1">
      <c r="A864" s="48" t="s">
        <v>445</v>
      </c>
      <c r="B864" s="48"/>
      <c r="C864" s="46">
        <v>6.0000000000000002E-6</v>
      </c>
      <c r="D864" s="43" t="s">
        <v>13</v>
      </c>
      <c r="E864" s="48" t="s">
        <v>109</v>
      </c>
      <c r="F864" s="45" t="s">
        <v>184</v>
      </c>
      <c r="G864"/>
      <c r="H864" t="s">
        <v>15</v>
      </c>
      <c r="I864" s="48"/>
      <c r="J864" s="48"/>
      <c r="K864" s="48"/>
    </row>
    <row r="865" spans="1:11">
      <c r="A865" s="53"/>
      <c r="B865" s="54"/>
      <c r="C865" s="53"/>
      <c r="D865" s="53"/>
      <c r="E865" s="53"/>
      <c r="F865" s="53"/>
      <c r="G865" s="53"/>
      <c r="H865" s="53"/>
      <c r="I865" s="53"/>
    </row>
    <row r="866" spans="1:11" s="43" customFormat="1">
      <c r="A866" s="41" t="s">
        <v>1</v>
      </c>
      <c r="B866" s="68" t="s">
        <v>454</v>
      </c>
      <c r="C866" s="42"/>
    </row>
    <row r="867" spans="1:11" s="43" customFormat="1">
      <c r="A867" s="41" t="s">
        <v>11</v>
      </c>
      <c r="B867" s="48" t="s">
        <v>455</v>
      </c>
    </row>
    <row r="868" spans="1:11" s="43" customFormat="1">
      <c r="A868" s="41" t="s">
        <v>2</v>
      </c>
      <c r="B868" s="43" t="s">
        <v>29</v>
      </c>
      <c r="C868" s="42"/>
    </row>
    <row r="869" spans="1:11" s="43" customFormat="1">
      <c r="A869" s="44" t="s">
        <v>4</v>
      </c>
      <c r="B869" s="48" t="s">
        <v>454</v>
      </c>
      <c r="C869" s="42"/>
    </row>
    <row r="870" spans="1:11" s="43" customFormat="1">
      <c r="A870" s="41" t="s">
        <v>3</v>
      </c>
      <c r="B870" s="45">
        <v>1</v>
      </c>
      <c r="C870" s="42"/>
      <c r="D870" s="46"/>
    </row>
    <row r="871" spans="1:11" s="43" customFormat="1">
      <c r="A871" s="41" t="s">
        <v>6</v>
      </c>
      <c r="B871" s="43" t="s">
        <v>13</v>
      </c>
      <c r="C871" s="42"/>
      <c r="D871" s="46"/>
    </row>
    <row r="872" spans="1:11" s="43" customFormat="1">
      <c r="A872" s="41" t="s">
        <v>76</v>
      </c>
      <c r="B872" s="43" t="s">
        <v>403</v>
      </c>
      <c r="C872" s="42"/>
      <c r="D872" s="46"/>
    </row>
    <row r="873" spans="1:11" s="43" customFormat="1">
      <c r="A873" s="41" t="s">
        <v>7</v>
      </c>
      <c r="C873" s="42"/>
    </row>
    <row r="874" spans="1:11" s="43" customFormat="1">
      <c r="A874" s="41" t="s">
        <v>8</v>
      </c>
      <c r="B874" s="41" t="s">
        <v>4</v>
      </c>
      <c r="C874" s="47" t="s">
        <v>9</v>
      </c>
      <c r="D874" s="41" t="s">
        <v>6</v>
      </c>
      <c r="E874" s="41" t="s">
        <v>106</v>
      </c>
      <c r="F874" s="41" t="s">
        <v>10</v>
      </c>
      <c r="G874" s="41" t="s">
        <v>2</v>
      </c>
      <c r="H874" s="41" t="s">
        <v>5</v>
      </c>
      <c r="I874" s="41" t="s">
        <v>11</v>
      </c>
    </row>
    <row r="875" spans="1:11" s="43" customFormat="1">
      <c r="A875" s="48" t="s">
        <v>454</v>
      </c>
      <c r="B875" s="48" t="s">
        <v>454</v>
      </c>
      <c r="C875" s="65">
        <v>1</v>
      </c>
      <c r="D875" s="43" t="s">
        <v>13</v>
      </c>
      <c r="E875" s="48"/>
      <c r="F875" s="48"/>
      <c r="G875" s="48" t="s">
        <v>29</v>
      </c>
      <c r="H875" t="s">
        <v>18</v>
      </c>
      <c r="J875" s="48"/>
      <c r="K875" s="48"/>
    </row>
    <row r="876" spans="1:11" s="43" customFormat="1">
      <c r="A876" s="43" t="s">
        <v>267</v>
      </c>
      <c r="B876" s="43" t="s">
        <v>268</v>
      </c>
      <c r="C876" s="69">
        <v>1.3129534488582797E-3</v>
      </c>
      <c r="D876" s="43" t="s">
        <v>13</v>
      </c>
      <c r="E876" t="s">
        <v>211</v>
      </c>
      <c r="G876" s="43" t="s">
        <v>140</v>
      </c>
      <c r="H876" s="43" t="s">
        <v>12</v>
      </c>
      <c r="I876" s="43" t="s">
        <v>456</v>
      </c>
    </row>
  </sheetData>
  <hyperlinks>
    <hyperlink ref="G502" r:id="rId1" display="https://doi.org/10.1016/j.jclepro.2017.02.032" xr:uid="{452A1D98-DB73-468C-B117-F061F357C33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workbookViewId="0">
      <selection activeCell="A16" sqref="A16"/>
    </sheetView>
  </sheetViews>
  <sheetFormatPr defaultColWidth="11.42578125" defaultRowHeight="15"/>
  <sheetData>
    <row r="1" spans="1:11">
      <c r="A1" t="s">
        <v>174</v>
      </c>
    </row>
    <row r="3" spans="1:11">
      <c r="A3" s="4" t="s">
        <v>1</v>
      </c>
      <c r="B3" s="11" t="s">
        <v>171</v>
      </c>
      <c r="C3" s="8"/>
      <c r="D3" s="8"/>
      <c r="E3" s="8"/>
      <c r="F3" s="8"/>
      <c r="G3" s="8"/>
      <c r="H3" s="8"/>
      <c r="I3" s="3"/>
      <c r="J3" s="20"/>
      <c r="K3" s="21"/>
    </row>
    <row r="4" spans="1:11">
      <c r="A4" s="6" t="s">
        <v>3</v>
      </c>
      <c r="B4" s="13">
        <v>1</v>
      </c>
      <c r="C4" s="8"/>
      <c r="D4" s="8"/>
      <c r="E4" s="8"/>
      <c r="F4" s="8"/>
      <c r="G4" s="8"/>
      <c r="H4" s="8"/>
      <c r="I4" s="3"/>
      <c r="J4" s="12"/>
      <c r="K4" s="21"/>
    </row>
    <row r="5" spans="1:11">
      <c r="A5" s="6" t="s">
        <v>11</v>
      </c>
      <c r="B5" s="22" t="s">
        <v>41</v>
      </c>
      <c r="C5" s="8"/>
      <c r="D5" s="8"/>
      <c r="E5" s="8"/>
      <c r="F5" s="8"/>
      <c r="G5" s="8"/>
      <c r="H5" s="8"/>
      <c r="I5" s="3"/>
      <c r="K5" s="21"/>
    </row>
    <row r="6" spans="1:11">
      <c r="A6" s="6" t="s">
        <v>4</v>
      </c>
      <c r="B6" s="9" t="s">
        <v>26</v>
      </c>
      <c r="C6" s="8"/>
      <c r="D6" s="8"/>
      <c r="E6" s="8"/>
      <c r="F6" s="8"/>
      <c r="G6" s="8"/>
      <c r="H6" s="8"/>
      <c r="I6" s="3"/>
    </row>
    <row r="7" spans="1:11" ht="16.350000000000001" customHeight="1">
      <c r="A7" s="6" t="s">
        <v>2</v>
      </c>
      <c r="B7" s="14" t="s">
        <v>29</v>
      </c>
      <c r="C7" s="8"/>
      <c r="D7" s="8"/>
      <c r="E7" s="8"/>
      <c r="F7" s="8"/>
      <c r="G7" s="8"/>
      <c r="H7" s="8"/>
      <c r="I7" s="3"/>
    </row>
    <row r="8" spans="1:11">
      <c r="A8" s="6" t="s">
        <v>6</v>
      </c>
      <c r="B8" s="9" t="s">
        <v>13</v>
      </c>
      <c r="C8" s="8"/>
      <c r="D8" s="8"/>
      <c r="E8" s="8"/>
      <c r="F8" s="8"/>
      <c r="G8" s="8"/>
      <c r="H8" s="15"/>
      <c r="I8" s="3"/>
    </row>
    <row r="9" spans="1:11">
      <c r="A9" s="15" t="s">
        <v>7</v>
      </c>
      <c r="B9" s="11"/>
      <c r="C9" s="15"/>
      <c r="D9" s="15"/>
      <c r="E9" s="15"/>
      <c r="F9" s="15"/>
      <c r="G9" s="15"/>
      <c r="H9" s="12"/>
      <c r="I9" s="3"/>
    </row>
    <row r="10" spans="1:11">
      <c r="A10" t="s">
        <v>8</v>
      </c>
      <c r="B10" s="18" t="s">
        <v>9</v>
      </c>
      <c r="C10" t="s">
        <v>2</v>
      </c>
      <c r="D10" t="s">
        <v>6</v>
      </c>
      <c r="E10" t="s">
        <v>5</v>
      </c>
      <c r="F10" t="s">
        <v>4</v>
      </c>
      <c r="G10" s="1" t="s">
        <v>10</v>
      </c>
      <c r="H10" s="19" t="s">
        <v>11</v>
      </c>
      <c r="I10" s="3"/>
    </row>
    <row r="11" spans="1:11">
      <c r="A11" t="s">
        <v>44</v>
      </c>
      <c r="B11" s="18">
        <v>1</v>
      </c>
      <c r="C11" t="s">
        <v>29</v>
      </c>
      <c r="D11" t="s">
        <v>13</v>
      </c>
      <c r="E11" t="s">
        <v>18</v>
      </c>
      <c r="F11" s="9" t="s">
        <v>26</v>
      </c>
      <c r="G11" s="12"/>
      <c r="I11" s="3"/>
    </row>
    <row r="12" spans="1:11">
      <c r="A12" t="s">
        <v>35</v>
      </c>
      <c r="B12" s="18">
        <f>4.3*28.6</f>
        <v>122.98</v>
      </c>
      <c r="C12" t="s">
        <v>42</v>
      </c>
      <c r="D12" t="s">
        <v>46</v>
      </c>
      <c r="E12" t="s">
        <v>12</v>
      </c>
      <c r="F12" t="s">
        <v>36</v>
      </c>
      <c r="I12" s="3"/>
    </row>
    <row r="13" spans="1:11">
      <c r="A13" t="s">
        <v>35</v>
      </c>
      <c r="B13" s="18">
        <v>1.34</v>
      </c>
      <c r="C13" t="s">
        <v>42</v>
      </c>
      <c r="D13" t="s">
        <v>13</v>
      </c>
      <c r="E13" t="s">
        <v>12</v>
      </c>
      <c r="F13" t="s">
        <v>37</v>
      </c>
      <c r="I13" s="3"/>
    </row>
    <row r="14" spans="1:11">
      <c r="A14" t="s">
        <v>38</v>
      </c>
      <c r="B14" s="18">
        <v>4.03</v>
      </c>
      <c r="C14" t="s">
        <v>22</v>
      </c>
      <c r="D14" t="s">
        <v>13</v>
      </c>
      <c r="E14" t="s">
        <v>12</v>
      </c>
      <c r="F14" t="s">
        <v>39</v>
      </c>
      <c r="I14" s="3"/>
    </row>
    <row r="15" spans="1:11">
      <c r="A15" t="s">
        <v>40</v>
      </c>
      <c r="B15" s="18">
        <v>8.34</v>
      </c>
      <c r="D15" t="s">
        <v>13</v>
      </c>
      <c r="E15" t="s">
        <v>15</v>
      </c>
      <c r="G15" t="s">
        <v>25</v>
      </c>
      <c r="I15" s="3"/>
    </row>
    <row r="16" spans="1:11">
      <c r="A16" t="s">
        <v>45</v>
      </c>
      <c r="B16" s="18">
        <v>4.6399999999999997</v>
      </c>
      <c r="C16" t="s">
        <v>29</v>
      </c>
      <c r="D16" t="s">
        <v>19</v>
      </c>
      <c r="E16" t="s">
        <v>12</v>
      </c>
      <c r="F16" t="s">
        <v>43</v>
      </c>
      <c r="I16" s="3"/>
    </row>
    <row r="17" spans="1:11">
      <c r="B17" s="18"/>
      <c r="I17" s="3"/>
    </row>
    <row r="18" spans="1:11">
      <c r="A18" s="4" t="s">
        <v>1</v>
      </c>
      <c r="B18" s="11" t="s">
        <v>170</v>
      </c>
      <c r="C18" s="8"/>
      <c r="D18" s="8"/>
      <c r="E18" s="8"/>
      <c r="F18" s="8"/>
      <c r="G18" s="8"/>
      <c r="H18" s="8"/>
      <c r="I18" s="3"/>
      <c r="J18" s="20"/>
      <c r="K18" s="21"/>
    </row>
    <row r="19" spans="1:11">
      <c r="A19" s="6" t="s">
        <v>3</v>
      </c>
      <c r="B19" s="13">
        <v>1</v>
      </c>
      <c r="C19" s="8"/>
      <c r="D19" s="8"/>
      <c r="E19" s="8"/>
      <c r="F19" s="8"/>
      <c r="G19" s="8"/>
      <c r="H19" s="8"/>
      <c r="I19" s="3"/>
      <c r="J19" s="12"/>
      <c r="K19" s="21"/>
    </row>
    <row r="20" spans="1:11">
      <c r="A20" s="6" t="s">
        <v>11</v>
      </c>
      <c r="B20" s="22" t="s">
        <v>48</v>
      </c>
      <c r="C20" s="8"/>
      <c r="D20" s="8"/>
      <c r="E20" s="8"/>
      <c r="F20" s="8"/>
      <c r="G20" s="8"/>
      <c r="H20" s="8"/>
      <c r="I20" s="3"/>
      <c r="K20" s="21"/>
    </row>
    <row r="21" spans="1:11">
      <c r="A21" s="6" t="s">
        <v>4</v>
      </c>
      <c r="B21" s="9" t="s">
        <v>26</v>
      </c>
      <c r="C21" s="8"/>
      <c r="D21" s="8"/>
      <c r="E21" s="8"/>
      <c r="F21" s="8"/>
      <c r="G21" s="8"/>
      <c r="H21" s="8"/>
      <c r="I21" s="3"/>
    </row>
    <row r="22" spans="1:11" ht="16.350000000000001" customHeight="1">
      <c r="A22" s="6" t="s">
        <v>2</v>
      </c>
      <c r="B22" s="14" t="s">
        <v>29</v>
      </c>
      <c r="C22" s="8"/>
      <c r="D22" s="8"/>
      <c r="E22" s="8"/>
      <c r="F22" s="8"/>
      <c r="G22" s="8"/>
      <c r="H22" s="8"/>
      <c r="I22" s="3"/>
    </row>
    <row r="23" spans="1:11">
      <c r="A23" s="6" t="s">
        <v>6</v>
      </c>
      <c r="B23" s="9" t="s">
        <v>13</v>
      </c>
      <c r="C23" s="8"/>
      <c r="D23" s="8"/>
      <c r="E23" s="8"/>
      <c r="F23" s="8"/>
      <c r="G23" s="8"/>
      <c r="H23" s="15"/>
      <c r="I23" s="3"/>
    </row>
    <row r="24" spans="1:11">
      <c r="A24" s="15" t="s">
        <v>7</v>
      </c>
      <c r="B24" s="11"/>
      <c r="C24" s="15"/>
      <c r="D24" s="15"/>
      <c r="E24" s="15"/>
      <c r="F24" s="15"/>
      <c r="G24" s="15"/>
      <c r="H24" s="12"/>
      <c r="I24" s="3"/>
    </row>
    <row r="25" spans="1:11">
      <c r="A25" t="s">
        <v>8</v>
      </c>
      <c r="B25" s="18" t="s">
        <v>9</v>
      </c>
      <c r="C25" t="s">
        <v>2</v>
      </c>
      <c r="D25" t="s">
        <v>6</v>
      </c>
      <c r="E25" t="s">
        <v>5</v>
      </c>
      <c r="F25" t="s">
        <v>4</v>
      </c>
      <c r="G25" s="1" t="s">
        <v>10</v>
      </c>
      <c r="H25" s="19" t="s">
        <v>11</v>
      </c>
      <c r="I25" s="3"/>
    </row>
    <row r="26" spans="1:11">
      <c r="A26" t="s">
        <v>47</v>
      </c>
      <c r="B26" s="18">
        <v>1</v>
      </c>
      <c r="C26" t="s">
        <v>29</v>
      </c>
      <c r="D26" t="s">
        <v>13</v>
      </c>
      <c r="E26" t="s">
        <v>18</v>
      </c>
      <c r="F26" s="9" t="s">
        <v>26</v>
      </c>
      <c r="G26" s="12"/>
      <c r="I26" s="3"/>
    </row>
    <row r="27" spans="1:11">
      <c r="A27" t="s">
        <v>35</v>
      </c>
      <c r="B27" s="18">
        <f>4.3*28.6</f>
        <v>122.98</v>
      </c>
      <c r="C27" t="s">
        <v>42</v>
      </c>
      <c r="D27" t="s">
        <v>46</v>
      </c>
      <c r="E27" t="s">
        <v>12</v>
      </c>
      <c r="F27" t="s">
        <v>36</v>
      </c>
      <c r="I27" s="3"/>
    </row>
    <row r="28" spans="1:11">
      <c r="A28" t="s">
        <v>35</v>
      </c>
      <c r="B28" s="18">
        <v>1.34</v>
      </c>
      <c r="C28" t="s">
        <v>42</v>
      </c>
      <c r="D28" t="s">
        <v>13</v>
      </c>
      <c r="E28" t="s">
        <v>12</v>
      </c>
      <c r="F28" t="s">
        <v>37</v>
      </c>
      <c r="I28" s="3"/>
    </row>
    <row r="29" spans="1:11">
      <c r="A29" t="s">
        <v>38</v>
      </c>
      <c r="B29" s="18">
        <v>4.03</v>
      </c>
      <c r="C29" t="s">
        <v>22</v>
      </c>
      <c r="D29" t="s">
        <v>13</v>
      </c>
      <c r="E29" t="s">
        <v>12</v>
      </c>
      <c r="F29" t="s">
        <v>39</v>
      </c>
      <c r="I29" s="3"/>
    </row>
    <row r="30" spans="1:11">
      <c r="A30" t="s">
        <v>45</v>
      </c>
      <c r="B30" s="18">
        <v>4.6399999999999997</v>
      </c>
      <c r="C30" t="s">
        <v>29</v>
      </c>
      <c r="D30" t="s">
        <v>19</v>
      </c>
      <c r="E30" t="s">
        <v>12</v>
      </c>
      <c r="F30" t="s">
        <v>43</v>
      </c>
      <c r="I30" s="3"/>
    </row>
    <row r="31" spans="1:11">
      <c r="A31" t="s">
        <v>45</v>
      </c>
      <c r="B31" s="18">
        <v>0.7</v>
      </c>
      <c r="C31" t="s">
        <v>29</v>
      </c>
      <c r="D31" t="s">
        <v>19</v>
      </c>
      <c r="E31" t="s">
        <v>12</v>
      </c>
      <c r="F31" t="s">
        <v>43</v>
      </c>
      <c r="I31" s="3"/>
    </row>
    <row r="33" spans="1:11">
      <c r="A33" s="4" t="s">
        <v>1</v>
      </c>
      <c r="B33" s="11" t="s">
        <v>99</v>
      </c>
      <c r="C33" s="12"/>
      <c r="D33" s="8"/>
      <c r="E33" s="8"/>
      <c r="F33" s="8"/>
      <c r="G33" s="8"/>
      <c r="H33" s="8"/>
      <c r="I33" s="10"/>
      <c r="K33" s="7"/>
    </row>
    <row r="34" spans="1:11">
      <c r="A34" s="6" t="s">
        <v>3</v>
      </c>
      <c r="B34" s="13">
        <v>1</v>
      </c>
      <c r="C34" s="8"/>
      <c r="D34" s="8"/>
      <c r="E34" s="8"/>
      <c r="F34" s="8"/>
      <c r="G34" s="8"/>
      <c r="H34" s="8"/>
      <c r="I34" s="10"/>
      <c r="K34" s="7"/>
    </row>
    <row r="35" spans="1:11">
      <c r="A35" s="6" t="s">
        <v>11</v>
      </c>
      <c r="B35" s="14" t="s">
        <v>50</v>
      </c>
      <c r="C35" s="8"/>
      <c r="D35" s="8"/>
      <c r="E35" s="8"/>
      <c r="F35" s="8"/>
      <c r="G35" s="8"/>
      <c r="H35" s="8"/>
      <c r="I35" s="10"/>
      <c r="K35" s="7"/>
    </row>
    <row r="36" spans="1:11">
      <c r="A36" s="6" t="s">
        <v>4</v>
      </c>
      <c r="B36" s="2" t="s">
        <v>31</v>
      </c>
      <c r="C36" s="8"/>
      <c r="D36" s="8"/>
      <c r="E36" s="8"/>
      <c r="F36" s="8"/>
      <c r="G36" s="8"/>
      <c r="H36" s="8"/>
      <c r="I36" s="10"/>
      <c r="K36" s="7"/>
    </row>
    <row r="37" spans="1:11">
      <c r="A37" s="6" t="s">
        <v>2</v>
      </c>
      <c r="B37" s="14" t="s">
        <v>29</v>
      </c>
      <c r="C37" s="8"/>
      <c r="D37" s="8"/>
      <c r="E37" s="8"/>
      <c r="F37" s="8"/>
      <c r="G37" s="8"/>
      <c r="H37" s="8"/>
      <c r="I37" s="10"/>
      <c r="K37" s="7"/>
    </row>
    <row r="38" spans="1:11">
      <c r="A38" s="6" t="s">
        <v>6</v>
      </c>
      <c r="B38" s="9" t="s">
        <v>19</v>
      </c>
      <c r="C38" s="8"/>
      <c r="D38" s="8"/>
      <c r="E38" s="8"/>
      <c r="F38" s="8"/>
      <c r="G38" s="8"/>
      <c r="H38" s="15"/>
      <c r="I38" s="16"/>
      <c r="K38" s="7"/>
    </row>
    <row r="39" spans="1:11">
      <c r="A39" s="15" t="s">
        <v>7</v>
      </c>
      <c r="B39" s="11"/>
      <c r="C39" s="15"/>
      <c r="D39" s="15"/>
      <c r="E39" s="15"/>
      <c r="F39" s="15"/>
      <c r="G39" s="15"/>
      <c r="H39" s="12"/>
      <c r="I39" s="17"/>
      <c r="K39" s="7"/>
    </row>
    <row r="40" spans="1:11">
      <c r="A40" t="s">
        <v>8</v>
      </c>
      <c r="B40" s="18" t="s">
        <v>9</v>
      </c>
      <c r="C40" t="s">
        <v>2</v>
      </c>
      <c r="D40" t="s">
        <v>6</v>
      </c>
      <c r="E40" t="s">
        <v>5</v>
      </c>
      <c r="F40" t="s">
        <v>4</v>
      </c>
      <c r="G40" t="s">
        <v>10</v>
      </c>
      <c r="H40" s="19" t="s">
        <v>11</v>
      </c>
      <c r="I40" s="3"/>
      <c r="J40" s="1"/>
      <c r="K40" s="7"/>
    </row>
    <row r="41" spans="1:11">
      <c r="A41" s="18" t="str">
        <f>B33</f>
        <v>electricity production, from stationary battery, Tr2050</v>
      </c>
      <c r="B41" s="18">
        <v>1</v>
      </c>
      <c r="C41" t="str">
        <f>B37</f>
        <v>FR</v>
      </c>
      <c r="D41" t="s">
        <v>19</v>
      </c>
      <c r="E41" t="s">
        <v>18</v>
      </c>
      <c r="F41" t="s">
        <v>31</v>
      </c>
      <c r="G41" s="12"/>
      <c r="H41" s="17"/>
      <c r="I41" s="3"/>
      <c r="K41" s="7"/>
    </row>
    <row r="42" spans="1:11">
      <c r="A42" s="6" t="s">
        <v>28</v>
      </c>
      <c r="B42" s="18">
        <f>1*1.19</f>
        <v>1.19</v>
      </c>
      <c r="C42" t="s">
        <v>29</v>
      </c>
      <c r="D42" t="s">
        <v>19</v>
      </c>
      <c r="E42" t="s">
        <v>12</v>
      </c>
      <c r="F42" t="s">
        <v>20</v>
      </c>
      <c r="G42" s="12"/>
      <c r="H42" s="19" t="s">
        <v>51</v>
      </c>
      <c r="I42" s="3"/>
    </row>
    <row r="43" spans="1:11">
      <c r="A43" s="6" t="s">
        <v>28</v>
      </c>
      <c r="B43" s="18">
        <f>((22/1000)*6000*13)/(2500*19.5*0.8)</f>
        <v>4.3999999999999997E-2</v>
      </c>
      <c r="C43" t="s">
        <v>29</v>
      </c>
      <c r="D43" t="s">
        <v>19</v>
      </c>
      <c r="E43" t="s">
        <v>12</v>
      </c>
      <c r="F43" t="s">
        <v>20</v>
      </c>
      <c r="G43" s="12"/>
      <c r="H43" s="19" t="s">
        <v>52</v>
      </c>
      <c r="I43" s="3"/>
    </row>
    <row r="44" spans="1:11">
      <c r="A44" s="6" t="s">
        <v>53</v>
      </c>
      <c r="B44" s="18">
        <f>1/(2500*80%*19.5)</f>
        <v>2.564102564102564E-5</v>
      </c>
      <c r="C44" t="s">
        <v>49</v>
      </c>
      <c r="D44" t="s">
        <v>6</v>
      </c>
      <c r="E44" t="s">
        <v>12</v>
      </c>
      <c r="F44" t="s">
        <v>54</v>
      </c>
      <c r="G44" s="12"/>
      <c r="H44" s="1" t="s">
        <v>55</v>
      </c>
      <c r="I44" s="3"/>
    </row>
    <row r="45" spans="1:11">
      <c r="A45" s="6"/>
      <c r="B45" s="18"/>
      <c r="G45" s="12"/>
      <c r="H45" s="1"/>
      <c r="I45" s="3"/>
    </row>
    <row r="46" spans="1:11">
      <c r="A46" s="18"/>
      <c r="B46" s="18"/>
      <c r="G46" s="12"/>
      <c r="H46" s="12"/>
      <c r="I46" s="3"/>
      <c r="K46" s="7"/>
    </row>
    <row r="47" spans="1:11">
      <c r="A47" s="4" t="s">
        <v>1</v>
      </c>
      <c r="B47" s="11" t="s">
        <v>101</v>
      </c>
      <c r="C47" s="12"/>
      <c r="D47" s="8"/>
      <c r="E47" s="8"/>
      <c r="F47" s="8"/>
      <c r="G47" s="8"/>
      <c r="H47" s="8"/>
      <c r="I47" s="10"/>
      <c r="K47" s="7"/>
    </row>
    <row r="48" spans="1:11">
      <c r="A48" s="6" t="s">
        <v>3</v>
      </c>
      <c r="B48" s="13">
        <v>1</v>
      </c>
      <c r="C48" s="8"/>
      <c r="D48" s="8"/>
      <c r="E48" s="8"/>
      <c r="F48" s="8"/>
      <c r="G48" s="8"/>
      <c r="H48" s="8"/>
      <c r="I48" s="10"/>
      <c r="K48" s="7"/>
    </row>
    <row r="49" spans="1:11">
      <c r="A49" s="6" t="s">
        <v>11</v>
      </c>
      <c r="B49" s="14" t="s">
        <v>34</v>
      </c>
      <c r="C49" s="8"/>
      <c r="D49" s="8"/>
      <c r="E49" s="8"/>
      <c r="F49" s="8"/>
      <c r="G49" s="8"/>
      <c r="H49" s="8"/>
      <c r="I49" s="10"/>
      <c r="K49" s="7"/>
    </row>
    <row r="50" spans="1:11">
      <c r="A50" s="6" t="s">
        <v>4</v>
      </c>
      <c r="B50" s="2" t="s">
        <v>31</v>
      </c>
      <c r="C50" s="8"/>
      <c r="D50" s="8"/>
      <c r="E50" s="8"/>
      <c r="F50" s="8"/>
      <c r="G50" s="8"/>
      <c r="H50" s="8"/>
      <c r="I50" s="10"/>
      <c r="K50" s="7"/>
    </row>
    <row r="51" spans="1:11">
      <c r="A51" s="6" t="s">
        <v>2</v>
      </c>
      <c r="B51" s="14" t="s">
        <v>29</v>
      </c>
      <c r="C51" s="8"/>
      <c r="D51" s="8"/>
      <c r="E51" s="8"/>
      <c r="F51" s="8"/>
      <c r="G51" s="8"/>
      <c r="H51" s="8"/>
      <c r="I51" s="10"/>
      <c r="K51" s="7"/>
    </row>
    <row r="52" spans="1:11">
      <c r="A52" s="6" t="s">
        <v>6</v>
      </c>
      <c r="B52" s="9" t="s">
        <v>19</v>
      </c>
      <c r="C52" s="8"/>
      <c r="D52" s="8"/>
      <c r="E52" s="8"/>
      <c r="F52" s="8"/>
      <c r="G52" s="8"/>
      <c r="H52" s="15"/>
      <c r="I52" s="16"/>
      <c r="K52" s="7"/>
    </row>
    <row r="53" spans="1:11">
      <c r="A53" s="15" t="s">
        <v>7</v>
      </c>
      <c r="B53" s="11"/>
      <c r="C53" s="15"/>
      <c r="D53" s="15"/>
      <c r="E53" s="15"/>
      <c r="F53" s="15"/>
      <c r="G53" s="15"/>
      <c r="H53" s="12"/>
      <c r="I53" s="17"/>
      <c r="K53" s="7"/>
    </row>
    <row r="54" spans="1:11">
      <c r="A54" t="s">
        <v>8</v>
      </c>
      <c r="B54" s="18" t="s">
        <v>9</v>
      </c>
      <c r="C54" t="s">
        <v>2</v>
      </c>
      <c r="D54" t="s">
        <v>6</v>
      </c>
      <c r="E54" t="s">
        <v>5</v>
      </c>
      <c r="F54" t="s">
        <v>4</v>
      </c>
      <c r="G54" t="s">
        <v>10</v>
      </c>
      <c r="H54" s="19" t="s">
        <v>11</v>
      </c>
      <c r="I54" s="3"/>
      <c r="J54" s="1"/>
      <c r="K54" s="7"/>
    </row>
    <row r="55" spans="1:11">
      <c r="A55" s="18" t="s">
        <v>30</v>
      </c>
      <c r="B55" s="18">
        <v>1</v>
      </c>
      <c r="C55" t="str">
        <f>B51</f>
        <v>FR</v>
      </c>
      <c r="D55" t="s">
        <v>19</v>
      </c>
      <c r="E55" t="s">
        <v>18</v>
      </c>
      <c r="F55" t="s">
        <v>31</v>
      </c>
      <c r="G55" s="12"/>
      <c r="H55" s="17"/>
      <c r="I55" s="3"/>
      <c r="K55" s="7"/>
    </row>
    <row r="56" spans="1:11">
      <c r="A56" s="18" t="s">
        <v>32</v>
      </c>
      <c r="B56" s="18">
        <f>1/30000*2</f>
        <v>6.666666666666667E-5</v>
      </c>
      <c r="C56" t="s">
        <v>27</v>
      </c>
      <c r="D56" t="s">
        <v>6</v>
      </c>
      <c r="E56" t="s">
        <v>12</v>
      </c>
      <c r="F56" t="s">
        <v>33</v>
      </c>
      <c r="G56" s="12"/>
      <c r="H56" s="17"/>
      <c r="I56" s="3"/>
      <c r="K56" s="7"/>
    </row>
    <row r="57" spans="1:11" ht="15.75">
      <c r="A57" s="27" t="s">
        <v>73</v>
      </c>
      <c r="B57" s="18">
        <f>3.6/0.5/120</f>
        <v>6.0000000000000005E-2</v>
      </c>
      <c r="C57" t="s">
        <v>29</v>
      </c>
      <c r="D57" t="s">
        <v>13</v>
      </c>
      <c r="E57" t="s">
        <v>12</v>
      </c>
      <c r="F57" s="26" t="s">
        <v>57</v>
      </c>
      <c r="H57" s="12"/>
      <c r="I57" s="17"/>
      <c r="K57" s="7"/>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2025-04-07T10:50:55Z</dcterms:modified>
</cp:coreProperties>
</file>