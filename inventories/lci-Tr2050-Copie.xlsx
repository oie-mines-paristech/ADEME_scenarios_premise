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830"/>
  <workbookPr/>
  <mc:AlternateContent xmlns:mc="http://schemas.openxmlformats.org/markup-compatibility/2006">
    <mc:Choice Requires="x15">
      <x15ac:absPath xmlns:x15ac="http://schemas.microsoft.com/office/spreadsheetml/2010/11/ac" url="https://engie-my.sharepoint.com/personal/db6421_engie_com/Documents/Documents/GitHub/ADEME_scenarios_premise_gas/inventories/"/>
    </mc:Choice>
  </mc:AlternateContent>
  <xr:revisionPtr revIDLastSave="108" documentId="13_ncr:1_{6A9A1C53-53B4-4DAF-B82F-70FF83AECA95}" xr6:coauthVersionLast="47" xr6:coauthVersionMax="47" xr10:uidLastSave="{394A8C4F-E3A2-43C7-982F-E280DE5B180C}"/>
  <bookViews>
    <workbookView xWindow="-108" yWindow="-108" windowWidth="23256" windowHeight="12456" xr2:uid="{00000000-000D-0000-FFFF-FFFF00000000}"/>
  </bookViews>
  <sheets>
    <sheet name="lci" sheetId="1" r:id="rId1"/>
    <sheet name="Feuil1"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B454" i="1" l="1"/>
  <c r="B453" i="1"/>
  <c r="B449" i="1"/>
  <c r="B448" i="1"/>
  <c r="B447" i="1"/>
  <c r="B445" i="1"/>
  <c r="B441" i="1"/>
  <c r="B437" i="1"/>
  <c r="B436" i="1"/>
  <c r="B426" i="1"/>
  <c r="G178" i="1"/>
  <c r="D178" i="1"/>
  <c r="A178" i="1"/>
  <c r="C33" i="1" l="1"/>
  <c r="B57" i="2" l="1"/>
  <c r="B56" i="2"/>
  <c r="C55" i="2"/>
  <c r="B44" i="2"/>
  <c r="B43" i="2"/>
  <c r="B42" i="2"/>
  <c r="C41" i="2"/>
  <c r="A41" i="2"/>
  <c r="B27" i="2"/>
  <c r="B12" i="2"/>
  <c r="A15" i="1"/>
  <c r="D15" i="1"/>
  <c r="G15" i="1"/>
  <c r="B17" i="1"/>
  <c r="B18" i="1"/>
  <c r="B19" i="1"/>
  <c r="B20" i="1"/>
  <c r="B21" i="1"/>
  <c r="B22" i="1"/>
  <c r="B66" i="1" l="1"/>
  <c r="B60" i="1"/>
  <c r="B62" i="1" s="1"/>
  <c r="B59" i="1"/>
  <c r="B61" i="1" s="1"/>
  <c r="D58" i="1"/>
  <c r="C58" i="1"/>
</calcChain>
</file>

<file path=xl/sharedStrings.xml><?xml version="1.0" encoding="utf-8"?>
<sst xmlns="http://schemas.openxmlformats.org/spreadsheetml/2006/main" count="2887" uniqueCount="402">
  <si>
    <t>Database</t>
  </si>
  <si>
    <t>Activity</t>
  </si>
  <si>
    <t>location</t>
  </si>
  <si>
    <t>production amount</t>
  </si>
  <si>
    <t>reference product</t>
  </si>
  <si>
    <t>type</t>
  </si>
  <si>
    <t>unit</t>
  </si>
  <si>
    <t>Exchanges</t>
  </si>
  <si>
    <t>name</t>
  </si>
  <si>
    <t>amount</t>
  </si>
  <si>
    <t>categories</t>
  </si>
  <si>
    <t>comment</t>
  </si>
  <si>
    <t>technosphere</t>
  </si>
  <si>
    <t>kilogram</t>
  </si>
  <si>
    <t>cutoff</t>
  </si>
  <si>
    <t>biosphere</t>
  </si>
  <si>
    <t>natural resource::land</t>
  </si>
  <si>
    <t>square meter-year</t>
  </si>
  <si>
    <t>production</t>
  </si>
  <si>
    <t>kilowatt hour</t>
  </si>
  <si>
    <t>electricity, low voltage</t>
  </si>
  <si>
    <t>market for water, deionised</t>
  </si>
  <si>
    <t>Europe without Switzerland</t>
  </si>
  <si>
    <t>water, deionised</t>
  </si>
  <si>
    <t>Oxygen</t>
  </si>
  <si>
    <t>air</t>
  </si>
  <si>
    <t>hydrogen, gaseous</t>
  </si>
  <si>
    <t>CH</t>
  </si>
  <si>
    <t>market for electricity, low voltage</t>
  </si>
  <si>
    <t>FR</t>
  </si>
  <si>
    <t>electricity production, from hydrogen, FE2050</t>
  </si>
  <si>
    <t>electricity, high voltage</t>
  </si>
  <si>
    <t>fuel cell production, stack polymer electrolyte membrane, 2kW electrical, future</t>
  </si>
  <si>
    <t>fuel cell, stack polymer electrolyte membrane, 2kW electrical, future</t>
  </si>
  <si>
    <t>1 kWh of electricity produced using hydrogen through a PEM fuel cell stack, for seasonal storage. Assumes a 90% load factor, 6 years lifetime. A 50% electrical efficiency is assumed in 2020, according to Cigolotti, V.; Genovese, M.; Fragiacomo, P. Comprehensive Review on Fuel Cell Technology for Stationary Applications as Sustainable and Efficient Poly-Generation Energy Systems. Energies 2021, 14, 4963. https://doi.org/10.3390/en14164963.</t>
  </si>
  <si>
    <t>coking</t>
  </si>
  <si>
    <t>coal gas</t>
  </si>
  <si>
    <t>coal tar</t>
  </si>
  <si>
    <t>market for tap water</t>
  </si>
  <si>
    <t>tap water</t>
  </si>
  <si>
    <t>Carbon dioxide, fossil</t>
  </si>
  <si>
    <t>1 kg of hydrogen recovered from coke oven gas. After benzol absorption step, gas stream is being subjected to the reforming technology, which comprises the following process units: coke oven gas reforming
system, oxygen production installation, CO conversion system and the hydrolysis of COS, desulphurization system and CO2 removal system, H2 separation system and other plant. Although not specified, the oxygen and steam requirement is assumed to come from the coking step, hence, not listed as inventory inputs. Adapted to French context. Burmistrz et al., 2016. DOI: 10.1051/e3sconf/20161000023</t>
  </si>
  <si>
    <t>DE</t>
  </si>
  <si>
    <t>electricity, medium voltage</t>
  </si>
  <si>
    <t>hydrogen, recovered from coke oven gas, FE2050</t>
  </si>
  <si>
    <t>market for electricity, medium voltage</t>
  </si>
  <si>
    <t>megajoule</t>
  </si>
  <si>
    <t>hydrogen, recovered from coke oven gas, with carbon capture and storage, FE2050</t>
  </si>
  <si>
    <t>1 kg of hydrogen recovered from coke oven gas. After benzol absorption step, gas stream is being subjected to the reforming technology, which comprises the following process units: coke oven gas reforming
system, oxygen production installation, CO conversion system and the hydrolysis of COS, desulphurization system and CO2 removal system, H2 separation system and other plant. Although not specified, the oxygen and steam requirement is assumed to come from the coking step, hence, not listed as inventory inputs. Carbon dioxide is transported in the liquid phase. The pressure at the inlet to a transport system (pipe) is
120 bar, which allows to transport of CO2 at about 100 - 150 km distance without additional compression Adapted to French context. Burmistrz et al., 2016. DOI: 10.1051/e3sconf/20161000023</t>
  </si>
  <si>
    <t>RER</t>
  </si>
  <si>
    <t>1 kWh of electricity discharged from a stationary battery. Accounts for charge and discharge losses: 19%. The original dataset is a 19.5 kWh home storage system, using NMC811 cells. The system has a stand-by consumption of 22 W over 6000 hours per year. Assumes lifetime of 2500 charge-discharge cycles over 13 years, and a maximum depth of discharge of 80%. IN total, the system delivers 2500 [cycles] x 80% x 19.5 [Wh] = 39000 kWh.</t>
  </si>
  <si>
    <t>Accounts for the round trip efficiency of 81%.</t>
  </si>
  <si>
    <t>Accounts or standby electricity consumption.</t>
  </si>
  <si>
    <t>home electricity storage system, 19.5 kWh, NMC811 battery</t>
  </si>
  <si>
    <t>home electricity storage system</t>
  </si>
  <si>
    <t>Home storage system</t>
  </si>
  <si>
    <t>1 kg H2 produced using a PEM electrolyzer. Original source: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t>
  </si>
  <si>
    <t>hydrogen, gaseous, 30 bar</t>
  </si>
  <si>
    <t>electrolyzer, 1MWe, PEM, Stack</t>
  </si>
  <si>
    <t>Stack, 5.5 years lifetime.</t>
  </si>
  <si>
    <t>electrolyzer, 1MWe, PEM, Balance of Plant</t>
  </si>
  <si>
    <t>BoP, 20 years lifetime.</t>
  </si>
  <si>
    <t>treatment of fuel cell stack, 1MWe, PEM</t>
  </si>
  <si>
    <t>used fuel cell stack, 1MWe, PEM</t>
  </si>
  <si>
    <t>Stack EoL</t>
  </si>
  <si>
    <t>treatment of fuel cell balance of plant, 1MWe, PEM</t>
  </si>
  <si>
    <t>used fuel cell balance of plant, 1MWe, PEM</t>
  </si>
  <si>
    <t>BoP EoL</t>
  </si>
  <si>
    <t>Electricity consumption with 61.7% eff.</t>
  </si>
  <si>
    <t xml:space="preserve">A perfect reaction of H2O results in 1 kg H2 and 8 kg O2, and needs 9 kg H2O, however, considering some losses we assume 14 kg H2O (Simoes et al., 2021). </t>
  </si>
  <si>
    <t>Occupation, unspecified</t>
  </si>
  <si>
    <t>electrolyzer production, 1MWe, PEM, Stack</t>
  </si>
  <si>
    <t>electrolyzer production, 1MWe, PEM, Balance of Plant</t>
  </si>
  <si>
    <t>hydrogen production, gaseous, 30 bar, from PEM electrolysis, from grid electricity, domestic, FE2050</t>
  </si>
  <si>
    <t/>
  </si>
  <si>
    <t>The power capacity for this application is 1MW and the net storage capacity 6 MWh. The net capacity considers the internal inefficiencies of the batteries and the min SoC, requiring a certain oversizing of the batteries. For providing net 6 MWh, a nominal capacity of 8.3 MWh is required for the VRFB with the assumed operation parameters. The assumed lifetime of the stack is 10 years. The lifetimeof the system is 20 years or 8176 cycle-lifes (49,000 MWh).</t>
  </si>
  <si>
    <t>source</t>
  </si>
  <si>
    <t>Life Cycle Assessment of a Vanadium Redox Flow Battery, Selina Weber, Jens F. Peters, Manuel Baumann, and Marcel Weil, Environ. Sci. Technol. 2018, 52, 10864−10873, DOI: 10.1021/acs.est.8b02073</t>
  </si>
  <si>
    <t>process</t>
  </si>
  <si>
    <t>Electricity input plus losses</t>
  </si>
  <si>
    <t>vanadium-redox flow battery system assembly, 8.3 megawatt hour</t>
  </si>
  <si>
    <t>vanadium-redox flow battery system</t>
  </si>
  <si>
    <t>Infrastructure requirements 1/49000 MWh</t>
  </si>
  <si>
    <t>vanadium-redox flow battery stack assembly</t>
  </si>
  <si>
    <t>vanadium-redox flow battery stack</t>
  </si>
  <si>
    <t>Replacement stack</t>
  </si>
  <si>
    <t>treatment of stack, for VRFB system</t>
  </si>
  <si>
    <t>used stack, for VRFB system</t>
  </si>
  <si>
    <t>EoL of both stack</t>
  </si>
  <si>
    <t>treatment of electrolyte tank, for VRFB system</t>
  </si>
  <si>
    <t>used electrolyte tank, for VRFB system</t>
  </si>
  <si>
    <t>Electrolyte tank EoL</t>
  </si>
  <si>
    <t>treatment of electrolyte solution, for VRFB system</t>
  </si>
  <si>
    <t>used electrolyte solution, for VRFB system</t>
  </si>
  <si>
    <t>Electrolyte EoL</t>
  </si>
  <si>
    <t>treatment of periphericals, for VRFB system</t>
  </si>
  <si>
    <t>used periphericals, for VRFB system</t>
  </si>
  <si>
    <t>Peripherals EoL</t>
  </si>
  <si>
    <t>market for electricity, high voltage</t>
  </si>
  <si>
    <t>electricity production, from stationary battery, Tr2050</t>
  </si>
  <si>
    <t>Tr2050</t>
  </si>
  <si>
    <t>electricity production, from hydrogen, Tr2050</t>
  </si>
  <si>
    <t>hydrogen production, steam methane reforming of natural gas, 25 bar</t>
  </si>
  <si>
    <t>Total energy input to reformer</t>
  </si>
  <si>
    <t>hydrogen, gaseous, 25 bar</t>
  </si>
  <si>
    <t>Natural gas:  0.735 kg/m3 at standard condition @ 15°C, 1.0325 bar. LHV by mass: 46.5 MJ/kg. LHV by volume at standard condition: 36.0 MJ/Nm3.</t>
  </si>
  <si>
    <t>database</t>
  </si>
  <si>
    <t>Car db</t>
  </si>
  <si>
    <t>Acetaldehyde</t>
  </si>
  <si>
    <t>biosphere3</t>
  </si>
  <si>
    <t>Acetic acid</t>
  </si>
  <si>
    <t>Benzene</t>
  </si>
  <si>
    <t>Benzo(a)pyrene</t>
  </si>
  <si>
    <t>Butane</t>
  </si>
  <si>
    <t>Carbon monoxide, fossil</t>
  </si>
  <si>
    <t>Dinitrogen monoxide</t>
  </si>
  <si>
    <t>Formaldehyde</t>
  </si>
  <si>
    <t>Mercury</t>
  </si>
  <si>
    <t>Methane, fossil</t>
  </si>
  <si>
    <t>Nitrogen oxides</t>
  </si>
  <si>
    <t>PAH, polycyclic aromatic hydrocarbons</t>
  </si>
  <si>
    <t>Particulates, &lt; 2.5 um</t>
  </si>
  <si>
    <t>Pentane</t>
  </si>
  <si>
    <t>Propane</t>
  </si>
  <si>
    <t>Propionic acid</t>
  </si>
  <si>
    <t>Sulfur dioxide</t>
  </si>
  <si>
    <t>Toluene</t>
  </si>
  <si>
    <t>Water, cooling, unspecified natural origin</t>
  </si>
  <si>
    <t>cubic meter</t>
  </si>
  <si>
    <t>natural resource::in water</t>
  </si>
  <si>
    <t>Water</t>
  </si>
  <si>
    <t>water</t>
  </si>
  <si>
    <t>Assumed 2.4 gallons (9.1 liters) of evaporated water per kg H2, according to https://www.hydrogen.energy.gov/docs/hydrogenprogramlibraries/pdfs/review16/sa039_elgowainy_2016_o.pdf?Status=Master</t>
  </si>
  <si>
    <t>chemical factory construction, organics</t>
  </si>
  <si>
    <t>ecoinvent 3.5 cutoff</t>
  </si>
  <si>
    <t>chemical factory, organics</t>
  </si>
  <si>
    <t>market for aluminium oxide, metallurgical</t>
  </si>
  <si>
    <t>IAI Area, EU27 &amp; EFTA</t>
  </si>
  <si>
    <t>aluminium oxide, metallurgical</t>
  </si>
  <si>
    <t>market for chromium oxide, flakes</t>
  </si>
  <si>
    <t>GLO</t>
  </si>
  <si>
    <t>chromium oxide, flakes</t>
  </si>
  <si>
    <t>market for copper oxide</t>
  </si>
  <si>
    <t>copper oxide</t>
  </si>
  <si>
    <t>market for liquid storage tank, chemicals, organics</t>
  </si>
  <si>
    <t>liquid storage tank, chemicals, organics</t>
  </si>
  <si>
    <t>market for magnesium oxide</t>
  </si>
  <si>
    <t>magnesium oxide</t>
  </si>
  <si>
    <t>market for molybdenum trioxide</t>
  </si>
  <si>
    <t>molybdenum trioxide</t>
  </si>
  <si>
    <t>market for nickel, class 1</t>
  </si>
  <si>
    <t>nickel, class 1</t>
  </si>
  <si>
    <t>market for portafer</t>
  </si>
  <si>
    <t>portafer</t>
  </si>
  <si>
    <t>market for quicklime, milled, packed</t>
  </si>
  <si>
    <t>quicklime, milled, packed</t>
  </si>
  <si>
    <t>market for silica sand</t>
  </si>
  <si>
    <t>silica sand</t>
  </si>
  <si>
    <t>market for zeolite, powder</t>
  </si>
  <si>
    <t>zeolite, powder</t>
  </si>
  <si>
    <t>market for zinc oxide</t>
  </si>
  <si>
    <t>zinc oxide</t>
  </si>
  <si>
    <t>market group for natural gas, high pressure</t>
  </si>
  <si>
    <t>natural gas, high pressure</t>
  </si>
  <si>
    <t>hydrogen production, steam methane reforming of natural gas, with CCS (MDEA, 98% eff.), 25 bar</t>
  </si>
  <si>
    <t>Assumed 2.9 gallons (11 liters) of evaporated water per kg H2, according to https://www.hydrogen.energy.gov/docs/hydrogenprogramlibraries/pdfs/review16/sa039_elgowainy_2016_o.pdf?Status=Master</t>
  </si>
  <si>
    <t>carbon dioxide, captured at hydrogen production plant, pre, pipeline 200km, storage 1000m</t>
  </si>
  <si>
    <t>ecoinvent 3.6 cutoff</t>
  </si>
  <si>
    <t>market for diethanolamine</t>
  </si>
  <si>
    <t>diethanolamine</t>
  </si>
  <si>
    <t>hydrogen, recovered from coke oven gas, with carbon capture and storage</t>
  </si>
  <si>
    <t>hydrogen, recovered from coke oven gas</t>
  </si>
  <si>
    <t>hydrogen production, gaseous, 30 bar, from PEM electrolysis, from grid electricity, domestic, Tr2050</t>
  </si>
  <si>
    <t>electricity supply, high voltage, from vanadium-redox flow battery system, Tr2050</t>
  </si>
  <si>
    <t>skip</t>
  </si>
  <si>
    <t>hydrogen production, steam methane reforming of natural gas, 25 bar, Tr2050</t>
  </si>
  <si>
    <t>hydrogen production, steam methane reforming of natural gas, with CCS (MDEA, 98% eff.), 25 bar, Tr2050</t>
  </si>
  <si>
    <t>Activity adapted from the similar inventory provided by premise: change of the location of the electricity input &gt; FR</t>
  </si>
  <si>
    <t>hydropower plant construction, reservoir, alpine region</t>
  </si>
  <si>
    <t>hydropower plant, reservoir, alpine region</t>
  </si>
  <si>
    <t>market for lubricating oil</t>
  </si>
  <si>
    <t>lubricating oil</t>
  </si>
  <si>
    <t>market for waste mineral oil</t>
  </si>
  <si>
    <t>waste mineral oil</t>
  </si>
  <si>
    <t>air::non-urban air or from high stacks</t>
  </si>
  <si>
    <t>Methane, non-fossil</t>
  </si>
  <si>
    <t>Occupation, lake, artificial</t>
  </si>
  <si>
    <t>Transformation, from unspecified</t>
  </si>
  <si>
    <t>square meter</t>
  </si>
  <si>
    <t>Transformation, to industrial area</t>
  </si>
  <si>
    <t>Transformation, to lake, artificial</t>
  </si>
  <si>
    <t>Volume occupied, reservoir</t>
  </si>
  <si>
    <t>cubic meter-year</t>
  </si>
  <si>
    <t>Water, turbine use, unspecified natural origin</t>
  </si>
  <si>
    <t>electricity production, hydro, pumped storage, Tr2050</t>
  </si>
  <si>
    <t>treatment of biowaste by anaerobic digestion, cut-off with biogenic carbon uptake</t>
  </si>
  <si>
    <t>This is the activity for the production of biogas by anaerobic digestion of biowaste (food and green waste). Biogas is a by-product of the main activity (biowaste treatment) and comes free of burdens. The inventory includes the corresponding CO2 removed from the atmosphere during biomass growth and contained in the biogas. This ensures the carbon neutrality of the biogas supply chain from cradle to grave</t>
  </si>
  <si>
    <t>biogas</t>
  </si>
  <si>
    <t>biogas_inventories</t>
  </si>
  <si>
    <t>Carbon dioxide, in air</t>
  </si>
  <si>
    <t>natural resource::in air</t>
  </si>
  <si>
    <t>mass of carbon (as CO2) contained in the biogas that has been removed from the atmosphere during biomass growth</t>
  </si>
  <si>
    <t>treatment of industrial wastewater by anaerobic digestion, cut-off with biogenic carbon uptake</t>
  </si>
  <si>
    <t>This is the activity for the production of biogas by anaerobic digestion of industrial wastewater. Biogas is a by-product of the main activity (wastewater treatment) and comes free of burdens. The inventory includes the corresponding CO2 removed from the atmosphere during biomass growth and contained in the biogas. This ensures the carbon neutrality of the biogas supply chain from cradle to grave</t>
  </si>
  <si>
    <t>treatment of sewage sludge by anaerobic digestion, cut-off with biogenic carbon uptake</t>
  </si>
  <si>
    <t>This is the activity for the production of biogas by anaerobic digestion of sewage sludge. Biogas is a by-product of the main activity (sewage sludge treatment) and comes free of burdens. The inventory includes the corresponding CO2 removed from the atmosphere during biomass growth and contained in the biogas. This ensures the carbon neutrality of the biogas supply chain from cradle to grave</t>
  </si>
  <si>
    <t>anaerobic digestion of animal manure, with biogenic carbon uptake</t>
  </si>
  <si>
    <t>This is the activity for the production of biogas and digestate by anaerobic digestion of animal manure. Biogas is the single purpose of this process and, therefore, all the environmental burdens of waste treatment are allocated to the biogas (i.e., digestate leaves the process free of burdens). Manure is transported over a short distance from the farm to the biogas plant. Heat demand is satisfied internaly through the combustion of biogas in a boiler. Emissions include leakage emissions and emissions from the combustion of biogas in a boiler and in flaring. The inventory includes the corresponding CO2 removed from the atmosphere during biomass growth and contained in the biogas. This ensures the carbon neutrality of the biogas supply chain from cradle to grave</t>
  </si>
  <si>
    <t>animal manure collection</t>
  </si>
  <si>
    <t>animal manure</t>
  </si>
  <si>
    <t>amount of wet feedstock required to supply 1 cubic meter of biogas (considering biogas leakage and internal use)</t>
  </si>
  <si>
    <t>eco 3.9.1_coff</t>
  </si>
  <si>
    <t>anaerobic digestion plant construction, agriculture, with methane recovery</t>
  </si>
  <si>
    <t>anaerobic digestion plant, agriculture, with methane recovery</t>
  </si>
  <si>
    <t>RoW</t>
  </si>
  <si>
    <t>market for gas boiler</t>
  </si>
  <si>
    <t>gas boiler</t>
  </si>
  <si>
    <t>mass of carbon (as CO2) contained in the produced biogas (i.e., considering losses and internal use) that has been removed from the atmosphere during biomass growth</t>
  </si>
  <si>
    <t>Carbon dioxide, non-fossil</t>
  </si>
  <si>
    <t>biogas leakage + biogas combustion in boiler + biogas flaring</t>
  </si>
  <si>
    <t>Carbon monoxide, non-fossil</t>
  </si>
  <si>
    <t>biogas combustion in boiler + biogas flaring</t>
  </si>
  <si>
    <t>NMVOC, non-methane volatile organic compounds</t>
  </si>
  <si>
    <t>Platinum</t>
  </si>
  <si>
    <t>anaerobic digestion of agricultural residues, with biogenic carbon uptake</t>
  </si>
  <si>
    <t>This is the activity for the production of biogas and digestate by anaerobic digestion of agricultural residues. Biogas is the single purpose of this process and, therefore, all the environmental burdens of waste treatment are allocated to the biogas (i.e., digestate leaves the process free of burdens). Crop residues were assumed to come free of burdens (collection and transportation were included). The inventory includes the corresponding CO2 removed from the atmosphere during biomass growth and contained in the biogas. This ensures the carbon neutrality of the biogas supply chain from cradle to grave</t>
  </si>
  <si>
    <t>agricultural residues collection</t>
  </si>
  <si>
    <t>agricultural residues</t>
  </si>
  <si>
    <t>amount of wet feedstock required to supply 1 cubic meter of biogas (considering losses and internal use)</t>
  </si>
  <si>
    <t>calculated based on heat requirements and ecoinvent data from ''heat production, biomethane, at boiler condensing modulating &lt;100kW Europe without Switzerland''</t>
  </si>
  <si>
    <t>anaerobic digestion of sequential crops, with biogenic carbon uptake</t>
  </si>
  <si>
    <t>This is the activity for the production of biogas and digestate by anaerobic digestion of sequential crop. Biogas is the single purpose of this process and, therefore, all the environmental burdens are allocated to the biogas (i.e., digestate leaves the process free of burdens). The inventory includes the CO2 removed from the atmosphere during biomass growth and transferred into the biogas. This ensures the carbon neutrality of biogas supply chains from cradle to grave</t>
  </si>
  <si>
    <t>oat forage production, sequential crop for anaerobic digestion</t>
  </si>
  <si>
    <t>oat forage, sequential crop</t>
  </si>
  <si>
    <t>anaerobic digestion of dedicated crops, with biogenic carbon uptake</t>
  </si>
  <si>
    <t>This is the activity for the production of biogas and digestate by anaerobic digestion of dedicated crop. Biogas is the single purpose of this process and, therefore, all the environmental burdens are allocated to the biogas (i.e., digestate leaves the process free of burdens). The inventory includes the CO2 removed from the atmosphere during biomass growth and transferred into the biogas. This ensures the carbon neutrality of biogas supply chains from cradle to grave</t>
  </si>
  <si>
    <t>dedicated crops collection</t>
  </si>
  <si>
    <t>dedicated crops</t>
  </si>
  <si>
    <t>anaerobic digestion of grass and pastures, with biogenic carbon uptake</t>
  </si>
  <si>
    <t>grass collection</t>
  </si>
  <si>
    <t>grass</t>
  </si>
  <si>
    <t>This is the activity for the collection and supply of animal manure. Animal manure is transported over a short distance to the anaerobic digestion plant. Note that the inventory does not include the CO2 removed from the atmosphere during biomass growth since this CO2 is included in the anaerobic digestion inventory</t>
  </si>
  <si>
    <t>market for transport, freight, lorry, unspecified</t>
  </si>
  <si>
    <t>transport, freight, lorry, unspecified</t>
  </si>
  <si>
    <t>ton kilometer</t>
  </si>
  <si>
    <t xml:space="preserve">grass </t>
  </si>
  <si>
    <t>This is the activity for the collection and supply of agricultural residues. Agricultural residues are transported over a short distance to the anaerobic digestion plant. Note that the inventory does not include the CO2 removed from the atmosphere during biomass growth since this CO2 is included in the anaerobic digestion inventory</t>
  </si>
  <si>
    <t>This is the activity for the production of oat forage as sequential crop to be used in anaerobic digestion. Inventory based on Lodato et al. (2022) with a crop yield of 20,000 kg wet mass per ha. Crops are transported over a short distance to the anaerobic digestion plant. Note that the inventory does not include the CO2 removed from the atmosphere during biomass growth since this CO2 is included in the anaerobic digestion inventory</t>
  </si>
  <si>
    <t>Lodato et al. (2022). Towards sustainable methane supply from local bioresources: Anaerobic digestion, gasification, and gas upgrading. Applied Energy 323 (2022) 119568; Vassilev et al. (2010). An overview of the chemical composition of biomass. Fuel 89 (2010) 913–933</t>
  </si>
  <si>
    <t>inorganic nitrogen fertiliser, as N</t>
  </si>
  <si>
    <t>oat forage as sequential crop requires 80 kg N fertilizer/ha (Lodato et al., 2022)</t>
  </si>
  <si>
    <t>market for combine harvesting</t>
  </si>
  <si>
    <t>combine harvesting</t>
  </si>
  <si>
    <t>hectare</t>
  </si>
  <si>
    <t>process considered for harvesting of the sequential crop (Lodato et al., 2022)</t>
  </si>
  <si>
    <t>Nitrate</t>
  </si>
  <si>
    <t>water::ground-</t>
  </si>
  <si>
    <t>nitrate percolation of 88 kg NO3- per ha (Lodato et al., 2022)</t>
  </si>
  <si>
    <t>market for inorganic nitrogen fertiliser, as N</t>
  </si>
  <si>
    <t>biomethane, high pressure</t>
  </si>
  <si>
    <t>Heat, waste</t>
  </si>
  <si>
    <t>Hydrogen sulfide</t>
  </si>
  <si>
    <t>Nitrogen</t>
  </si>
  <si>
    <t>air::urban air close to ground</t>
  </si>
  <si>
    <t>market for activated carbon, granular</t>
  </si>
  <si>
    <t>activated carbon, granular</t>
  </si>
  <si>
    <t>market for chemical factory, organics</t>
  </si>
  <si>
    <t>market for steel, chromium steel 18/8</t>
  </si>
  <si>
    <t>steel, chromium steel 18/8</t>
  </si>
  <si>
    <t>market for biogas to biomethane, Tr2050</t>
  </si>
  <si>
    <t>empty activity, for market that does not exist any more in 2050, Tr2050</t>
  </si>
  <si>
    <t>used for market for hydrogen, for fossil fuel refinery in 2050 as this market does not exist anymore in 2050</t>
  </si>
  <si>
    <t>nothing</t>
  </si>
  <si>
    <t>biogas purification to biomethane by chemical scrubbing, Tr2050</t>
  </si>
  <si>
    <t>market for monoethanolamine</t>
  </si>
  <si>
    <t>monoethanolamine</t>
  </si>
  <si>
    <t>market for charcoal</t>
  </si>
  <si>
    <t>charcoal</t>
  </si>
  <si>
    <t>market for chemical, organic</t>
  </si>
  <si>
    <t>chemical, organic</t>
  </si>
  <si>
    <t>market for potassium hydroxide</t>
  </si>
  <si>
    <t>potassium hydroxide</t>
  </si>
  <si>
    <t>market for sodium chloride, powder</t>
  </si>
  <si>
    <t>sodium chloride, powder</t>
  </si>
  <si>
    <t>Ammonia</t>
  </si>
  <si>
    <t>biogas purification to biomethane by membrane, Tr2050</t>
  </si>
  <si>
    <t>biogas purification to biomethane by water scrubbing, Tr2050</t>
  </si>
  <si>
    <t>biogas purification to biomethane by PSA, Tr2050</t>
  </si>
  <si>
    <t>biogas purification to biomethane by cryogenic separation, Tr2050</t>
  </si>
  <si>
    <t>Agribalyse</t>
  </si>
  <si>
    <t>biowaste collection</t>
  </si>
  <si>
    <t>treated biowaste</t>
  </si>
  <si>
    <t>municipal waste collection service by 21 metric ton lorry</t>
  </si>
  <si>
    <t>steel, low-alloyed</t>
  </si>
  <si>
    <t>steel production, converter, low-alloyed</t>
  </si>
  <si>
    <t>This is the activity for the collection and supply of biowaste. The inventory includes a shreeding activity based on the inventory provided in Agribalyse for France.</t>
  </si>
  <si>
    <t>Shreeding operation based on inventory provided by Agribalyse</t>
  </si>
  <si>
    <t>Distance considered by Agribalyse</t>
  </si>
  <si>
    <t>Istrate et al. (2025) and Mano Esteves et al. (2019)</t>
  </si>
  <si>
    <t>This is the activity for the collection and supply of animal manure. Animal manure is transported over a short distance to the anaerobic digestion plant. No pretreatment is considered based on Mano Esteves et al. (2019)</t>
  </si>
  <si>
    <t>Atrazine</t>
  </si>
  <si>
    <t>soil::agricultural</t>
  </si>
  <si>
    <t>water::surface water</t>
  </si>
  <si>
    <t>Energy, gross calorific value, in biomass</t>
  </si>
  <si>
    <t>natural resource::biotic</t>
  </si>
  <si>
    <t>Glyphosate</t>
  </si>
  <si>
    <t>Metolachlor</t>
  </si>
  <si>
    <t>Occupation, annual crop, non-irrigated, intensive</t>
  </si>
  <si>
    <t>Phosphate</t>
  </si>
  <si>
    <t>Phosphorus</t>
  </si>
  <si>
    <t>Transformation, to annual crop, non-irrigated, intensive</t>
  </si>
  <si>
    <t>market for inorganic phosphorus fertiliser, as P2O5</t>
  </si>
  <si>
    <t>inorganic phosphorus fertiliser, as P2O5</t>
  </si>
  <si>
    <t>market for pesticide, unspecified</t>
  </si>
  <si>
    <t>pesticide, unspecified</t>
  </si>
  <si>
    <t>oat forage production and collection, sequential crop for anaerobic digestion</t>
  </si>
  <si>
    <t>INRAE Transfert (2021)</t>
  </si>
  <si>
    <t>corn, harvested, at ethanol plant</t>
  </si>
  <si>
    <t>LHV [MJ/kg dry]</t>
  </si>
  <si>
    <t>Moisture content [% wt]</t>
  </si>
  <si>
    <t>Francesco TH::BioEthanol::corn to EtOH</t>
  </si>
  <si>
    <t>Field EmissionsEdwards, R., Padella, M., Giuntoli, J., Koeble, R., OÂConnell, A., Bulgheroni, C., Marelli, L., Definition of input data to assess GHG default emissions from biofuels in EU legislation, Version 1c Â July 2017, EUR 28349 EN, Publications Office of the European Union, Luxembourg, 2017, ISBN 978-92-79-64617-1, doi:10.2790/658143, JRC104483</t>
  </si>
  <si>
    <t>Farming machines emissionsEMEP/EEA air pollutant emission inventory guidebook - 2013</t>
  </si>
  <si>
    <t>market for maize seed, for sowing</t>
  </si>
  <si>
    <t>Materials/fuels</t>
  </si>
  <si>
    <t>49 kg per ha per yearFaostat data accessed in October 2016</t>
  </si>
  <si>
    <t>maize seed, for sowing</t>
  </si>
  <si>
    <t>market for natural gas, medium pressure, vehicle grade</t>
  </si>
  <si>
    <t>DryingDrying data calculated in CAPRI by Markus Kempen of Bonn University, October 2016 Kraus, K.; Niklas, G.; Tappe, M.; Umweltbundesamt (UBA), Deutschland: Aktuelle Bewertung des Einsatzes von RapsÃ¶l/RME im Vergleich zu DK; Texte79/99; ISSN 0722-186X</t>
  </si>
  <si>
    <t>natural gas, medium pressure, vehicle grade</t>
  </si>
  <si>
    <t>Edwards, R., Padella, M., Giuntoli, J., Koeble, R., OÂConnell, A., Bulgheroni, C., Marelli, L., Definition of input data to assess GHG default emissions from biofuels in EU legislation, Version 1c Â July 2017, EUR 28349 EN, Publications Office of the European Union, Luxembourg, 2017, ISBN 978-92-79-64617-1, doi:10.2790/658143, JRC104483</t>
  </si>
  <si>
    <t>7 kg per ha per yearCAPRI database, Energy use data extracted by Markus Kempen of Bonn University, March 2012, converted to JEC format</t>
  </si>
  <si>
    <t>market for bipyridylium-compound</t>
  </si>
  <si>
    <t>herbicide. From RED II.</t>
  </si>
  <si>
    <t>bipyridylium-compound</t>
  </si>
  <si>
    <t>4.1 kg P / ton wet biomassInternational fertilizer Association: fertilizer use by crop http://www.fertilizer.org/ifa/Home-Page/STATISTICS acessed 2013</t>
  </si>
  <si>
    <t>market for inorganic potassium fertiliser, as K2O</t>
  </si>
  <si>
    <t>4.8 kg K / ton wet biomassInternational fertilizer Association: fertilizer use by crop http://www.fertilizer.org/ifa/Home-Page/STATISTICS acessed 2013</t>
  </si>
  <si>
    <t>inorganic potassium fertiliser, as K2O</t>
  </si>
  <si>
    <t>market for soil pH raising agent, as CaCO3</t>
  </si>
  <si>
    <t>soil pH raising agent, as CaCO3</t>
  </si>
  <si>
    <t>market for diesel, burned in agricultural machinery</t>
  </si>
  <si>
    <t>CAPRI database, Energy use data extracted by Markus Kempen of Bonn University, March 2012, converted to JEC format</t>
  </si>
  <si>
    <t>diesel, burned in agricultural machinery</t>
  </si>
  <si>
    <t>market group for electricity, medium voltage</t>
  </si>
  <si>
    <t>Electricity/heat</t>
  </si>
  <si>
    <t>Handling &amp; StorageKaltschmitt, M.; Reinhardt, G., A.: Nachwachsende EnergietrÃ¤ger: Grundlagen, Verfahren, Ã¶kologische Bilanzierung; Vieweg 1997; ISBN 3-528-06778-0</t>
  </si>
  <si>
    <t>market group for light fuel oil</t>
  </si>
  <si>
    <t>light fuel oil</t>
  </si>
  <si>
    <t>To account for primary energy in oil</t>
  </si>
  <si>
    <t>Based on an annual production of 7.129 t/ha. Assumes 1-year rotation.</t>
  </si>
  <si>
    <t>Transformation, from annual crop, non-irrigated</t>
  </si>
  <si>
    <t>Based on an annual production of 7.129 t/ha</t>
  </si>
  <si>
    <t>from "maize grain production, US" from ecoinvent</t>
  </si>
  <si>
    <t>Transformation, from annual crop</t>
  </si>
  <si>
    <t>Originally 166 bushel/acre. Assumes two yields per year.</t>
  </si>
  <si>
    <t>Transformation, to annual crop</t>
  </si>
  <si>
    <t>Occupation, annual crop</t>
  </si>
  <si>
    <t>Assumes two yields per year.</t>
  </si>
  <si>
    <t>Acetamide</t>
  </si>
  <si>
    <t>Paraquat</t>
  </si>
  <si>
    <t>Imazapyr</t>
  </si>
  <si>
    <t>Bromoxynil</t>
  </si>
  <si>
    <t>Copper</t>
  </si>
  <si>
    <t>Rimsulfuron</t>
  </si>
  <si>
    <t>Pendimethalin</t>
  </si>
  <si>
    <t>Permethrin</t>
  </si>
  <si>
    <t>Tebupirimphos</t>
  </si>
  <si>
    <t>Lambda-cyhalothrin</t>
  </si>
  <si>
    <t>Nickel</t>
  </si>
  <si>
    <t>Tefluthrin</t>
  </si>
  <si>
    <t>Alachlor</t>
  </si>
  <si>
    <t>Cyfluthrin</t>
  </si>
  <si>
    <t>Zinc</t>
  </si>
  <si>
    <t>Mesotrione</t>
  </si>
  <si>
    <t>Terbufos</t>
  </si>
  <si>
    <t>Chromium</t>
  </si>
  <si>
    <t>Foramsulfuron</t>
  </si>
  <si>
    <t>Bifenthrin</t>
  </si>
  <si>
    <t>Cadmium</t>
  </si>
  <si>
    <t>Dimethenamid</t>
  </si>
  <si>
    <t>Simazine</t>
  </si>
  <si>
    <t>Dicamba</t>
  </si>
  <si>
    <t>Fipronil</t>
  </si>
  <si>
    <t>Glufosinate</t>
  </si>
  <si>
    <t>Diflufenzopyr-sodium</t>
  </si>
  <si>
    <t>2,4-D</t>
  </si>
  <si>
    <t>Chlorpyrifos</t>
  </si>
  <si>
    <t>Acetochlor</t>
  </si>
  <si>
    <t>Flumetsulam</t>
  </si>
  <si>
    <t>Imazethapyr</t>
  </si>
  <si>
    <t>Isoxaflutole</t>
  </si>
  <si>
    <t>Prosulfuron</t>
  </si>
  <si>
    <t>Cypermethrin</t>
  </si>
  <si>
    <t>Nicosulfuron</t>
  </si>
  <si>
    <t>Primisulfuron</t>
  </si>
  <si>
    <t>Lead</t>
  </si>
  <si>
    <t>Water, unspecified natural origin</t>
  </si>
  <si>
    <t>WF for corn from https://doi.org/10.1016/j.jclepro.2017.02.032</t>
  </si>
  <si>
    <t>Already considered in the biogas production stage</t>
  </si>
  <si>
    <t>Farming of corn</t>
  </si>
  <si>
    <t>Life Cycle Assessment of Biofuels in EU/CH, F. Cozzolini 2018, PSI. Herbicide input from RED II. Taken from additional lci provided by premise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</si>
</sst>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E+00"/>
    <numFmt numFmtId="165" formatCode="0.000"/>
    <numFmt numFmtId="166" formatCode="0.0000000000"/>
  </numFmts>
  <fonts count="19">
    <font>
      <sz val="11"/>
      <color theme="1"/>
      <name val="Calibri"/>
      <family val="2"/>
      <scheme val="minor"/>
    </font>
    <font>
      <sz val="11"/>
      <color theme="1"/>
      <name val="Calibri"/>
      <family val="2"/>
      <scheme val="minor"/>
    </font>
    <font>
      <b/>
      <sz val="11"/>
      <color theme="1"/>
      <name val="Calibri"/>
      <family val="2"/>
      <scheme val="minor"/>
    </font>
    <font>
      <sz val="11"/>
      <color indexed="8"/>
      <name val="Calibri"/>
      <family val="2"/>
      <scheme val="minor"/>
    </font>
    <font>
      <b/>
      <sz val="11"/>
      <color indexed="8"/>
      <name val="Calibri"/>
      <family val="2"/>
      <scheme val="minor"/>
    </font>
    <font>
      <sz val="10"/>
      <color theme="1"/>
      <name val="Arial"/>
      <family val="2"/>
    </font>
    <font>
      <sz val="11"/>
      <color rgb="FF9C5700"/>
      <name val="Calibri"/>
      <family val="2"/>
      <scheme val="minor"/>
    </font>
    <font>
      <b/>
      <sz val="12"/>
      <color theme="1"/>
      <name val="Calibri"/>
      <family val="2"/>
      <scheme val="minor"/>
    </font>
    <font>
      <b/>
      <sz val="12"/>
      <name val="Calibri (Body)"/>
    </font>
    <font>
      <sz val="12"/>
      <name val="Calibri (Body)"/>
    </font>
    <font>
      <i/>
      <sz val="11"/>
      <color theme="1"/>
      <name val="Calibri"/>
      <family val="2"/>
      <scheme val="minor"/>
    </font>
    <font>
      <b/>
      <sz val="12"/>
      <color rgb="FF000000"/>
      <name val="Calibri"/>
      <family val="2"/>
      <scheme val="minor"/>
    </font>
    <font>
      <sz val="11"/>
      <color rgb="FF000000"/>
      <name val="Calibri"/>
      <family val="2"/>
      <scheme val="minor"/>
    </font>
    <font>
      <sz val="11"/>
      <color rgb="FFFF0000"/>
      <name val="Calibri"/>
      <family val="2"/>
      <scheme val="minor"/>
    </font>
    <font>
      <sz val="11"/>
      <name val="Calibri"/>
      <family val="2"/>
      <scheme val="minor"/>
    </font>
    <font>
      <b/>
      <sz val="11"/>
      <name val="Calibri"/>
      <family val="2"/>
      <scheme val="minor"/>
    </font>
    <font>
      <b/>
      <sz val="11"/>
      <color rgb="FF000000"/>
      <name val="Calibri"/>
      <family val="2"/>
      <scheme val="minor"/>
    </font>
    <font>
      <u/>
      <sz val="11"/>
      <color theme="10"/>
      <name val="Calibri"/>
      <family val="2"/>
      <scheme val="minor"/>
    </font>
    <font>
      <sz val="12"/>
      <color theme="1"/>
      <name val="Calibri"/>
      <family val="2"/>
      <scheme val="minor"/>
    </font>
  </fonts>
  <fills count="7">
    <fill>
      <patternFill patternType="none"/>
    </fill>
    <fill>
      <patternFill patternType="gray125"/>
    </fill>
    <fill>
      <patternFill patternType="solid">
        <fgColor rgb="FFFFEB9C"/>
      </patternFill>
    </fill>
    <fill>
      <patternFill patternType="solid">
        <fgColor rgb="FFFFFF00"/>
        <bgColor indexed="64"/>
      </patternFill>
    </fill>
    <fill>
      <patternFill patternType="solid">
        <fgColor theme="8" tint="0.79998168889431442"/>
        <bgColor indexed="64"/>
      </patternFill>
    </fill>
    <fill>
      <patternFill patternType="solid">
        <fgColor theme="8" tint="0.59999389629810485"/>
        <bgColor indexed="64"/>
      </patternFill>
    </fill>
    <fill>
      <patternFill patternType="solid">
        <fgColor rgb="FFFF0000"/>
        <bgColor indexed="64"/>
      </patternFill>
    </fill>
  </fills>
  <borders count="2">
    <border>
      <left/>
      <right/>
      <top/>
      <bottom/>
      <diagonal/>
    </border>
    <border>
      <left/>
      <right style="thin">
        <color indexed="64"/>
      </right>
      <top/>
      <bottom/>
      <diagonal/>
    </border>
  </borders>
  <cellStyleXfs count="7">
    <xf numFmtId="0" fontId="0" fillId="0" borderId="0"/>
    <xf numFmtId="0" fontId="1" fillId="0" borderId="0"/>
    <xf numFmtId="0" fontId="1" fillId="0" borderId="0"/>
    <xf numFmtId="0" fontId="5" fillId="0" borderId="0"/>
    <xf numFmtId="0" fontId="6" fillId="2" borderId="0" applyNumberFormat="0" applyBorder="0" applyAlignment="0" applyProtection="0"/>
    <xf numFmtId="9" fontId="1" fillId="0" borderId="0" applyFont="0" applyFill="0" applyBorder="0" applyAlignment="0" applyProtection="0"/>
    <xf numFmtId="0" fontId="17" fillId="0" borderId="0" applyNumberFormat="0" applyFill="0" applyBorder="0" applyAlignment="0" applyProtection="0"/>
  </cellStyleXfs>
  <cellXfs count="67">
    <xf numFmtId="0" fontId="0" fillId="0" borderId="0" xfId="0"/>
    <xf numFmtId="0" fontId="0" fillId="0" borderId="0" xfId="2" applyFont="1"/>
    <xf numFmtId="11" fontId="1" fillId="0" borderId="0" xfId="4" applyNumberFormat="1" applyFont="1" applyFill="1"/>
    <xf numFmtId="0" fontId="0" fillId="0" borderId="1" xfId="0" applyBorder="1"/>
    <xf numFmtId="0" fontId="2" fillId="0" borderId="0" xfId="1" applyFont="1"/>
    <xf numFmtId="11" fontId="2" fillId="0" borderId="0" xfId="1" applyNumberFormat="1" applyFont="1"/>
    <xf numFmtId="0" fontId="1" fillId="0" borderId="0" xfId="1"/>
    <xf numFmtId="0" fontId="1" fillId="0" borderId="1" xfId="1" applyBorder="1"/>
    <xf numFmtId="0" fontId="1" fillId="0" borderId="0" xfId="0" applyFont="1"/>
    <xf numFmtId="0" fontId="3" fillId="0" borderId="0" xfId="0" applyFont="1"/>
    <xf numFmtId="11" fontId="3" fillId="0" borderId="0" xfId="0" applyNumberFormat="1" applyFont="1"/>
    <xf numFmtId="0" fontId="3" fillId="0" borderId="1" xfId="0" applyFont="1" applyBorder="1"/>
    <xf numFmtId="11" fontId="4" fillId="0" borderId="0" xfId="0" applyNumberFormat="1" applyFont="1"/>
    <xf numFmtId="0" fontId="1" fillId="0" borderId="0" xfId="2"/>
    <xf numFmtId="11" fontId="1" fillId="0" borderId="0" xfId="1" applyNumberFormat="1" applyAlignment="1">
      <alignment horizontal="left"/>
    </xf>
    <xf numFmtId="11" fontId="0" fillId="0" borderId="0" xfId="1" applyNumberFormat="1" applyFont="1" applyAlignment="1">
      <alignment horizontal="left"/>
    </xf>
    <xf numFmtId="0" fontId="4" fillId="0" borderId="0" xfId="0" applyFont="1"/>
    <xf numFmtId="0" fontId="4" fillId="0" borderId="1" xfId="0" applyFont="1" applyBorder="1"/>
    <xf numFmtId="0" fontId="1" fillId="0" borderId="1" xfId="2" applyBorder="1"/>
    <xf numFmtId="11" fontId="0" fillId="0" borderId="0" xfId="0" applyNumberFormat="1"/>
    <xf numFmtId="0" fontId="0" fillId="0" borderId="1" xfId="2" applyFont="1" applyBorder="1"/>
    <xf numFmtId="0" fontId="0" fillId="0" borderId="0" xfId="1" applyFont="1" applyAlignment="1">
      <alignment wrapText="1"/>
    </xf>
    <xf numFmtId="0" fontId="0" fillId="0" borderId="0" xfId="2" quotePrefix="1" applyFont="1"/>
    <xf numFmtId="11" fontId="0" fillId="0" borderId="0" xfId="1" applyNumberFormat="1" applyFont="1" applyAlignment="1">
      <alignment horizontal="left" vertical="top"/>
    </xf>
    <xf numFmtId="0" fontId="9" fillId="0" borderId="0" xfId="2" applyFont="1"/>
    <xf numFmtId="0" fontId="9" fillId="0" borderId="0" xfId="0" applyFont="1"/>
    <xf numFmtId="2" fontId="9" fillId="0" borderId="0" xfId="0" applyNumberFormat="1" applyFont="1"/>
    <xf numFmtId="11" fontId="9" fillId="0" borderId="0" xfId="4" applyNumberFormat="1" applyFont="1" applyFill="1"/>
    <xf numFmtId="11" fontId="9" fillId="0" borderId="0" xfId="0" applyNumberFormat="1" applyFont="1"/>
    <xf numFmtId="0" fontId="8" fillId="0" borderId="0" xfId="0" applyFont="1"/>
    <xf numFmtId="0" fontId="7" fillId="0" borderId="0" xfId="0" applyFont="1"/>
    <xf numFmtId="2" fontId="7" fillId="0" borderId="0" xfId="0" applyNumberFormat="1" applyFont="1"/>
    <xf numFmtId="2" fontId="0" fillId="0" borderId="0" xfId="0" applyNumberFormat="1"/>
    <xf numFmtId="0" fontId="10" fillId="0" borderId="0" xfId="0" applyFont="1"/>
    <xf numFmtId="164" fontId="0" fillId="0" borderId="0" xfId="0" applyNumberFormat="1"/>
    <xf numFmtId="0" fontId="11" fillId="0" borderId="0" xfId="0" applyFont="1"/>
    <xf numFmtId="0" fontId="12" fillId="0" borderId="0" xfId="0" applyFont="1"/>
    <xf numFmtId="11" fontId="12" fillId="0" borderId="0" xfId="0" applyNumberFormat="1" applyFont="1"/>
    <xf numFmtId="0" fontId="12" fillId="3" borderId="0" xfId="0" applyFont="1" applyFill="1"/>
    <xf numFmtId="11" fontId="2" fillId="0" borderId="0" xfId="0" applyNumberFormat="1" applyFont="1"/>
    <xf numFmtId="0" fontId="0" fillId="3" borderId="0" xfId="0" applyFill="1"/>
    <xf numFmtId="0" fontId="14" fillId="4" borderId="0" xfId="0" applyFont="1" applyFill="1"/>
    <xf numFmtId="0" fontId="14" fillId="4" borderId="0" xfId="0" applyFont="1" applyFill="1" applyAlignment="1">
      <alignment horizontal="left"/>
    </xf>
    <xf numFmtId="0" fontId="15" fillId="0" borderId="0" xfId="0" applyFont="1"/>
    <xf numFmtId="11" fontId="14" fillId="0" borderId="0" xfId="0" applyNumberFormat="1" applyFont="1" applyAlignment="1">
      <alignment horizontal="left"/>
    </xf>
    <xf numFmtId="0" fontId="14" fillId="0" borderId="0" xfId="0" applyFont="1"/>
    <xf numFmtId="0" fontId="2" fillId="0" borderId="0" xfId="0" applyFont="1"/>
    <xf numFmtId="0" fontId="14" fillId="0" borderId="0" xfId="0" applyFont="1" applyAlignment="1">
      <alignment horizontal="left"/>
    </xf>
    <xf numFmtId="11" fontId="14" fillId="0" borderId="0" xfId="0" applyNumberFormat="1" applyFont="1"/>
    <xf numFmtId="11" fontId="15" fillId="0" borderId="0" xfId="0" applyNumberFormat="1" applyFont="1" applyAlignment="1">
      <alignment horizontal="left"/>
    </xf>
    <xf numFmtId="0" fontId="14" fillId="0" borderId="0" xfId="1" applyFont="1"/>
    <xf numFmtId="165" fontId="14" fillId="0" borderId="0" xfId="0" applyNumberFormat="1" applyFont="1" applyAlignment="1">
      <alignment horizontal="left"/>
    </xf>
    <xf numFmtId="10" fontId="14" fillId="0" borderId="0" xfId="0" applyNumberFormat="1" applyFont="1"/>
    <xf numFmtId="0" fontId="13" fillId="0" borderId="0" xfId="1" applyFont="1"/>
    <xf numFmtId="165" fontId="14" fillId="0" borderId="0" xfId="1" applyNumberFormat="1" applyFont="1"/>
    <xf numFmtId="0" fontId="16" fillId="0" borderId="0" xfId="0" applyFont="1"/>
    <xf numFmtId="0" fontId="0" fillId="5" borderId="0" xfId="0" applyFill="1"/>
    <xf numFmtId="11" fontId="0" fillId="5" borderId="0" xfId="0" applyNumberFormat="1" applyFill="1"/>
    <xf numFmtId="0" fontId="0" fillId="5" borderId="1" xfId="0" applyFill="1" applyBorder="1"/>
    <xf numFmtId="0" fontId="0" fillId="6" borderId="0" xfId="0" applyFill="1"/>
    <xf numFmtId="166" fontId="0" fillId="0" borderId="0" xfId="0" applyNumberFormat="1"/>
    <xf numFmtId="1" fontId="0" fillId="0" borderId="0" xfId="0" applyNumberFormat="1"/>
    <xf numFmtId="0" fontId="15" fillId="3" borderId="0" xfId="0" applyFont="1" applyFill="1"/>
    <xf numFmtId="11" fontId="0" fillId="0" borderId="0" xfId="0" applyNumberFormat="1" applyAlignment="1">
      <alignment horizontal="left"/>
    </xf>
    <xf numFmtId="0" fontId="18" fillId="0" borderId="0" xfId="0" applyFont="1"/>
    <xf numFmtId="11" fontId="0" fillId="0" borderId="0" xfId="5" applyNumberFormat="1" applyFont="1"/>
    <xf numFmtId="0" fontId="17" fillId="0" borderId="0" xfId="6"/>
  </cellXfs>
  <cellStyles count="7">
    <cellStyle name="Hyperlink" xfId="6" builtinId="8"/>
    <cellStyle name="Neutral" xfId="4" builtinId="28"/>
    <cellStyle name="Normal" xfId="0" builtinId="0"/>
    <cellStyle name="Normal 11 3" xfId="1" xr:uid="{00000000-0005-0000-0000-000002000000}"/>
    <cellStyle name="Normal 2" xfId="2" xr:uid="{00000000-0005-0000-0000-000003000000}"/>
    <cellStyle name="Normal 3" xfId="3" xr:uid="{00000000-0005-0000-0000-000004000000}"/>
    <cellStyle name="Percent" xfId="5"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aredStrings" Target="sharedStrings.xml"/><Relationship Id="rId4"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doi.org/10.1016/j.jclepro.2017.02.032"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H665"/>
  <sheetViews>
    <sheetView tabSelected="1" topLeftCell="A407" zoomScaleNormal="100" workbookViewId="0">
      <selection activeCell="G446" sqref="G446"/>
    </sheetView>
  </sheetViews>
  <sheetFormatPr defaultColWidth="8.88671875" defaultRowHeight="14.4"/>
  <cols>
    <col min="1" max="1" width="73.109375" customWidth="1"/>
    <col min="2" max="2" width="18.5546875" style="19" customWidth="1"/>
    <col min="3" max="3" width="17.109375" customWidth="1"/>
    <col min="4" max="4" width="24.44140625" bestFit="1" customWidth="1"/>
    <col min="5" max="5" width="11.44140625" customWidth="1"/>
    <col min="6" max="6" width="14.88671875" bestFit="1" customWidth="1"/>
    <col min="7" max="7" width="33.44140625" bestFit="1" customWidth="1"/>
    <col min="8" max="8" width="19.5546875" bestFit="1" customWidth="1"/>
    <col min="9" max="9" width="99.109375" style="3" customWidth="1"/>
    <col min="10" max="10" width="31" customWidth="1"/>
  </cols>
  <sheetData>
    <row r="1" spans="1:14">
      <c r="A1" t="s">
        <v>14</v>
      </c>
      <c r="B1">
        <v>9</v>
      </c>
    </row>
    <row r="2" spans="1:14">
      <c r="A2" s="4" t="s">
        <v>0</v>
      </c>
      <c r="B2" s="5" t="s">
        <v>100</v>
      </c>
      <c r="C2" s="6"/>
      <c r="D2" s="6"/>
      <c r="E2" s="6"/>
      <c r="F2" s="6"/>
      <c r="G2" s="6"/>
      <c r="H2" s="6"/>
      <c r="I2" s="7"/>
      <c r="K2" s="8"/>
    </row>
    <row r="3" spans="1:14">
      <c r="A3" s="4"/>
      <c r="B3" s="5"/>
      <c r="C3" s="6"/>
      <c r="D3" s="6"/>
      <c r="E3" s="6"/>
      <c r="F3" s="6"/>
      <c r="G3" s="6"/>
      <c r="H3" s="6"/>
      <c r="I3" s="7"/>
      <c r="K3" s="8"/>
    </row>
    <row r="4" spans="1:14">
      <c r="A4" s="9"/>
      <c r="B4" s="10"/>
      <c r="C4" s="9"/>
      <c r="D4" s="9"/>
      <c r="E4" s="9"/>
      <c r="F4" s="9"/>
      <c r="G4" s="9"/>
      <c r="H4" s="9"/>
      <c r="I4" s="11"/>
      <c r="K4" s="8"/>
    </row>
    <row r="5" spans="1:14" ht="15.6">
      <c r="A5" s="30" t="s">
        <v>1</v>
      </c>
      <c r="B5" s="30" t="s">
        <v>173</v>
      </c>
      <c r="I5"/>
      <c r="M5" t="s">
        <v>74</v>
      </c>
    </row>
    <row r="6" spans="1:14">
      <c r="A6" t="s">
        <v>2</v>
      </c>
      <c r="B6" t="s">
        <v>29</v>
      </c>
      <c r="I6"/>
      <c r="M6" t="s">
        <v>74</v>
      </c>
    </row>
    <row r="7" spans="1:14">
      <c r="A7" t="s">
        <v>11</v>
      </c>
      <c r="B7" t="s">
        <v>75</v>
      </c>
      <c r="I7"/>
    </row>
    <row r="8" spans="1:14">
      <c r="A8" t="s">
        <v>3</v>
      </c>
      <c r="B8">
        <v>1</v>
      </c>
      <c r="I8"/>
      <c r="M8" t="s">
        <v>74</v>
      </c>
    </row>
    <row r="9" spans="1:14">
      <c r="A9" t="s">
        <v>76</v>
      </c>
      <c r="B9" t="s">
        <v>77</v>
      </c>
      <c r="I9"/>
    </row>
    <row r="10" spans="1:14">
      <c r="A10" t="s">
        <v>4</v>
      </c>
      <c r="B10" t="s">
        <v>31</v>
      </c>
      <c r="I10"/>
      <c r="M10" t="s">
        <v>74</v>
      </c>
    </row>
    <row r="11" spans="1:14">
      <c r="A11" t="s">
        <v>5</v>
      </c>
      <c r="B11" t="s">
        <v>78</v>
      </c>
      <c r="I11"/>
      <c r="M11" t="s">
        <v>74</v>
      </c>
    </row>
    <row r="12" spans="1:14">
      <c r="A12" t="s">
        <v>6</v>
      </c>
      <c r="B12" t="s">
        <v>19</v>
      </c>
      <c r="I12"/>
      <c r="M12" t="s">
        <v>74</v>
      </c>
    </row>
    <row r="13" spans="1:14" ht="15.6">
      <c r="A13" s="30" t="s">
        <v>7</v>
      </c>
      <c r="B13"/>
      <c r="I13"/>
      <c r="M13" t="s">
        <v>74</v>
      </c>
    </row>
    <row r="14" spans="1:14" ht="15.6">
      <c r="A14" s="30" t="s">
        <v>8</v>
      </c>
      <c r="B14" s="30" t="s">
        <v>9</v>
      </c>
      <c r="C14" s="30" t="s">
        <v>2</v>
      </c>
      <c r="D14" s="30" t="s">
        <v>6</v>
      </c>
      <c r="E14" s="30" t="s">
        <v>10</v>
      </c>
      <c r="F14" s="30" t="s">
        <v>5</v>
      </c>
      <c r="G14" s="30" t="s">
        <v>4</v>
      </c>
      <c r="H14" s="30" t="s">
        <v>11</v>
      </c>
      <c r="I14" s="33"/>
    </row>
    <row r="15" spans="1:14">
      <c r="A15" t="str">
        <f>B5</f>
        <v>electricity supply, high voltage, from vanadium-redox flow battery system, Tr2050</v>
      </c>
      <c r="B15">
        <v>1</v>
      </c>
      <c r="C15" t="s">
        <v>29</v>
      </c>
      <c r="D15" t="str">
        <f>B12</f>
        <v>kilowatt hour</v>
      </c>
      <c r="F15" t="s">
        <v>18</v>
      </c>
      <c r="G15" t="str">
        <f>B10</f>
        <v>electricity, high voltage</v>
      </c>
      <c r="I15" s="8"/>
      <c r="J15" s="8"/>
      <c r="K15" s="8"/>
      <c r="L15" s="8"/>
      <c r="M15" s="8"/>
      <c r="N15" s="8"/>
    </row>
    <row r="16" spans="1:14">
      <c r="A16" t="s">
        <v>98</v>
      </c>
      <c r="B16">
        <v>1.33</v>
      </c>
      <c r="C16" t="s">
        <v>29</v>
      </c>
      <c r="D16" t="s">
        <v>19</v>
      </c>
      <c r="F16" t="s">
        <v>12</v>
      </c>
      <c r="G16" t="s">
        <v>31</v>
      </c>
      <c r="H16" t="s">
        <v>79</v>
      </c>
      <c r="I16" s="8"/>
      <c r="J16" s="8"/>
      <c r="K16" s="8"/>
      <c r="L16" s="8"/>
      <c r="M16" s="8"/>
      <c r="N16" s="8"/>
    </row>
    <row r="17" spans="1:11">
      <c r="A17" t="s">
        <v>80</v>
      </c>
      <c r="B17" s="34">
        <f>1/(49000000)</f>
        <v>2.0408163265306123E-8</v>
      </c>
      <c r="C17" t="s">
        <v>49</v>
      </c>
      <c r="D17" t="s">
        <v>6</v>
      </c>
      <c r="F17" t="s">
        <v>12</v>
      </c>
      <c r="G17" t="s">
        <v>81</v>
      </c>
      <c r="H17" t="s">
        <v>82</v>
      </c>
      <c r="I17"/>
    </row>
    <row r="18" spans="1:11">
      <c r="A18" t="s">
        <v>83</v>
      </c>
      <c r="B18" s="34">
        <f>1/(49000000)</f>
        <v>2.0408163265306123E-8</v>
      </c>
      <c r="C18" t="s">
        <v>49</v>
      </c>
      <c r="D18" t="s">
        <v>6</v>
      </c>
      <c r="F18" t="s">
        <v>12</v>
      </c>
      <c r="G18" t="s">
        <v>84</v>
      </c>
      <c r="H18" t="s">
        <v>85</v>
      </c>
      <c r="I18"/>
    </row>
    <row r="19" spans="1:11">
      <c r="A19" t="s">
        <v>86</v>
      </c>
      <c r="B19" s="34">
        <f>-0.41/1000</f>
        <v>-4.0999999999999999E-4</v>
      </c>
      <c r="C19" t="s">
        <v>49</v>
      </c>
      <c r="D19" t="s">
        <v>13</v>
      </c>
      <c r="F19" t="s">
        <v>12</v>
      </c>
      <c r="G19" t="s">
        <v>87</v>
      </c>
      <c r="H19" t="s">
        <v>88</v>
      </c>
      <c r="I19"/>
    </row>
    <row r="20" spans="1:11">
      <c r="A20" t="s">
        <v>89</v>
      </c>
      <c r="B20">
        <f>-0.66/1000</f>
        <v>-6.6E-4</v>
      </c>
      <c r="C20" t="s">
        <v>49</v>
      </c>
      <c r="D20" t="s">
        <v>13</v>
      </c>
      <c r="F20" t="s">
        <v>12</v>
      </c>
      <c r="G20" t="s">
        <v>90</v>
      </c>
      <c r="H20" t="s">
        <v>91</v>
      </c>
      <c r="I20"/>
    </row>
    <row r="21" spans="1:11">
      <c r="A21" t="s">
        <v>92</v>
      </c>
      <c r="B21">
        <f>-5.55/1000</f>
        <v>-5.5500000000000002E-3</v>
      </c>
      <c r="C21" t="s">
        <v>49</v>
      </c>
      <c r="D21" t="s">
        <v>13</v>
      </c>
      <c r="F21" t="s">
        <v>12</v>
      </c>
      <c r="G21" t="s">
        <v>93</v>
      </c>
      <c r="H21" t="s">
        <v>94</v>
      </c>
      <c r="I21"/>
    </row>
    <row r="22" spans="1:11">
      <c r="A22" t="s">
        <v>95</v>
      </c>
      <c r="B22">
        <f>-0.1/1000</f>
        <v>-1E-4</v>
      </c>
      <c r="C22" t="s">
        <v>49</v>
      </c>
      <c r="D22" t="s">
        <v>13</v>
      </c>
      <c r="F22" t="s">
        <v>12</v>
      </c>
      <c r="G22" t="s">
        <v>96</v>
      </c>
      <c r="H22" t="s">
        <v>97</v>
      </c>
      <c r="I22"/>
    </row>
    <row r="23" spans="1:11">
      <c r="B23"/>
      <c r="I23"/>
    </row>
    <row r="24" spans="1:11">
      <c r="B24"/>
      <c r="I24"/>
    </row>
    <row r="25" spans="1:11">
      <c r="A25" s="4" t="s">
        <v>1</v>
      </c>
      <c r="B25" s="39" t="s">
        <v>194</v>
      </c>
      <c r="C25" s="13"/>
      <c r="D25" s="9"/>
      <c r="E25" s="9"/>
      <c r="F25" s="9"/>
      <c r="G25" s="9"/>
      <c r="H25" s="9"/>
      <c r="I25" s="11"/>
      <c r="K25" s="8"/>
    </row>
    <row r="26" spans="1:11">
      <c r="A26" s="6" t="s">
        <v>3</v>
      </c>
      <c r="B26" s="14">
        <v>1</v>
      </c>
      <c r="C26" s="9"/>
      <c r="D26" s="9"/>
      <c r="E26" s="9"/>
      <c r="F26" s="9"/>
      <c r="G26" s="9"/>
      <c r="H26" s="9"/>
      <c r="I26" s="11"/>
      <c r="K26" s="8"/>
    </row>
    <row r="27" spans="1:11">
      <c r="A27" s="6" t="s">
        <v>11</v>
      </c>
      <c r="B27" s="15" t="s">
        <v>177</v>
      </c>
      <c r="C27" s="9"/>
      <c r="D27" s="9"/>
      <c r="E27" s="9"/>
      <c r="F27" s="9"/>
      <c r="G27" s="9"/>
      <c r="H27" s="9"/>
      <c r="I27" s="11"/>
      <c r="K27" s="8"/>
    </row>
    <row r="28" spans="1:11">
      <c r="A28" s="6" t="s">
        <v>4</v>
      </c>
      <c r="B28" t="s">
        <v>31</v>
      </c>
      <c r="C28" s="9"/>
      <c r="D28" s="9"/>
      <c r="E28" s="9"/>
      <c r="F28" s="9"/>
      <c r="G28" s="9"/>
      <c r="H28" s="9"/>
      <c r="I28" s="11"/>
      <c r="K28" s="8"/>
    </row>
    <row r="29" spans="1:11">
      <c r="A29" s="6" t="s">
        <v>2</v>
      </c>
      <c r="B29" s="15" t="s">
        <v>29</v>
      </c>
      <c r="C29" s="9"/>
      <c r="D29" s="9"/>
      <c r="E29" s="9"/>
      <c r="F29" s="9"/>
      <c r="G29" s="9"/>
      <c r="H29" s="9"/>
      <c r="I29" s="11"/>
      <c r="K29" s="8"/>
    </row>
    <row r="30" spans="1:11">
      <c r="A30" s="6" t="s">
        <v>6</v>
      </c>
      <c r="B30" s="10" t="s">
        <v>19</v>
      </c>
      <c r="C30" s="9"/>
      <c r="D30" s="9"/>
      <c r="E30" s="9"/>
      <c r="F30" s="9"/>
      <c r="G30" s="9"/>
      <c r="H30" s="16"/>
      <c r="I30" s="17"/>
      <c r="K30" s="8"/>
    </row>
    <row r="31" spans="1:11">
      <c r="A31" s="16" t="s">
        <v>7</v>
      </c>
      <c r="B31" s="12"/>
      <c r="C31" s="16"/>
      <c r="D31" s="16"/>
      <c r="E31" s="16"/>
      <c r="F31" s="16"/>
      <c r="G31" s="16"/>
      <c r="H31" s="13"/>
      <c r="I31" s="18"/>
      <c r="K31" s="8"/>
    </row>
    <row r="32" spans="1:11">
      <c r="A32" t="s">
        <v>8</v>
      </c>
      <c r="B32" s="19" t="s">
        <v>9</v>
      </c>
      <c r="C32" t="s">
        <v>2</v>
      </c>
      <c r="D32" t="s">
        <v>6</v>
      </c>
      <c r="E32" t="s">
        <v>5</v>
      </c>
      <c r="F32" t="s">
        <v>4</v>
      </c>
      <c r="G32" t="s">
        <v>10</v>
      </c>
      <c r="H32" s="20" t="s">
        <v>11</v>
      </c>
      <c r="J32" s="1"/>
      <c r="K32" s="8"/>
    </row>
    <row r="33" spans="1:11">
      <c r="A33" s="19" t="s">
        <v>194</v>
      </c>
      <c r="B33" s="19">
        <v>1</v>
      </c>
      <c r="C33" t="str">
        <f>B29</f>
        <v>FR</v>
      </c>
      <c r="D33" s="10" t="s">
        <v>19</v>
      </c>
      <c r="E33" t="s">
        <v>18</v>
      </c>
      <c r="F33" t="s">
        <v>31</v>
      </c>
      <c r="G33" s="13"/>
      <c r="H33" s="18"/>
      <c r="K33" s="8"/>
    </row>
    <row r="34" spans="1:11">
      <c r="A34" t="s">
        <v>178</v>
      </c>
      <c r="B34" s="19">
        <v>4.0404040404040398E-13</v>
      </c>
      <c r="C34" t="s">
        <v>49</v>
      </c>
      <c r="D34" t="s">
        <v>6</v>
      </c>
      <c r="E34" t="s">
        <v>12</v>
      </c>
      <c r="F34" t="s">
        <v>179</v>
      </c>
    </row>
    <row r="35" spans="1:11">
      <c r="A35" t="s">
        <v>180</v>
      </c>
      <c r="B35" s="19">
        <v>7.5599999999999996E-6</v>
      </c>
      <c r="C35" t="s">
        <v>49</v>
      </c>
      <c r="D35" t="s">
        <v>13</v>
      </c>
      <c r="E35" t="s">
        <v>12</v>
      </c>
      <c r="F35" t="s">
        <v>181</v>
      </c>
    </row>
    <row r="36" spans="1:11">
      <c r="A36" t="s">
        <v>182</v>
      </c>
      <c r="B36" s="19">
        <v>-7.5599999999999996E-6</v>
      </c>
      <c r="C36" t="s">
        <v>22</v>
      </c>
      <c r="D36" t="s">
        <v>13</v>
      </c>
      <c r="E36" t="s">
        <v>12</v>
      </c>
      <c r="F36" t="s">
        <v>183</v>
      </c>
    </row>
    <row r="37" spans="1:11">
      <c r="A37" t="s">
        <v>98</v>
      </c>
      <c r="B37" s="19">
        <v>1.25125</v>
      </c>
      <c r="C37" s="40" t="s">
        <v>29</v>
      </c>
      <c r="D37" t="s">
        <v>19</v>
      </c>
      <c r="E37" t="s">
        <v>12</v>
      </c>
      <c r="F37" t="s">
        <v>31</v>
      </c>
    </row>
    <row r="38" spans="1:11">
      <c r="A38" t="s">
        <v>115</v>
      </c>
      <c r="B38" s="19">
        <v>7.7000000000000001E-8</v>
      </c>
      <c r="D38" t="s">
        <v>13</v>
      </c>
      <c r="E38" t="s">
        <v>15</v>
      </c>
      <c r="G38" t="s">
        <v>184</v>
      </c>
    </row>
    <row r="39" spans="1:11">
      <c r="A39" t="s">
        <v>185</v>
      </c>
      <c r="B39" s="19">
        <v>1.4E-5</v>
      </c>
      <c r="D39" t="s">
        <v>13</v>
      </c>
      <c r="E39" t="s">
        <v>15</v>
      </c>
      <c r="G39" t="s">
        <v>184</v>
      </c>
    </row>
    <row r="40" spans="1:11">
      <c r="A40" t="s">
        <v>130</v>
      </c>
      <c r="B40" s="19">
        <v>2.49876858810916E-4</v>
      </c>
      <c r="D40" t="s">
        <v>128</v>
      </c>
      <c r="E40" t="s">
        <v>15</v>
      </c>
      <c r="G40" t="s">
        <v>25</v>
      </c>
    </row>
    <row r="41" spans="1:11">
      <c r="A41" t="s">
        <v>130</v>
      </c>
      <c r="B41" s="19">
        <v>1.1580501231411899</v>
      </c>
      <c r="D41" t="s">
        <v>128</v>
      </c>
      <c r="E41" t="s">
        <v>15</v>
      </c>
      <c r="G41" t="s">
        <v>131</v>
      </c>
    </row>
    <row r="42" spans="1:11">
      <c r="A42" t="s">
        <v>186</v>
      </c>
      <c r="B42" s="19">
        <v>3.4499999999999999E-3</v>
      </c>
      <c r="D42" t="s">
        <v>17</v>
      </c>
      <c r="E42" t="s">
        <v>15</v>
      </c>
      <c r="G42" t="s">
        <v>16</v>
      </c>
    </row>
    <row r="43" spans="1:11">
      <c r="A43" t="s">
        <v>187</v>
      </c>
      <c r="B43" s="19">
        <v>2.3E-5</v>
      </c>
      <c r="D43" t="s">
        <v>188</v>
      </c>
      <c r="E43" t="s">
        <v>15</v>
      </c>
      <c r="G43" t="s">
        <v>16</v>
      </c>
    </row>
    <row r="44" spans="1:11">
      <c r="A44" t="s">
        <v>189</v>
      </c>
      <c r="B44" s="19">
        <v>2.2999999999999999E-7</v>
      </c>
      <c r="D44" t="s">
        <v>188</v>
      </c>
      <c r="E44" t="s">
        <v>15</v>
      </c>
      <c r="G44" t="s">
        <v>16</v>
      </c>
    </row>
    <row r="45" spans="1:11">
      <c r="A45" t="s">
        <v>190</v>
      </c>
      <c r="B45" s="19">
        <v>2.2770000000000001E-5</v>
      </c>
      <c r="D45" t="s">
        <v>188</v>
      </c>
      <c r="E45" t="s">
        <v>15</v>
      </c>
      <c r="G45" t="s">
        <v>16</v>
      </c>
    </row>
    <row r="46" spans="1:11">
      <c r="A46" t="s">
        <v>191</v>
      </c>
      <c r="B46" s="19">
        <v>0.15</v>
      </c>
      <c r="D46" t="s">
        <v>192</v>
      </c>
      <c r="E46" t="s">
        <v>15</v>
      </c>
      <c r="G46" t="s">
        <v>129</v>
      </c>
    </row>
    <row r="47" spans="1:11">
      <c r="A47" t="s">
        <v>193</v>
      </c>
      <c r="B47" s="19">
        <v>1.1583000000000001</v>
      </c>
      <c r="D47" t="s">
        <v>128</v>
      </c>
      <c r="E47" t="s">
        <v>15</v>
      </c>
      <c r="G47" t="s">
        <v>129</v>
      </c>
    </row>
    <row r="48" spans="1:11">
      <c r="B48"/>
      <c r="I48"/>
    </row>
    <row r="49" spans="1:20">
      <c r="B49"/>
      <c r="I49"/>
    </row>
    <row r="50" spans="1:20" s="25" customFormat="1" ht="15.6">
      <c r="A50" s="4" t="s">
        <v>1</v>
      </c>
      <c r="B50" s="39" t="s">
        <v>172</v>
      </c>
      <c r="C50" s="4"/>
      <c r="D50" s="39"/>
      <c r="E50" s="4"/>
      <c r="F50" s="39"/>
      <c r="G50" s="4"/>
      <c r="H50" s="39"/>
      <c r="K50" s="26"/>
      <c r="L50" s="26"/>
      <c r="M50" s="26"/>
      <c r="N50" s="26"/>
      <c r="O50" s="26"/>
      <c r="P50" s="26"/>
    </row>
    <row r="51" spans="1:20" s="25" customFormat="1" ht="15.6">
      <c r="A51" s="4" t="s">
        <v>3</v>
      </c>
      <c r="B51">
        <v>1</v>
      </c>
      <c r="C51" s="4"/>
      <c r="D51" s="39"/>
      <c r="E51" s="4"/>
      <c r="F51" s="39"/>
      <c r="G51" s="4"/>
      <c r="H51" s="39"/>
      <c r="K51" s="26"/>
      <c r="L51" s="26"/>
      <c r="M51" s="26"/>
      <c r="N51" s="26"/>
      <c r="O51" s="26"/>
      <c r="P51" s="26"/>
    </row>
    <row r="52" spans="1:20" s="25" customFormat="1" ht="15.6">
      <c r="A52" s="4" t="s">
        <v>11</v>
      </c>
      <c r="B52" t="s">
        <v>56</v>
      </c>
      <c r="C52" s="4"/>
      <c r="D52" s="39"/>
      <c r="E52" s="4"/>
      <c r="F52" s="39"/>
      <c r="G52" s="4"/>
      <c r="H52" s="39"/>
      <c r="K52" s="26"/>
      <c r="L52" s="26"/>
      <c r="M52" s="26"/>
      <c r="N52" s="26"/>
      <c r="O52" s="26"/>
      <c r="P52" s="26"/>
    </row>
    <row r="53" spans="1:20" s="25" customFormat="1" ht="15.6">
      <c r="A53" s="4" t="s">
        <v>4</v>
      </c>
      <c r="B53" t="s">
        <v>57</v>
      </c>
      <c r="C53" s="4"/>
      <c r="D53" s="39"/>
      <c r="E53" s="4"/>
      <c r="F53" s="39"/>
      <c r="G53" s="4"/>
      <c r="H53" s="39"/>
      <c r="K53" s="26"/>
      <c r="L53" s="26"/>
      <c r="M53" s="26"/>
      <c r="N53" s="26"/>
      <c r="O53" s="26"/>
      <c r="P53" s="26"/>
    </row>
    <row r="54" spans="1:20" s="25" customFormat="1" ht="15.6">
      <c r="A54" s="4" t="s">
        <v>2</v>
      </c>
      <c r="B54" t="s">
        <v>29</v>
      </c>
      <c r="C54" s="4"/>
      <c r="D54" s="39"/>
      <c r="E54" s="4"/>
      <c r="F54" s="39"/>
      <c r="G54" s="4"/>
      <c r="H54" s="39"/>
      <c r="K54" s="26"/>
      <c r="L54" s="26"/>
      <c r="M54" s="26"/>
      <c r="N54" s="26"/>
      <c r="O54" s="26"/>
      <c r="P54" s="26"/>
    </row>
    <row r="55" spans="1:20" s="25" customFormat="1" ht="15.6">
      <c r="A55" s="4" t="s">
        <v>6</v>
      </c>
      <c r="B55" t="s">
        <v>13</v>
      </c>
      <c r="C55" s="4"/>
      <c r="D55" s="39"/>
      <c r="E55" s="4"/>
      <c r="F55" s="39"/>
      <c r="G55" s="4"/>
      <c r="H55" s="39"/>
      <c r="I55" s="29"/>
      <c r="J55" s="29"/>
      <c r="K55" s="26"/>
      <c r="L55" s="26"/>
      <c r="M55" s="26"/>
      <c r="N55" s="26"/>
      <c r="O55" s="26"/>
      <c r="P55" s="26"/>
    </row>
    <row r="56" spans="1:20" s="25" customFormat="1" ht="15.6">
      <c r="A56" s="4" t="s">
        <v>7</v>
      </c>
      <c r="B56" s="39"/>
      <c r="C56" s="4"/>
      <c r="D56" s="39"/>
      <c r="E56" s="4"/>
      <c r="F56" s="39"/>
      <c r="G56" s="4"/>
      <c r="H56" s="39"/>
      <c r="I56" s="24"/>
      <c r="J56" s="24"/>
      <c r="K56" s="26"/>
      <c r="L56" s="26"/>
      <c r="M56" s="26"/>
      <c r="N56" s="26"/>
      <c r="O56" s="26"/>
      <c r="P56" s="26"/>
    </row>
    <row r="57" spans="1:20" s="25" customFormat="1" ht="15.6">
      <c r="A57" s="4" t="s">
        <v>8</v>
      </c>
      <c r="B57" s="39" t="s">
        <v>9</v>
      </c>
      <c r="C57" s="4" t="s">
        <v>2</v>
      </c>
      <c r="D57" s="39" t="s">
        <v>6</v>
      </c>
      <c r="E57" s="4" t="s">
        <v>10</v>
      </c>
      <c r="F57" s="39" t="s">
        <v>5</v>
      </c>
      <c r="G57" s="4" t="s">
        <v>4</v>
      </c>
      <c r="H57" s="39" t="s">
        <v>11</v>
      </c>
      <c r="I57" s="29"/>
      <c r="J57" s="30"/>
      <c r="K57" s="31"/>
      <c r="L57" s="31"/>
      <c r="M57" s="31"/>
      <c r="N57" s="31"/>
      <c r="O57" s="31"/>
      <c r="P57" s="31"/>
      <c r="Q57" s="30"/>
      <c r="R57" s="30"/>
      <c r="S57" s="29"/>
      <c r="T57" s="30"/>
    </row>
    <row r="58" spans="1:20" s="25" customFormat="1" ht="15.6">
      <c r="A58" t="s">
        <v>73</v>
      </c>
      <c r="B58">
        <v>1</v>
      </c>
      <c r="C58" t="str">
        <f>B54</f>
        <v>FR</v>
      </c>
      <c r="D58" t="str">
        <f>B55</f>
        <v>kilogram</v>
      </c>
      <c r="E58"/>
      <c r="F58" t="s">
        <v>18</v>
      </c>
      <c r="G58" t="s">
        <v>57</v>
      </c>
      <c r="H58"/>
      <c r="I58" s="24"/>
      <c r="K58" s="26"/>
      <c r="L58" s="26"/>
      <c r="M58" s="26"/>
      <c r="N58" s="26"/>
      <c r="O58" s="26"/>
      <c r="P58" s="26"/>
      <c r="T58"/>
    </row>
    <row r="59" spans="1:20" s="25" customFormat="1" ht="15.6">
      <c r="A59" t="s">
        <v>71</v>
      </c>
      <c r="B59">
        <f>(1/2963200)*4</f>
        <v>1.3498920086393089E-6</v>
      </c>
      <c r="C59" t="s">
        <v>49</v>
      </c>
      <c r="D59" t="s">
        <v>6</v>
      </c>
      <c r="E59"/>
      <c r="F59" t="s">
        <v>12</v>
      </c>
      <c r="G59" t="s">
        <v>58</v>
      </c>
      <c r="H59" t="s">
        <v>59</v>
      </c>
      <c r="J59"/>
      <c r="K59" s="32"/>
      <c r="L59" s="32"/>
      <c r="M59" s="32"/>
      <c r="N59" s="32"/>
      <c r="O59" s="32"/>
      <c r="P59" s="32"/>
      <c r="Q59"/>
      <c r="R59"/>
    </row>
    <row r="60" spans="1:20" s="25" customFormat="1" ht="15.6">
      <c r="A60" t="s">
        <v>72</v>
      </c>
      <c r="B60">
        <f>1/2963200</f>
        <v>3.3747300215982723E-7</v>
      </c>
      <c r="C60" t="s">
        <v>49</v>
      </c>
      <c r="D60" t="s">
        <v>6</v>
      </c>
      <c r="E60"/>
      <c r="F60" t="s">
        <v>12</v>
      </c>
      <c r="G60" t="s">
        <v>60</v>
      </c>
      <c r="H60" t="s">
        <v>61</v>
      </c>
      <c r="J60"/>
      <c r="K60" s="32"/>
      <c r="L60" s="32"/>
      <c r="M60" s="32"/>
      <c r="N60" s="32"/>
      <c r="O60" s="32"/>
      <c r="P60" s="32"/>
      <c r="Q60"/>
      <c r="R60"/>
    </row>
    <row r="61" spans="1:20" s="25" customFormat="1" ht="15.6">
      <c r="A61" t="s">
        <v>62</v>
      </c>
      <c r="B61">
        <f>B59*-1</f>
        <v>-1.3498920086393089E-6</v>
      </c>
      <c r="C61" t="s">
        <v>49</v>
      </c>
      <c r="D61" t="s">
        <v>6</v>
      </c>
      <c r="E61"/>
      <c r="F61" t="s">
        <v>12</v>
      </c>
      <c r="G61" t="s">
        <v>63</v>
      </c>
      <c r="H61" t="s">
        <v>64</v>
      </c>
      <c r="J61"/>
      <c r="K61" s="32"/>
      <c r="L61" s="32"/>
      <c r="M61" s="32"/>
      <c r="N61" s="32"/>
      <c r="O61" s="32"/>
      <c r="P61" s="32"/>
      <c r="Q61"/>
      <c r="R61"/>
    </row>
    <row r="62" spans="1:20" s="25" customFormat="1" ht="15.6">
      <c r="A62" t="s">
        <v>65</v>
      </c>
      <c r="B62">
        <f>-1*B60</f>
        <v>-3.3747300215982723E-7</v>
      </c>
      <c r="C62" t="s">
        <v>49</v>
      </c>
      <c r="D62" t="s">
        <v>6</v>
      </c>
      <c r="E62"/>
      <c r="F62" t="s">
        <v>12</v>
      </c>
      <c r="G62" t="s">
        <v>66</v>
      </c>
      <c r="H62" t="s">
        <v>67</v>
      </c>
      <c r="J62"/>
      <c r="K62" s="32"/>
      <c r="L62" s="32"/>
      <c r="M62" s="32"/>
      <c r="N62" s="32"/>
      <c r="O62" s="32"/>
      <c r="P62" s="32"/>
      <c r="Q62"/>
      <c r="R62"/>
    </row>
    <row r="63" spans="1:20" s="25" customFormat="1" ht="15.6">
      <c r="A63" t="s">
        <v>28</v>
      </c>
      <c r="B63">
        <v>54</v>
      </c>
      <c r="C63" t="s">
        <v>29</v>
      </c>
      <c r="D63" t="s">
        <v>19</v>
      </c>
      <c r="E63"/>
      <c r="F63" t="s">
        <v>12</v>
      </c>
      <c r="G63" t="s">
        <v>20</v>
      </c>
      <c r="H63" t="s">
        <v>68</v>
      </c>
      <c r="J63"/>
      <c r="K63" s="32"/>
      <c r="L63" s="32"/>
      <c r="M63" s="32"/>
      <c r="N63" s="32"/>
      <c r="O63" s="32"/>
      <c r="P63" s="32"/>
      <c r="Q63"/>
      <c r="R63"/>
    </row>
    <row r="64" spans="1:20" s="25" customFormat="1" ht="15.6">
      <c r="A64" t="s">
        <v>21</v>
      </c>
      <c r="B64">
        <v>14</v>
      </c>
      <c r="C64" t="s">
        <v>22</v>
      </c>
      <c r="D64" t="s">
        <v>13</v>
      </c>
      <c r="E64"/>
      <c r="F64" t="s">
        <v>12</v>
      </c>
      <c r="G64" t="s">
        <v>23</v>
      </c>
      <c r="H64" t="s">
        <v>69</v>
      </c>
      <c r="J64"/>
      <c r="K64" s="32"/>
      <c r="L64" s="32"/>
      <c r="M64" s="32"/>
      <c r="N64" s="32"/>
      <c r="O64" s="32"/>
      <c r="P64" s="32"/>
      <c r="Q64"/>
      <c r="R64"/>
    </row>
    <row r="65" spans="1:18" s="25" customFormat="1" ht="15.6">
      <c r="A65" t="s">
        <v>24</v>
      </c>
      <c r="B65">
        <v>8</v>
      </c>
      <c r="C65"/>
      <c r="D65" t="s">
        <v>13</v>
      </c>
      <c r="E65" t="s">
        <v>25</v>
      </c>
      <c r="F65" t="s">
        <v>15</v>
      </c>
      <c r="G65"/>
      <c r="H65"/>
      <c r="J65"/>
      <c r="K65" s="32"/>
      <c r="L65" s="32"/>
      <c r="M65" s="32"/>
      <c r="N65" s="32"/>
      <c r="O65" s="32"/>
      <c r="P65" s="32"/>
      <c r="Q65" s="32"/>
      <c r="R65"/>
    </row>
    <row r="66" spans="1:18" s="25" customFormat="1" ht="15.6">
      <c r="A66" t="s">
        <v>70</v>
      </c>
      <c r="B66">
        <f>(0.09*1000*20)/2963200</f>
        <v>6.0745140388768898E-4</v>
      </c>
      <c r="C66"/>
      <c r="D66" t="s">
        <v>17</v>
      </c>
      <c r="E66" t="s">
        <v>16</v>
      </c>
      <c r="F66" t="s">
        <v>15</v>
      </c>
      <c r="G66"/>
      <c r="H66"/>
      <c r="J66"/>
      <c r="K66" s="32"/>
      <c r="L66" s="32"/>
      <c r="M66" s="32"/>
      <c r="N66" s="32"/>
      <c r="O66" s="32"/>
      <c r="P66" s="32"/>
      <c r="Q66" s="32"/>
      <c r="R66"/>
    </row>
    <row r="67" spans="1:18" s="25" customFormat="1" ht="15">
      <c r="K67" s="26"/>
      <c r="L67" s="26"/>
      <c r="M67" s="26"/>
      <c r="N67" s="26"/>
      <c r="O67" s="26"/>
      <c r="P67" s="26"/>
    </row>
    <row r="70" spans="1:18" ht="15.6">
      <c r="A70" s="35" t="s">
        <v>1</v>
      </c>
      <c r="B70" s="35" t="s">
        <v>175</v>
      </c>
      <c r="C70" s="36"/>
      <c r="D70" s="36"/>
      <c r="E70" s="36"/>
      <c r="F70" s="36"/>
      <c r="G70" s="36"/>
      <c r="H70" s="36"/>
      <c r="I70" s="36"/>
    </row>
    <row r="71" spans="1:18">
      <c r="A71" s="36" t="s">
        <v>103</v>
      </c>
      <c r="B71" s="36">
        <v>1.310870633</v>
      </c>
      <c r="C71" s="36"/>
      <c r="D71" s="36"/>
      <c r="E71" s="36"/>
      <c r="F71" s="36"/>
      <c r="G71" s="36"/>
      <c r="H71" s="36"/>
      <c r="I71" s="36"/>
    </row>
    <row r="72" spans="1:18">
      <c r="A72" s="36" t="s">
        <v>2</v>
      </c>
      <c r="B72" s="36" t="s">
        <v>29</v>
      </c>
      <c r="C72" s="36"/>
      <c r="D72" s="36"/>
      <c r="E72" s="36"/>
      <c r="F72" s="36"/>
      <c r="G72" s="36"/>
      <c r="H72" s="36"/>
      <c r="I72" s="36"/>
    </row>
    <row r="73" spans="1:18">
      <c r="A73" s="36" t="s">
        <v>4</v>
      </c>
      <c r="B73" s="36" t="s">
        <v>104</v>
      </c>
      <c r="C73" s="36"/>
      <c r="D73" s="36"/>
      <c r="E73" s="36"/>
      <c r="F73" s="36"/>
      <c r="G73" s="36"/>
      <c r="H73" s="36"/>
      <c r="I73" s="36"/>
    </row>
    <row r="74" spans="1:18">
      <c r="A74" s="36" t="s">
        <v>6</v>
      </c>
      <c r="B74" s="36" t="s">
        <v>13</v>
      </c>
      <c r="C74" s="36"/>
      <c r="D74" s="36"/>
      <c r="E74" s="36"/>
      <c r="F74" s="36"/>
      <c r="G74" s="36"/>
      <c r="H74" s="36"/>
      <c r="I74" s="36"/>
    </row>
    <row r="75" spans="1:18">
      <c r="A75" s="36" t="s">
        <v>11</v>
      </c>
      <c r="B75" s="36" t="s">
        <v>105</v>
      </c>
      <c r="C75" s="36"/>
      <c r="D75" s="36"/>
      <c r="E75" s="36"/>
      <c r="F75" s="36"/>
      <c r="G75" s="36"/>
      <c r="H75" s="36"/>
      <c r="I75" s="36"/>
    </row>
    <row r="76" spans="1:18" ht="15.6">
      <c r="A76" s="35" t="s">
        <v>7</v>
      </c>
      <c r="B76" s="36"/>
      <c r="C76" s="36"/>
      <c r="D76" s="36"/>
      <c r="E76" s="36"/>
      <c r="F76" s="36"/>
      <c r="G76" s="36"/>
      <c r="H76" s="36"/>
      <c r="I76" s="36"/>
    </row>
    <row r="77" spans="1:18">
      <c r="A77" s="36" t="s">
        <v>8</v>
      </c>
      <c r="B77" s="36" t="s">
        <v>9</v>
      </c>
      <c r="C77" s="36" t="s">
        <v>106</v>
      </c>
      <c r="D77" s="36" t="s">
        <v>2</v>
      </c>
      <c r="E77" s="36" t="s">
        <v>6</v>
      </c>
      <c r="F77" s="36" t="s">
        <v>10</v>
      </c>
      <c r="G77" s="36" t="s">
        <v>5</v>
      </c>
      <c r="H77" s="36" t="s">
        <v>4</v>
      </c>
      <c r="I77" s="36" t="s">
        <v>11</v>
      </c>
    </row>
    <row r="78" spans="1:18">
      <c r="A78" s="36" t="s">
        <v>102</v>
      </c>
      <c r="B78" s="36">
        <v>1</v>
      </c>
      <c r="C78" s="36" t="s">
        <v>107</v>
      </c>
      <c r="D78" s="36" t="s">
        <v>29</v>
      </c>
      <c r="E78" s="36" t="s">
        <v>13</v>
      </c>
      <c r="F78" s="36"/>
      <c r="G78" s="36" t="s">
        <v>18</v>
      </c>
      <c r="H78" s="36" t="s">
        <v>104</v>
      </c>
      <c r="I78" s="36"/>
    </row>
    <row r="79" spans="1:18">
      <c r="A79" s="36" t="s">
        <v>108</v>
      </c>
      <c r="B79" s="37">
        <v>3.0676600000000002E-8</v>
      </c>
      <c r="C79" s="36" t="s">
        <v>109</v>
      </c>
      <c r="D79" s="36"/>
      <c r="E79" s="36" t="s">
        <v>13</v>
      </c>
      <c r="F79" s="36" t="s">
        <v>25</v>
      </c>
      <c r="G79" s="36" t="s">
        <v>15</v>
      </c>
      <c r="H79" s="36"/>
      <c r="I79" s="36"/>
    </row>
    <row r="80" spans="1:18">
      <c r="A80" s="36" t="s">
        <v>110</v>
      </c>
      <c r="B80" s="37">
        <v>4.6014800000000002E-6</v>
      </c>
      <c r="C80" s="36" t="s">
        <v>109</v>
      </c>
      <c r="D80" s="36"/>
      <c r="E80" s="36" t="s">
        <v>13</v>
      </c>
      <c r="F80" s="36" t="s">
        <v>25</v>
      </c>
      <c r="G80" s="36" t="s">
        <v>15</v>
      </c>
      <c r="H80" s="36"/>
      <c r="I80" s="36"/>
    </row>
    <row r="81" spans="1:9">
      <c r="A81" s="36" t="s">
        <v>111</v>
      </c>
      <c r="B81" s="37">
        <v>1.22709E-5</v>
      </c>
      <c r="C81" s="36" t="s">
        <v>109</v>
      </c>
      <c r="D81" s="36"/>
      <c r="E81" s="36" t="s">
        <v>13</v>
      </c>
      <c r="F81" s="36" t="s">
        <v>25</v>
      </c>
      <c r="G81" s="36" t="s">
        <v>15</v>
      </c>
      <c r="H81" s="36"/>
      <c r="I81" s="36"/>
    </row>
    <row r="82" spans="1:9">
      <c r="A82" s="36" t="s">
        <v>112</v>
      </c>
      <c r="B82" s="37">
        <v>3.0676599999999998E-10</v>
      </c>
      <c r="C82" s="36" t="s">
        <v>109</v>
      </c>
      <c r="D82" s="36"/>
      <c r="E82" s="36" t="s">
        <v>13</v>
      </c>
      <c r="F82" s="36" t="s">
        <v>25</v>
      </c>
      <c r="G82" s="36" t="s">
        <v>15</v>
      </c>
      <c r="H82" s="36"/>
      <c r="I82" s="36"/>
    </row>
    <row r="83" spans="1:9">
      <c r="A83" s="36" t="s">
        <v>113</v>
      </c>
      <c r="B83" s="37">
        <v>2.1474199999999998E-5</v>
      </c>
      <c r="C83" s="36" t="s">
        <v>109</v>
      </c>
      <c r="D83" s="36"/>
      <c r="E83" s="36" t="s">
        <v>13</v>
      </c>
      <c r="F83" s="36" t="s">
        <v>25</v>
      </c>
      <c r="G83" s="36" t="s">
        <v>15</v>
      </c>
      <c r="H83" s="36"/>
      <c r="I83" s="36"/>
    </row>
    <row r="84" spans="1:9">
      <c r="A84" s="36" t="s">
        <v>40</v>
      </c>
      <c r="B84" s="36">
        <v>8.9222937859999991</v>
      </c>
      <c r="C84" s="36" t="s">
        <v>109</v>
      </c>
      <c r="D84" s="36"/>
      <c r="E84" s="36" t="s">
        <v>13</v>
      </c>
      <c r="F84" s="36" t="s">
        <v>25</v>
      </c>
      <c r="G84" s="36" t="s">
        <v>15</v>
      </c>
      <c r="H84" s="36"/>
      <c r="I84" s="36"/>
    </row>
    <row r="85" spans="1:9">
      <c r="A85" s="36" t="s">
        <v>114</v>
      </c>
      <c r="B85" s="37">
        <v>6.4421899999999994E-5</v>
      </c>
      <c r="C85" s="36" t="s">
        <v>109</v>
      </c>
      <c r="D85" s="36"/>
      <c r="E85" s="36" t="s">
        <v>13</v>
      </c>
      <c r="F85" s="36" t="s">
        <v>25</v>
      </c>
      <c r="G85" s="36" t="s">
        <v>15</v>
      </c>
      <c r="H85" s="36"/>
      <c r="I85" s="36"/>
    </row>
    <row r="86" spans="1:9">
      <c r="A86" s="36" t="s">
        <v>115</v>
      </c>
      <c r="B86" s="37">
        <v>3.06766E-6</v>
      </c>
      <c r="C86" s="36" t="s">
        <v>109</v>
      </c>
      <c r="D86" s="36"/>
      <c r="E86" s="36" t="s">
        <v>13</v>
      </c>
      <c r="F86" s="36" t="s">
        <v>25</v>
      </c>
      <c r="G86" s="36" t="s">
        <v>15</v>
      </c>
      <c r="H86" s="36"/>
      <c r="I86" s="36"/>
    </row>
    <row r="87" spans="1:9">
      <c r="A87" s="36" t="s">
        <v>116</v>
      </c>
      <c r="B87" s="37">
        <v>3.06766E-6</v>
      </c>
      <c r="C87" s="36" t="s">
        <v>109</v>
      </c>
      <c r="D87" s="36"/>
      <c r="E87" s="36" t="s">
        <v>13</v>
      </c>
      <c r="F87" s="36" t="s">
        <v>25</v>
      </c>
      <c r="G87" s="36" t="s">
        <v>15</v>
      </c>
      <c r="H87" s="36"/>
      <c r="I87" s="36"/>
    </row>
    <row r="88" spans="1:9">
      <c r="A88" s="36" t="s">
        <v>117</v>
      </c>
      <c r="B88" s="37">
        <v>9.2032600000000003E-10</v>
      </c>
      <c r="C88" s="36" t="s">
        <v>109</v>
      </c>
      <c r="D88" s="36"/>
      <c r="E88" s="36" t="s">
        <v>13</v>
      </c>
      <c r="F88" s="36" t="s">
        <v>25</v>
      </c>
      <c r="G88" s="36" t="s">
        <v>15</v>
      </c>
      <c r="H88" s="36"/>
      <c r="I88" s="36"/>
    </row>
    <row r="89" spans="1:9">
      <c r="A89" s="36" t="s">
        <v>118</v>
      </c>
      <c r="B89" s="37">
        <v>6.1356E-5</v>
      </c>
      <c r="C89" s="36" t="s">
        <v>109</v>
      </c>
      <c r="D89" s="36"/>
      <c r="E89" s="36" t="s">
        <v>13</v>
      </c>
      <c r="F89" s="36" t="s">
        <v>25</v>
      </c>
      <c r="G89" s="36" t="s">
        <v>15</v>
      </c>
      <c r="H89" s="36"/>
      <c r="I89" s="36"/>
    </row>
    <row r="90" spans="1:9">
      <c r="A90" s="36" t="s">
        <v>119</v>
      </c>
      <c r="B90" s="36">
        <v>5.4912400000000001E-4</v>
      </c>
      <c r="C90" s="36" t="s">
        <v>109</v>
      </c>
      <c r="D90" s="36"/>
      <c r="E90" s="36" t="s">
        <v>13</v>
      </c>
      <c r="F90" s="36" t="s">
        <v>25</v>
      </c>
      <c r="G90" s="36" t="s">
        <v>15</v>
      </c>
      <c r="H90" s="36"/>
      <c r="I90" s="36"/>
    </row>
    <row r="91" spans="1:9">
      <c r="A91" s="36" t="s">
        <v>120</v>
      </c>
      <c r="B91" s="37">
        <v>3.0676599999999998E-7</v>
      </c>
      <c r="C91" s="36" t="s">
        <v>109</v>
      </c>
      <c r="D91" s="36"/>
      <c r="E91" s="36" t="s">
        <v>13</v>
      </c>
      <c r="F91" s="36" t="s">
        <v>25</v>
      </c>
      <c r="G91" s="36" t="s">
        <v>15</v>
      </c>
      <c r="H91" s="36"/>
      <c r="I91" s="36"/>
    </row>
    <row r="92" spans="1:9">
      <c r="A92" s="36" t="s">
        <v>121</v>
      </c>
      <c r="B92" s="37">
        <v>6.1356000000000002E-6</v>
      </c>
      <c r="C92" s="36" t="s">
        <v>109</v>
      </c>
      <c r="D92" s="36"/>
      <c r="E92" s="36" t="s">
        <v>13</v>
      </c>
      <c r="F92" s="36" t="s">
        <v>25</v>
      </c>
      <c r="G92" s="36" t="s">
        <v>15</v>
      </c>
      <c r="H92" s="36"/>
      <c r="I92" s="36"/>
    </row>
    <row r="93" spans="1:9">
      <c r="A93" s="36" t="s">
        <v>122</v>
      </c>
      <c r="B93" s="37">
        <v>3.6814199999999997E-5</v>
      </c>
      <c r="C93" s="36" t="s">
        <v>109</v>
      </c>
      <c r="D93" s="36"/>
      <c r="E93" s="36" t="s">
        <v>13</v>
      </c>
      <c r="F93" s="36" t="s">
        <v>25</v>
      </c>
      <c r="G93" s="36" t="s">
        <v>15</v>
      </c>
      <c r="H93" s="36"/>
      <c r="I93" s="36"/>
    </row>
    <row r="94" spans="1:9">
      <c r="A94" s="36" t="s">
        <v>123</v>
      </c>
      <c r="B94" s="37">
        <v>6.1356000000000002E-6</v>
      </c>
      <c r="C94" s="36" t="s">
        <v>109</v>
      </c>
      <c r="D94" s="36"/>
      <c r="E94" s="36" t="s">
        <v>13</v>
      </c>
      <c r="F94" s="36" t="s">
        <v>25</v>
      </c>
      <c r="G94" s="36" t="s">
        <v>15</v>
      </c>
      <c r="H94" s="36"/>
      <c r="I94" s="36"/>
    </row>
    <row r="95" spans="1:9">
      <c r="A95" s="36" t="s">
        <v>124</v>
      </c>
      <c r="B95" s="37">
        <v>6.1356E-7</v>
      </c>
      <c r="C95" s="36" t="s">
        <v>109</v>
      </c>
      <c r="D95" s="36"/>
      <c r="E95" s="36" t="s">
        <v>13</v>
      </c>
      <c r="F95" s="36" t="s">
        <v>25</v>
      </c>
      <c r="G95" s="36" t="s">
        <v>15</v>
      </c>
      <c r="H95" s="36"/>
      <c r="I95" s="36"/>
    </row>
    <row r="96" spans="1:9">
      <c r="A96" s="36" t="s">
        <v>125</v>
      </c>
      <c r="B96" s="37">
        <v>1.6872699999999999E-5</v>
      </c>
      <c r="C96" s="36" t="s">
        <v>109</v>
      </c>
      <c r="D96" s="36"/>
      <c r="E96" s="36" t="s">
        <v>13</v>
      </c>
      <c r="F96" s="36" t="s">
        <v>25</v>
      </c>
      <c r="G96" s="36" t="s">
        <v>15</v>
      </c>
      <c r="H96" s="36"/>
      <c r="I96" s="36"/>
    </row>
    <row r="97" spans="1:9">
      <c r="A97" s="36" t="s">
        <v>126</v>
      </c>
      <c r="B97" s="37">
        <v>6.1356000000000002E-6</v>
      </c>
      <c r="C97" s="36" t="s">
        <v>109</v>
      </c>
      <c r="D97" s="36"/>
      <c r="E97" s="36" t="s">
        <v>13</v>
      </c>
      <c r="F97" s="36" t="s">
        <v>25</v>
      </c>
      <c r="G97" s="36" t="s">
        <v>15</v>
      </c>
      <c r="H97" s="36"/>
      <c r="I97" s="36"/>
    </row>
    <row r="98" spans="1:9">
      <c r="A98" s="36" t="s">
        <v>127</v>
      </c>
      <c r="B98" s="36">
        <v>0.38040000000000002</v>
      </c>
      <c r="C98" s="36" t="s">
        <v>109</v>
      </c>
      <c r="D98" s="36"/>
      <c r="E98" s="36" t="s">
        <v>128</v>
      </c>
      <c r="F98" s="36" t="s">
        <v>129</v>
      </c>
      <c r="G98" s="36" t="s">
        <v>15</v>
      </c>
      <c r="H98" s="36"/>
      <c r="I98" s="36"/>
    </row>
    <row r="99" spans="1:9">
      <c r="A99" s="36" t="s">
        <v>130</v>
      </c>
      <c r="B99" s="36">
        <v>0.37130000000000002</v>
      </c>
      <c r="C99" s="36" t="s">
        <v>109</v>
      </c>
      <c r="D99" s="36"/>
      <c r="E99" s="36" t="s">
        <v>128</v>
      </c>
      <c r="F99" s="36" t="s">
        <v>131</v>
      </c>
      <c r="G99" s="36" t="s">
        <v>15</v>
      </c>
      <c r="H99" s="36"/>
      <c r="I99" s="36"/>
    </row>
    <row r="100" spans="1:9">
      <c r="A100" s="36" t="s">
        <v>130</v>
      </c>
      <c r="B100" s="36">
        <v>9.1000000000000004E-3</v>
      </c>
      <c r="C100" s="36" t="s">
        <v>109</v>
      </c>
      <c r="D100" s="36"/>
      <c r="E100" s="36" t="s">
        <v>128</v>
      </c>
      <c r="F100" s="36" t="s">
        <v>25</v>
      </c>
      <c r="G100" s="36" t="s">
        <v>15</v>
      </c>
      <c r="H100" s="36"/>
      <c r="I100" s="36" t="s">
        <v>132</v>
      </c>
    </row>
    <row r="101" spans="1:9">
      <c r="A101" s="36" t="s">
        <v>133</v>
      </c>
      <c r="B101" s="37">
        <v>5.3483200000000002E-10</v>
      </c>
      <c r="C101" s="36" t="s">
        <v>134</v>
      </c>
      <c r="D101" s="36" t="s">
        <v>49</v>
      </c>
      <c r="E101" s="36" t="s">
        <v>6</v>
      </c>
      <c r="F101" s="36"/>
      <c r="G101" s="36" t="s">
        <v>12</v>
      </c>
      <c r="H101" s="36" t="s">
        <v>135</v>
      </c>
      <c r="I101" s="36"/>
    </row>
    <row r="102" spans="1:9">
      <c r="A102" s="36" t="s">
        <v>136</v>
      </c>
      <c r="B102" s="36">
        <v>5.32728E-4</v>
      </c>
      <c r="C102" s="36" t="s">
        <v>134</v>
      </c>
      <c r="D102" s="36" t="s">
        <v>137</v>
      </c>
      <c r="E102" s="36" t="s">
        <v>13</v>
      </c>
      <c r="F102" s="36"/>
      <c r="G102" s="36" t="s">
        <v>12</v>
      </c>
      <c r="H102" s="36" t="s">
        <v>138</v>
      </c>
      <c r="I102" s="36"/>
    </row>
    <row r="103" spans="1:9">
      <c r="A103" s="36" t="s">
        <v>139</v>
      </c>
      <c r="B103" s="36">
        <v>3.6000000000000001E-5</v>
      </c>
      <c r="C103" s="36" t="s">
        <v>134</v>
      </c>
      <c r="D103" s="36" t="s">
        <v>140</v>
      </c>
      <c r="E103" s="36" t="s">
        <v>13</v>
      </c>
      <c r="F103" s="36"/>
      <c r="G103" s="36" t="s">
        <v>12</v>
      </c>
      <c r="H103" s="36" t="s">
        <v>141</v>
      </c>
      <c r="I103" s="36"/>
    </row>
    <row r="104" spans="1:9">
      <c r="A104" s="36" t="s">
        <v>142</v>
      </c>
      <c r="B104" s="36">
        <v>3.6240000000000003E-4</v>
      </c>
      <c r="C104" s="36" t="s">
        <v>134</v>
      </c>
      <c r="D104" s="36" t="s">
        <v>140</v>
      </c>
      <c r="E104" s="36" t="s">
        <v>13</v>
      </c>
      <c r="F104" s="36"/>
      <c r="G104" s="36" t="s">
        <v>12</v>
      </c>
      <c r="H104" s="36" t="s">
        <v>143</v>
      </c>
      <c r="I104" s="36"/>
    </row>
    <row r="105" spans="1:9">
      <c r="A105" s="36" t="s">
        <v>144</v>
      </c>
      <c r="B105" s="37">
        <v>2.54628E-9</v>
      </c>
      <c r="C105" s="36" t="s">
        <v>134</v>
      </c>
      <c r="D105" s="36" t="s">
        <v>140</v>
      </c>
      <c r="E105" s="36" t="s">
        <v>6</v>
      </c>
      <c r="F105" s="36"/>
      <c r="G105" s="36" t="s">
        <v>12</v>
      </c>
      <c r="H105" s="36" t="s">
        <v>145</v>
      </c>
      <c r="I105" s="36"/>
    </row>
    <row r="106" spans="1:9">
      <c r="A106" s="36" t="s">
        <v>146</v>
      </c>
      <c r="B106" s="36">
        <v>2.796E-5</v>
      </c>
      <c r="C106" s="36" t="s">
        <v>134</v>
      </c>
      <c r="D106" s="36" t="s">
        <v>140</v>
      </c>
      <c r="E106" s="36" t="s">
        <v>13</v>
      </c>
      <c r="F106" s="36"/>
      <c r="G106" s="36" t="s">
        <v>12</v>
      </c>
      <c r="H106" s="36" t="s">
        <v>147</v>
      </c>
      <c r="I106" s="36"/>
    </row>
    <row r="107" spans="1:9">
      <c r="A107" s="36" t="s">
        <v>148</v>
      </c>
      <c r="B107" s="36">
        <v>1.668E-5</v>
      </c>
      <c r="C107" s="36" t="s">
        <v>134</v>
      </c>
      <c r="D107" s="36" t="s">
        <v>140</v>
      </c>
      <c r="E107" s="36" t="s">
        <v>13</v>
      </c>
      <c r="F107" s="36"/>
      <c r="G107" s="36" t="s">
        <v>12</v>
      </c>
      <c r="H107" s="36" t="s">
        <v>149</v>
      </c>
      <c r="I107" s="36"/>
    </row>
    <row r="108" spans="1:9">
      <c r="A108" s="36" t="s">
        <v>150</v>
      </c>
      <c r="B108" s="36">
        <v>2.0291999999999999E-4</v>
      </c>
      <c r="C108" s="36" t="s">
        <v>134</v>
      </c>
      <c r="D108" s="36" t="s">
        <v>140</v>
      </c>
      <c r="E108" s="36" t="s">
        <v>13</v>
      </c>
      <c r="F108" s="36"/>
      <c r="G108" s="36" t="s">
        <v>12</v>
      </c>
      <c r="H108" s="36" t="s">
        <v>151</v>
      </c>
      <c r="I108" s="36"/>
    </row>
    <row r="109" spans="1:9">
      <c r="A109" s="36" t="s">
        <v>152</v>
      </c>
      <c r="B109" s="36">
        <v>3.1236000000000002E-4</v>
      </c>
      <c r="C109" s="36" t="s">
        <v>134</v>
      </c>
      <c r="D109" s="36" t="s">
        <v>140</v>
      </c>
      <c r="E109" s="36" t="s">
        <v>13</v>
      </c>
      <c r="F109" s="36"/>
      <c r="G109" s="36" t="s">
        <v>12</v>
      </c>
      <c r="H109" s="36" t="s">
        <v>153</v>
      </c>
      <c r="I109" s="36"/>
    </row>
    <row r="110" spans="1:9">
      <c r="A110" s="36" t="s">
        <v>154</v>
      </c>
      <c r="B110" s="36">
        <v>4.8000000000000001E-5</v>
      </c>
      <c r="C110" s="36" t="s">
        <v>134</v>
      </c>
      <c r="D110" s="36" t="s">
        <v>49</v>
      </c>
      <c r="E110" s="36" t="s">
        <v>13</v>
      </c>
      <c r="F110" s="36"/>
      <c r="G110" s="36" t="s">
        <v>12</v>
      </c>
      <c r="H110" s="36" t="s">
        <v>155</v>
      </c>
      <c r="I110" s="36"/>
    </row>
    <row r="111" spans="1:9">
      <c r="A111" s="36" t="s">
        <v>156</v>
      </c>
      <c r="B111" s="36">
        <v>1.1592E-5</v>
      </c>
      <c r="C111" s="36" t="s">
        <v>134</v>
      </c>
      <c r="D111" s="36" t="s">
        <v>140</v>
      </c>
      <c r="E111" s="36" t="s">
        <v>13</v>
      </c>
      <c r="F111" s="36"/>
      <c r="G111" s="36" t="s">
        <v>12</v>
      </c>
      <c r="H111" s="36" t="s">
        <v>157</v>
      </c>
      <c r="I111" s="36"/>
    </row>
    <row r="112" spans="1:9">
      <c r="A112" s="36" t="s">
        <v>21</v>
      </c>
      <c r="B112" s="36">
        <v>7.538413555</v>
      </c>
      <c r="C112" s="36" t="s">
        <v>134</v>
      </c>
      <c r="D112" s="36" t="s">
        <v>22</v>
      </c>
      <c r="E112" s="36" t="s">
        <v>13</v>
      </c>
      <c r="F112" s="36"/>
      <c r="G112" s="36" t="s">
        <v>12</v>
      </c>
      <c r="H112" s="36" t="s">
        <v>23</v>
      </c>
      <c r="I112" s="36"/>
    </row>
    <row r="113" spans="1:9">
      <c r="A113" s="36" t="s">
        <v>158</v>
      </c>
      <c r="B113" s="36">
        <v>8.8290199999999997E-4</v>
      </c>
      <c r="C113" s="36" t="s">
        <v>134</v>
      </c>
      <c r="D113" s="36" t="s">
        <v>140</v>
      </c>
      <c r="E113" s="36" t="s">
        <v>13</v>
      </c>
      <c r="F113" s="36"/>
      <c r="G113" s="36" t="s">
        <v>12</v>
      </c>
      <c r="H113" s="36" t="s">
        <v>159</v>
      </c>
      <c r="I113" s="36"/>
    </row>
    <row r="114" spans="1:9">
      <c r="A114" s="36" t="s">
        <v>160</v>
      </c>
      <c r="B114" s="36">
        <v>3.7139999999999997E-4</v>
      </c>
      <c r="C114" s="36" t="s">
        <v>134</v>
      </c>
      <c r="D114" s="36" t="s">
        <v>140</v>
      </c>
      <c r="E114" s="36" t="s">
        <v>13</v>
      </c>
      <c r="F114" s="36"/>
      <c r="G114" s="36" t="s">
        <v>12</v>
      </c>
      <c r="H114" s="36" t="s">
        <v>161</v>
      </c>
      <c r="I114" s="36"/>
    </row>
    <row r="115" spans="1:9">
      <c r="A115" s="36" t="s">
        <v>98</v>
      </c>
      <c r="B115" s="36">
        <v>0</v>
      </c>
      <c r="C115" s="36" t="s">
        <v>134</v>
      </c>
      <c r="D115" s="36" t="s">
        <v>29</v>
      </c>
      <c r="E115" s="36" t="s">
        <v>19</v>
      </c>
      <c r="F115" s="36"/>
      <c r="G115" s="36" t="s">
        <v>12</v>
      </c>
      <c r="H115" s="36" t="s">
        <v>31</v>
      </c>
      <c r="I115" s="36"/>
    </row>
    <row r="116" spans="1:9">
      <c r="A116" s="38" t="s">
        <v>162</v>
      </c>
      <c r="B116" s="36">
        <v>4.3695687769999996</v>
      </c>
      <c r="C116" s="36" t="s">
        <v>134</v>
      </c>
      <c r="D116" s="36" t="s">
        <v>22</v>
      </c>
      <c r="E116" s="36" t="s">
        <v>128</v>
      </c>
      <c r="F116" s="36"/>
      <c r="G116" s="36" t="s">
        <v>12</v>
      </c>
      <c r="H116" s="36" t="s">
        <v>163</v>
      </c>
      <c r="I116" s="36"/>
    </row>
    <row r="117" spans="1:9">
      <c r="A117" s="36"/>
      <c r="B117" s="36"/>
      <c r="C117" s="36"/>
      <c r="D117" s="36"/>
      <c r="E117" s="36"/>
      <c r="F117" s="36"/>
      <c r="G117" s="36"/>
      <c r="H117" s="36"/>
      <c r="I117" s="36"/>
    </row>
    <row r="118" spans="1:9">
      <c r="A118" s="55" t="s">
        <v>1</v>
      </c>
      <c r="B118" s="55" t="s">
        <v>176</v>
      </c>
      <c r="C118" s="36"/>
      <c r="D118" s="36"/>
      <c r="E118" s="36"/>
      <c r="F118" s="36"/>
      <c r="G118" s="36"/>
      <c r="H118" s="36"/>
      <c r="I118" s="36"/>
    </row>
    <row r="119" spans="1:9">
      <c r="A119" s="36" t="s">
        <v>103</v>
      </c>
      <c r="B119" s="36">
        <v>1.290350439</v>
      </c>
      <c r="C119" s="36"/>
      <c r="D119" s="36"/>
      <c r="E119" s="36"/>
      <c r="F119" s="36"/>
      <c r="G119" s="36"/>
      <c r="H119" s="36"/>
      <c r="I119" s="36"/>
    </row>
    <row r="120" spans="1:9">
      <c r="A120" s="36" t="s">
        <v>2</v>
      </c>
      <c r="B120" s="36" t="s">
        <v>29</v>
      </c>
      <c r="C120" s="36"/>
      <c r="D120" s="36"/>
      <c r="E120" s="36"/>
      <c r="F120" s="36"/>
      <c r="G120" s="36"/>
      <c r="H120" s="36"/>
      <c r="I120" s="36"/>
    </row>
    <row r="121" spans="1:9">
      <c r="A121" s="36" t="s">
        <v>4</v>
      </c>
      <c r="B121" s="36" t="s">
        <v>104</v>
      </c>
      <c r="C121" s="36"/>
      <c r="D121" s="36"/>
      <c r="E121" s="36"/>
      <c r="F121" s="36"/>
      <c r="G121" s="36"/>
      <c r="H121" s="36"/>
      <c r="I121" s="36"/>
    </row>
    <row r="122" spans="1:9">
      <c r="A122" s="36" t="s">
        <v>6</v>
      </c>
      <c r="B122" s="36" t="s">
        <v>13</v>
      </c>
      <c r="C122" s="36"/>
      <c r="D122" s="36"/>
      <c r="E122" s="36"/>
      <c r="F122" s="36"/>
      <c r="G122" s="36"/>
      <c r="H122" s="36"/>
      <c r="I122" s="36"/>
    </row>
    <row r="123" spans="1:9">
      <c r="A123" s="36" t="s">
        <v>11</v>
      </c>
      <c r="B123" s="36" t="s">
        <v>105</v>
      </c>
      <c r="C123" s="36"/>
      <c r="D123" s="36"/>
      <c r="E123" s="36"/>
      <c r="F123" s="36"/>
      <c r="G123" s="36"/>
      <c r="H123" s="36"/>
      <c r="I123" s="36"/>
    </row>
    <row r="124" spans="1:9">
      <c r="A124" s="55" t="s">
        <v>7</v>
      </c>
      <c r="B124" s="36"/>
      <c r="C124" s="36"/>
      <c r="D124" s="36"/>
      <c r="E124" s="36"/>
      <c r="F124" s="36"/>
      <c r="G124" s="36"/>
      <c r="H124" s="36"/>
      <c r="I124" s="36"/>
    </row>
    <row r="125" spans="1:9">
      <c r="A125" s="36" t="s">
        <v>8</v>
      </c>
      <c r="B125" s="36" t="s">
        <v>9</v>
      </c>
      <c r="C125" s="36" t="s">
        <v>106</v>
      </c>
      <c r="D125" s="36" t="s">
        <v>2</v>
      </c>
      <c r="E125" s="36" t="s">
        <v>6</v>
      </c>
      <c r="F125" s="36" t="s">
        <v>10</v>
      </c>
      <c r="G125" s="36" t="s">
        <v>5</v>
      </c>
      <c r="H125" s="36" t="s">
        <v>4</v>
      </c>
      <c r="I125" s="36" t="s">
        <v>11</v>
      </c>
    </row>
    <row r="126" spans="1:9">
      <c r="A126" s="36" t="s">
        <v>164</v>
      </c>
      <c r="B126" s="36">
        <v>1</v>
      </c>
      <c r="C126" s="36" t="s">
        <v>107</v>
      </c>
      <c r="D126" s="36" t="s">
        <v>29</v>
      </c>
      <c r="E126" s="36" t="s">
        <v>13</v>
      </c>
      <c r="F126" s="36"/>
      <c r="G126" s="36" t="s">
        <v>18</v>
      </c>
      <c r="H126" s="36" t="s">
        <v>104</v>
      </c>
      <c r="I126" s="36"/>
    </row>
    <row r="127" spans="1:9">
      <c r="A127" s="36" t="s">
        <v>108</v>
      </c>
      <c r="B127" s="37">
        <v>2.8033E-8</v>
      </c>
      <c r="C127" s="36" t="s">
        <v>109</v>
      </c>
      <c r="D127" s="36"/>
      <c r="E127" s="36" t="s">
        <v>13</v>
      </c>
      <c r="F127" s="36" t="s">
        <v>25</v>
      </c>
      <c r="G127" s="36" t="s">
        <v>15</v>
      </c>
      <c r="H127" s="36"/>
      <c r="I127" s="36"/>
    </row>
    <row r="128" spans="1:9">
      <c r="A128" s="36" t="s">
        <v>110</v>
      </c>
      <c r="B128" s="37">
        <v>4.2049500000000003E-6</v>
      </c>
      <c r="C128" s="36" t="s">
        <v>109</v>
      </c>
      <c r="D128" s="36"/>
      <c r="E128" s="36" t="s">
        <v>13</v>
      </c>
      <c r="F128" s="36" t="s">
        <v>25</v>
      </c>
      <c r="G128" s="36" t="s">
        <v>15</v>
      </c>
      <c r="H128" s="36"/>
      <c r="I128" s="36"/>
    </row>
    <row r="129" spans="1:9">
      <c r="A129" s="36" t="s">
        <v>111</v>
      </c>
      <c r="B129" s="37">
        <v>1.12135E-5</v>
      </c>
      <c r="C129" s="36" t="s">
        <v>109</v>
      </c>
      <c r="D129" s="36"/>
      <c r="E129" s="36" t="s">
        <v>13</v>
      </c>
      <c r="F129" s="36" t="s">
        <v>25</v>
      </c>
      <c r="G129" s="36" t="s">
        <v>15</v>
      </c>
      <c r="H129" s="36"/>
      <c r="I129" s="36"/>
    </row>
    <row r="130" spans="1:9">
      <c r="A130" s="36" t="s">
        <v>112</v>
      </c>
      <c r="B130" s="37">
        <v>2.8033E-10</v>
      </c>
      <c r="C130" s="36" t="s">
        <v>109</v>
      </c>
      <c r="D130" s="36"/>
      <c r="E130" s="36" t="s">
        <v>13</v>
      </c>
      <c r="F130" s="36" t="s">
        <v>25</v>
      </c>
      <c r="G130" s="36" t="s">
        <v>15</v>
      </c>
      <c r="H130" s="36"/>
      <c r="I130" s="36"/>
    </row>
    <row r="131" spans="1:9">
      <c r="A131" s="36" t="s">
        <v>113</v>
      </c>
      <c r="B131" s="37">
        <v>1.96236E-5</v>
      </c>
      <c r="C131" s="36" t="s">
        <v>109</v>
      </c>
      <c r="D131" s="36"/>
      <c r="E131" s="36" t="s">
        <v>13</v>
      </c>
      <c r="F131" s="36" t="s">
        <v>25</v>
      </c>
      <c r="G131" s="36" t="s">
        <v>15</v>
      </c>
      <c r="H131" s="36"/>
      <c r="I131" s="36"/>
    </row>
    <row r="132" spans="1:9">
      <c r="A132" s="36" t="s">
        <v>40</v>
      </c>
      <c r="B132" s="36">
        <v>2.6104586730000001</v>
      </c>
      <c r="C132" s="36" t="s">
        <v>109</v>
      </c>
      <c r="D132" s="36"/>
      <c r="E132" s="36" t="s">
        <v>13</v>
      </c>
      <c r="F132" s="36" t="s">
        <v>25</v>
      </c>
      <c r="G132" s="36" t="s">
        <v>15</v>
      </c>
      <c r="H132" s="36"/>
      <c r="I132" s="36"/>
    </row>
    <row r="133" spans="1:9">
      <c r="A133" s="36" t="s">
        <v>114</v>
      </c>
      <c r="B133" s="37">
        <v>5.8870399999999998E-5</v>
      </c>
      <c r="C133" s="36" t="s">
        <v>109</v>
      </c>
      <c r="D133" s="36"/>
      <c r="E133" s="36" t="s">
        <v>13</v>
      </c>
      <c r="F133" s="36" t="s">
        <v>25</v>
      </c>
      <c r="G133" s="36" t="s">
        <v>15</v>
      </c>
      <c r="H133" s="36"/>
      <c r="I133" s="36"/>
    </row>
    <row r="134" spans="1:9">
      <c r="A134" s="36" t="s">
        <v>115</v>
      </c>
      <c r="B134" s="37">
        <v>2.8032999999999999E-6</v>
      </c>
      <c r="C134" s="36" t="s">
        <v>109</v>
      </c>
      <c r="D134" s="36"/>
      <c r="E134" s="36" t="s">
        <v>13</v>
      </c>
      <c r="F134" s="36" t="s">
        <v>25</v>
      </c>
      <c r="G134" s="36" t="s">
        <v>15</v>
      </c>
      <c r="H134" s="36"/>
      <c r="I134" s="36"/>
    </row>
    <row r="135" spans="1:9">
      <c r="A135" s="36" t="s">
        <v>116</v>
      </c>
      <c r="B135" s="37">
        <v>2.8032999999999999E-6</v>
      </c>
      <c r="C135" s="36" t="s">
        <v>109</v>
      </c>
      <c r="D135" s="36"/>
      <c r="E135" s="36" t="s">
        <v>13</v>
      </c>
      <c r="F135" s="36" t="s">
        <v>25</v>
      </c>
      <c r="G135" s="36" t="s">
        <v>15</v>
      </c>
      <c r="H135" s="36"/>
      <c r="I135" s="36"/>
    </row>
    <row r="136" spans="1:9">
      <c r="A136" s="36" t="s">
        <v>117</v>
      </c>
      <c r="B136" s="37">
        <v>8.4101700000000003E-10</v>
      </c>
      <c r="C136" s="36" t="s">
        <v>109</v>
      </c>
      <c r="D136" s="36"/>
      <c r="E136" s="36" t="s">
        <v>13</v>
      </c>
      <c r="F136" s="36" t="s">
        <v>25</v>
      </c>
      <c r="G136" s="36" t="s">
        <v>15</v>
      </c>
      <c r="H136" s="36"/>
      <c r="I136" s="36"/>
    </row>
    <row r="137" spans="1:9">
      <c r="A137" s="36" t="s">
        <v>118</v>
      </c>
      <c r="B137" s="37">
        <v>5.6068700000000001E-5</v>
      </c>
      <c r="C137" s="36" t="s">
        <v>109</v>
      </c>
      <c r="D137" s="36"/>
      <c r="E137" s="36" t="s">
        <v>13</v>
      </c>
      <c r="F137" s="36" t="s">
        <v>25</v>
      </c>
      <c r="G137" s="36" t="s">
        <v>15</v>
      </c>
      <c r="H137" s="36"/>
      <c r="I137" s="36"/>
    </row>
    <row r="138" spans="1:9">
      <c r="A138" s="36" t="s">
        <v>119</v>
      </c>
      <c r="B138" s="36">
        <v>5.0180299999999999E-4</v>
      </c>
      <c r="C138" s="36" t="s">
        <v>109</v>
      </c>
      <c r="D138" s="36"/>
      <c r="E138" s="36" t="s">
        <v>13</v>
      </c>
      <c r="F138" s="36" t="s">
        <v>25</v>
      </c>
      <c r="G138" s="36" t="s">
        <v>15</v>
      </c>
      <c r="H138" s="36"/>
      <c r="I138" s="36"/>
    </row>
    <row r="139" spans="1:9">
      <c r="A139" s="36" t="s">
        <v>120</v>
      </c>
      <c r="B139" s="37">
        <v>2.8033000000000002E-7</v>
      </c>
      <c r="C139" s="36" t="s">
        <v>109</v>
      </c>
      <c r="D139" s="36"/>
      <c r="E139" s="36" t="s">
        <v>13</v>
      </c>
      <c r="F139" s="36" t="s">
        <v>25</v>
      </c>
      <c r="G139" s="36" t="s">
        <v>15</v>
      </c>
      <c r="H139" s="36"/>
      <c r="I139" s="36"/>
    </row>
    <row r="140" spans="1:9">
      <c r="A140" s="36" t="s">
        <v>121</v>
      </c>
      <c r="B140" s="37">
        <v>5.6068700000000001E-6</v>
      </c>
      <c r="C140" s="36" t="s">
        <v>109</v>
      </c>
      <c r="D140" s="36"/>
      <c r="E140" s="36" t="s">
        <v>13</v>
      </c>
      <c r="F140" s="36" t="s">
        <v>25</v>
      </c>
      <c r="G140" s="36" t="s">
        <v>15</v>
      </c>
      <c r="H140" s="36"/>
      <c r="I140" s="36"/>
    </row>
    <row r="141" spans="1:9">
      <c r="A141" s="36" t="s">
        <v>122</v>
      </c>
      <c r="B141" s="37">
        <v>3.36417E-5</v>
      </c>
      <c r="C141" s="36" t="s">
        <v>109</v>
      </c>
      <c r="D141" s="36"/>
      <c r="E141" s="36" t="s">
        <v>13</v>
      </c>
      <c r="F141" s="36" t="s">
        <v>25</v>
      </c>
      <c r="G141" s="36" t="s">
        <v>15</v>
      </c>
      <c r="H141" s="36"/>
      <c r="I141" s="36"/>
    </row>
    <row r="142" spans="1:9">
      <c r="A142" s="36" t="s">
        <v>123</v>
      </c>
      <c r="B142" s="37">
        <v>5.6068700000000001E-6</v>
      </c>
      <c r="C142" s="36" t="s">
        <v>109</v>
      </c>
      <c r="D142" s="36"/>
      <c r="E142" s="36" t="s">
        <v>13</v>
      </c>
      <c r="F142" s="36" t="s">
        <v>25</v>
      </c>
      <c r="G142" s="36" t="s">
        <v>15</v>
      </c>
      <c r="H142" s="36"/>
      <c r="I142" s="36"/>
    </row>
    <row r="143" spans="1:9">
      <c r="A143" s="36" t="s">
        <v>124</v>
      </c>
      <c r="B143" s="37">
        <v>5.6068700000000005E-7</v>
      </c>
      <c r="C143" s="36" t="s">
        <v>109</v>
      </c>
      <c r="D143" s="36"/>
      <c r="E143" s="36" t="s">
        <v>13</v>
      </c>
      <c r="F143" s="36" t="s">
        <v>25</v>
      </c>
      <c r="G143" s="36" t="s">
        <v>15</v>
      </c>
      <c r="H143" s="36"/>
      <c r="I143" s="36"/>
    </row>
    <row r="144" spans="1:9">
      <c r="A144" s="36" t="s">
        <v>125</v>
      </c>
      <c r="B144" s="37">
        <v>1.5418699999999999E-5</v>
      </c>
      <c r="C144" s="36" t="s">
        <v>109</v>
      </c>
      <c r="D144" s="36"/>
      <c r="E144" s="36" t="s">
        <v>13</v>
      </c>
      <c r="F144" s="36" t="s">
        <v>25</v>
      </c>
      <c r="G144" s="36" t="s">
        <v>15</v>
      </c>
      <c r="H144" s="36"/>
      <c r="I144" s="36"/>
    </row>
    <row r="145" spans="1:9">
      <c r="A145" s="36" t="s">
        <v>126</v>
      </c>
      <c r="B145" s="37">
        <v>5.6068700000000001E-6</v>
      </c>
      <c r="C145" s="36" t="s">
        <v>109</v>
      </c>
      <c r="D145" s="36"/>
      <c r="E145" s="36" t="s">
        <v>13</v>
      </c>
      <c r="F145" s="36" t="s">
        <v>25</v>
      </c>
      <c r="G145" s="36" t="s">
        <v>15</v>
      </c>
      <c r="H145" s="36"/>
      <c r="I145" s="36"/>
    </row>
    <row r="146" spans="1:9">
      <c r="A146" s="36" t="s">
        <v>127</v>
      </c>
      <c r="B146" s="36">
        <v>0.38033800800000001</v>
      </c>
      <c r="C146" s="36" t="s">
        <v>109</v>
      </c>
      <c r="D146" s="36"/>
      <c r="E146" s="36" t="s">
        <v>128</v>
      </c>
      <c r="F146" s="36" t="s">
        <v>129</v>
      </c>
      <c r="G146" s="36" t="s">
        <v>15</v>
      </c>
      <c r="H146" s="36"/>
      <c r="I146" s="36"/>
    </row>
    <row r="147" spans="1:9">
      <c r="A147" s="36" t="s">
        <v>130</v>
      </c>
      <c r="B147" s="36">
        <v>0.36940000000000001</v>
      </c>
      <c r="C147" s="36" t="s">
        <v>109</v>
      </c>
      <c r="D147" s="36"/>
      <c r="E147" s="36" t="s">
        <v>128</v>
      </c>
      <c r="F147" s="36" t="s">
        <v>131</v>
      </c>
      <c r="G147" s="36" t="s">
        <v>15</v>
      </c>
      <c r="H147" s="36"/>
      <c r="I147" s="36"/>
    </row>
    <row r="148" spans="1:9">
      <c r="A148" s="36" t="s">
        <v>130</v>
      </c>
      <c r="B148" s="36">
        <v>1.0999999999999999E-2</v>
      </c>
      <c r="C148" s="36" t="s">
        <v>109</v>
      </c>
      <c r="D148" s="36"/>
      <c r="E148" s="36" t="s">
        <v>128</v>
      </c>
      <c r="F148" s="36" t="s">
        <v>25</v>
      </c>
      <c r="G148" s="36" t="s">
        <v>15</v>
      </c>
      <c r="H148" s="36"/>
      <c r="I148" s="36" t="s">
        <v>165</v>
      </c>
    </row>
    <row r="149" spans="1:9">
      <c r="A149" s="36" t="s">
        <v>166</v>
      </c>
      <c r="B149" s="36">
        <v>6.1611670199999997</v>
      </c>
      <c r="C149" s="36" t="s">
        <v>167</v>
      </c>
      <c r="D149" s="36" t="s">
        <v>49</v>
      </c>
      <c r="E149" s="36" t="s">
        <v>13</v>
      </c>
      <c r="F149" s="36"/>
      <c r="G149" s="36" t="s">
        <v>12</v>
      </c>
      <c r="H149" s="36" t="s">
        <v>166</v>
      </c>
      <c r="I149" s="36"/>
    </row>
    <row r="150" spans="1:9">
      <c r="A150" s="36" t="s">
        <v>133</v>
      </c>
      <c r="B150" s="37">
        <v>5.3477100000000001E-10</v>
      </c>
      <c r="C150" s="36" t="s">
        <v>167</v>
      </c>
      <c r="D150" s="36" t="s">
        <v>49</v>
      </c>
      <c r="E150" s="36" t="s">
        <v>6</v>
      </c>
      <c r="F150" s="36"/>
      <c r="G150" s="36" t="s">
        <v>12</v>
      </c>
      <c r="H150" s="36" t="s">
        <v>135</v>
      </c>
      <c r="I150" s="36"/>
    </row>
    <row r="151" spans="1:9">
      <c r="A151" s="36" t="s">
        <v>136</v>
      </c>
      <c r="B151" s="36">
        <v>5.32728E-4</v>
      </c>
      <c r="C151" s="36" t="s">
        <v>167</v>
      </c>
      <c r="D151" s="36" t="s">
        <v>137</v>
      </c>
      <c r="E151" s="36" t="s">
        <v>13</v>
      </c>
      <c r="F151" s="36"/>
      <c r="G151" s="36" t="s">
        <v>12</v>
      </c>
      <c r="H151" s="36" t="s">
        <v>138</v>
      </c>
      <c r="I151" s="36"/>
    </row>
    <row r="152" spans="1:9">
      <c r="A152" s="36" t="s">
        <v>139</v>
      </c>
      <c r="B152" s="36">
        <v>3.6000000000000001E-5</v>
      </c>
      <c r="C152" s="36" t="s">
        <v>167</v>
      </c>
      <c r="D152" s="36" t="s">
        <v>140</v>
      </c>
      <c r="E152" s="36" t="s">
        <v>13</v>
      </c>
      <c r="F152" s="36"/>
      <c r="G152" s="36" t="s">
        <v>12</v>
      </c>
      <c r="H152" s="36" t="s">
        <v>141</v>
      </c>
      <c r="I152" s="36"/>
    </row>
    <row r="153" spans="1:9">
      <c r="A153" s="36" t="s">
        <v>142</v>
      </c>
      <c r="B153" s="36">
        <v>3.6240000000000003E-4</v>
      </c>
      <c r="C153" s="36" t="s">
        <v>167</v>
      </c>
      <c r="D153" s="36" t="s">
        <v>140</v>
      </c>
      <c r="E153" s="36" t="s">
        <v>13</v>
      </c>
      <c r="F153" s="36"/>
      <c r="G153" s="36" t="s">
        <v>12</v>
      </c>
      <c r="H153" s="36" t="s">
        <v>143</v>
      </c>
      <c r="I153" s="36"/>
    </row>
    <row r="154" spans="1:9">
      <c r="A154" s="36" t="s">
        <v>168</v>
      </c>
      <c r="B154" s="36">
        <v>2.0948000000000001E-4</v>
      </c>
      <c r="C154" s="36" t="s">
        <v>167</v>
      </c>
      <c r="D154" s="36" t="s">
        <v>140</v>
      </c>
      <c r="E154" s="36" t="s">
        <v>13</v>
      </c>
      <c r="F154" s="36"/>
      <c r="G154" s="36" t="s">
        <v>12</v>
      </c>
      <c r="H154" s="36" t="s">
        <v>169</v>
      </c>
      <c r="I154" s="36"/>
    </row>
    <row r="155" spans="1:9">
      <c r="A155" s="36" t="s">
        <v>144</v>
      </c>
      <c r="B155" s="37">
        <v>2.54628E-9</v>
      </c>
      <c r="C155" s="36" t="s">
        <v>167</v>
      </c>
      <c r="D155" s="36" t="s">
        <v>140</v>
      </c>
      <c r="E155" s="36" t="s">
        <v>6</v>
      </c>
      <c r="F155" s="36"/>
      <c r="G155" s="36" t="s">
        <v>12</v>
      </c>
      <c r="H155" s="36" t="s">
        <v>145</v>
      </c>
      <c r="I155" s="36"/>
    </row>
    <row r="156" spans="1:9">
      <c r="A156" s="36" t="s">
        <v>146</v>
      </c>
      <c r="B156" s="36">
        <v>2.796E-5</v>
      </c>
      <c r="C156" s="36" t="s">
        <v>167</v>
      </c>
      <c r="D156" s="36" t="s">
        <v>140</v>
      </c>
      <c r="E156" s="36" t="s">
        <v>13</v>
      </c>
      <c r="F156" s="36"/>
      <c r="G156" s="36" t="s">
        <v>12</v>
      </c>
      <c r="H156" s="36" t="s">
        <v>147</v>
      </c>
      <c r="I156" s="36"/>
    </row>
    <row r="157" spans="1:9">
      <c r="A157" s="36" t="s">
        <v>148</v>
      </c>
      <c r="B157" s="36">
        <v>1.668E-5</v>
      </c>
      <c r="C157" s="36" t="s">
        <v>167</v>
      </c>
      <c r="D157" s="36" t="s">
        <v>140</v>
      </c>
      <c r="E157" s="36" t="s">
        <v>13</v>
      </c>
      <c r="F157" s="36"/>
      <c r="G157" s="36" t="s">
        <v>12</v>
      </c>
      <c r="H157" s="36" t="s">
        <v>149</v>
      </c>
      <c r="I157" s="36"/>
    </row>
    <row r="158" spans="1:9">
      <c r="A158" s="36" t="s">
        <v>150</v>
      </c>
      <c r="B158" s="36">
        <v>2.0291999999999999E-4</v>
      </c>
      <c r="C158" s="36" t="s">
        <v>167</v>
      </c>
      <c r="D158" s="36" t="s">
        <v>140</v>
      </c>
      <c r="E158" s="36" t="s">
        <v>13</v>
      </c>
      <c r="F158" s="36"/>
      <c r="G158" s="36" t="s">
        <v>12</v>
      </c>
      <c r="H158" s="36" t="s">
        <v>151</v>
      </c>
      <c r="I158" s="36"/>
    </row>
    <row r="159" spans="1:9">
      <c r="A159" s="36" t="s">
        <v>152</v>
      </c>
      <c r="B159" s="36">
        <v>3.1236000000000002E-4</v>
      </c>
      <c r="C159" s="36" t="s">
        <v>167</v>
      </c>
      <c r="D159" s="36" t="s">
        <v>140</v>
      </c>
      <c r="E159" s="36" t="s">
        <v>13</v>
      </c>
      <c r="F159" s="36"/>
      <c r="G159" s="36" t="s">
        <v>12</v>
      </c>
      <c r="H159" s="36" t="s">
        <v>153</v>
      </c>
      <c r="I159" s="36"/>
    </row>
    <row r="160" spans="1:9">
      <c r="A160" s="36" t="s">
        <v>154</v>
      </c>
      <c r="B160" s="36">
        <v>4.8000000000000001E-5</v>
      </c>
      <c r="C160" s="36" t="s">
        <v>167</v>
      </c>
      <c r="D160" s="36" t="s">
        <v>49</v>
      </c>
      <c r="E160" s="36" t="s">
        <v>13</v>
      </c>
      <c r="F160" s="36"/>
      <c r="G160" s="36" t="s">
        <v>12</v>
      </c>
      <c r="H160" s="36" t="s">
        <v>155</v>
      </c>
      <c r="I160" s="36"/>
    </row>
    <row r="161" spans="1:9">
      <c r="A161" s="36" t="s">
        <v>156</v>
      </c>
      <c r="B161" s="36">
        <v>1.1592E-5</v>
      </c>
      <c r="C161" s="36" t="s">
        <v>167</v>
      </c>
      <c r="D161" s="36" t="s">
        <v>140</v>
      </c>
      <c r="E161" s="36" t="s">
        <v>13</v>
      </c>
      <c r="F161" s="36"/>
      <c r="G161" s="36" t="s">
        <v>12</v>
      </c>
      <c r="H161" s="36" t="s">
        <v>157</v>
      </c>
      <c r="I161" s="36"/>
    </row>
    <row r="162" spans="1:9">
      <c r="A162" s="36" t="s">
        <v>21</v>
      </c>
      <c r="B162" s="36">
        <v>7.5375498600000004</v>
      </c>
      <c r="C162" s="36" t="s">
        <v>167</v>
      </c>
      <c r="D162" s="36" t="s">
        <v>22</v>
      </c>
      <c r="E162" s="36" t="s">
        <v>13</v>
      </c>
      <c r="F162" s="36"/>
      <c r="G162" s="36" t="s">
        <v>12</v>
      </c>
      <c r="H162" s="36" t="s">
        <v>23</v>
      </c>
      <c r="I162" s="36"/>
    </row>
    <row r="163" spans="1:9">
      <c r="A163" s="36" t="s">
        <v>158</v>
      </c>
      <c r="B163" s="36">
        <v>8.8290199999999997E-4</v>
      </c>
      <c r="C163" s="36" t="s">
        <v>167</v>
      </c>
      <c r="D163" s="36" t="s">
        <v>140</v>
      </c>
      <c r="E163" s="36" t="s">
        <v>13</v>
      </c>
      <c r="F163" s="36"/>
      <c r="G163" s="36" t="s">
        <v>12</v>
      </c>
      <c r="H163" s="36" t="s">
        <v>159</v>
      </c>
      <c r="I163" s="36"/>
    </row>
    <row r="164" spans="1:9">
      <c r="A164" s="36" t="s">
        <v>160</v>
      </c>
      <c r="B164" s="36">
        <v>3.7139999999999997E-4</v>
      </c>
      <c r="C164" s="36" t="s">
        <v>167</v>
      </c>
      <c r="D164" s="36" t="s">
        <v>140</v>
      </c>
      <c r="E164" s="36" t="s">
        <v>13</v>
      </c>
      <c r="F164" s="36"/>
      <c r="G164" s="36" t="s">
        <v>12</v>
      </c>
      <c r="H164" s="36" t="s">
        <v>161</v>
      </c>
      <c r="I164" s="36"/>
    </row>
    <row r="165" spans="1:9">
      <c r="A165" s="36" t="s">
        <v>98</v>
      </c>
      <c r="B165" s="36">
        <v>0</v>
      </c>
      <c r="C165" s="36" t="s">
        <v>167</v>
      </c>
      <c r="D165" s="36" t="s">
        <v>29</v>
      </c>
      <c r="E165" s="36" t="s">
        <v>19</v>
      </c>
      <c r="F165" s="36"/>
      <c r="G165" s="36" t="s">
        <v>12</v>
      </c>
      <c r="H165" s="36" t="s">
        <v>31</v>
      </c>
      <c r="I165" s="36"/>
    </row>
    <row r="166" spans="1:9">
      <c r="A166" s="38" t="s">
        <v>162</v>
      </c>
      <c r="B166" s="36">
        <v>4.3011681309999998</v>
      </c>
      <c r="C166" s="36" t="s">
        <v>167</v>
      </c>
      <c r="D166" s="36" t="s">
        <v>22</v>
      </c>
      <c r="E166" s="36" t="s">
        <v>128</v>
      </c>
      <c r="F166" s="36"/>
      <c r="G166" s="36" t="s">
        <v>12</v>
      </c>
      <c r="H166" s="36" t="s">
        <v>163</v>
      </c>
      <c r="I166" s="36"/>
    </row>
    <row r="167" spans="1:9">
      <c r="A167" s="36"/>
      <c r="B167" s="36"/>
      <c r="C167" s="36"/>
      <c r="D167" s="36"/>
      <c r="E167" s="36"/>
      <c r="F167" s="36"/>
      <c r="G167" s="36"/>
      <c r="H167" s="36"/>
      <c r="I167" s="36"/>
    </row>
    <row r="168" spans="1:9" ht="15.6">
      <c r="A168" s="30" t="s">
        <v>1</v>
      </c>
      <c r="B168" s="30" t="s">
        <v>270</v>
      </c>
    </row>
    <row r="169" spans="1:9">
      <c r="A169" t="s">
        <v>2</v>
      </c>
      <c r="B169" t="s">
        <v>29</v>
      </c>
    </row>
    <row r="170" spans="1:9">
      <c r="A170" t="s">
        <v>11</v>
      </c>
      <c r="B170" t="s">
        <v>271</v>
      </c>
    </row>
    <row r="171" spans="1:9">
      <c r="A171" t="s">
        <v>3</v>
      </c>
      <c r="B171">
        <v>1</v>
      </c>
    </row>
    <row r="172" spans="1:9">
      <c r="A172" t="s">
        <v>76</v>
      </c>
      <c r="B172"/>
    </row>
    <row r="173" spans="1:9">
      <c r="A173" t="s">
        <v>4</v>
      </c>
      <c r="B173" t="s">
        <v>272</v>
      </c>
    </row>
    <row r="174" spans="1:9">
      <c r="A174" t="s">
        <v>5</v>
      </c>
      <c r="B174" t="s">
        <v>78</v>
      </c>
    </row>
    <row r="175" spans="1:9">
      <c r="A175" t="s">
        <v>6</v>
      </c>
      <c r="B175" s="36" t="s">
        <v>13</v>
      </c>
    </row>
    <row r="176" spans="1:9" ht="15.6">
      <c r="A176" s="30" t="s">
        <v>7</v>
      </c>
      <c r="B176"/>
    </row>
    <row r="177" spans="1:34" ht="15.6">
      <c r="A177" s="30" t="s">
        <v>8</v>
      </c>
      <c r="B177" s="30" t="s">
        <v>9</v>
      </c>
      <c r="C177" s="30" t="s">
        <v>2</v>
      </c>
      <c r="D177" s="30" t="s">
        <v>6</v>
      </c>
      <c r="E177" s="30" t="s">
        <v>10</v>
      </c>
      <c r="F177" s="30" t="s">
        <v>5</v>
      </c>
      <c r="G177" s="30" t="s">
        <v>4</v>
      </c>
      <c r="H177" s="30" t="s">
        <v>11</v>
      </c>
    </row>
    <row r="178" spans="1:34">
      <c r="A178" t="str">
        <f>B168</f>
        <v>empty activity, for market that does not exist any more in 2050, Tr2050</v>
      </c>
      <c r="B178">
        <v>1</v>
      </c>
      <c r="C178" t="s">
        <v>29</v>
      </c>
      <c r="D178" t="str">
        <f>B175</f>
        <v>kilogram</v>
      </c>
      <c r="F178" t="s">
        <v>18</v>
      </c>
      <c r="G178" t="str">
        <f>B173</f>
        <v>nothing</v>
      </c>
    </row>
    <row r="179" spans="1:34">
      <c r="A179" s="41"/>
      <c r="B179" s="41"/>
      <c r="C179" s="42"/>
      <c r="D179" s="41"/>
      <c r="E179" s="41"/>
      <c r="F179" s="41"/>
      <c r="G179" s="41"/>
      <c r="H179" s="41"/>
      <c r="I179" s="41"/>
      <c r="J179" s="41"/>
      <c r="K179" s="41"/>
      <c r="L179" s="41"/>
      <c r="M179" s="41"/>
      <c r="N179" s="41"/>
      <c r="O179" s="41"/>
      <c r="P179" s="41"/>
      <c r="Q179" s="41"/>
      <c r="R179" s="41"/>
      <c r="S179" s="41"/>
      <c r="T179" s="41"/>
      <c r="U179" s="41"/>
      <c r="V179" s="41"/>
      <c r="W179" s="41"/>
      <c r="X179" s="41"/>
      <c r="Y179" s="41"/>
      <c r="Z179" s="41"/>
      <c r="AA179" s="41"/>
      <c r="AB179" s="41"/>
      <c r="AC179" s="41"/>
      <c r="AD179" s="41"/>
      <c r="AE179" s="41"/>
      <c r="AF179" s="41"/>
      <c r="AG179" s="41"/>
      <c r="AH179" s="41"/>
    </row>
    <row r="180" spans="1:34">
      <c r="A180" s="43" t="s">
        <v>1</v>
      </c>
      <c r="B180" s="43" t="s">
        <v>195</v>
      </c>
      <c r="C180" s="44"/>
      <c r="D180" s="45"/>
      <c r="E180" s="45"/>
      <c r="F180" s="45"/>
      <c r="G180" s="45"/>
      <c r="H180" s="45"/>
      <c r="I180" s="45"/>
      <c r="J180" s="45"/>
      <c r="K180" s="45"/>
      <c r="L180" s="45"/>
      <c r="M180" s="45"/>
      <c r="N180" s="45"/>
      <c r="O180" s="45"/>
      <c r="P180" s="45"/>
      <c r="Q180" s="45"/>
      <c r="R180" s="45"/>
      <c r="S180" s="45"/>
      <c r="T180" s="45"/>
      <c r="U180" s="45"/>
      <c r="V180" s="45"/>
      <c r="W180" s="45"/>
      <c r="X180" s="45"/>
      <c r="Y180" s="45"/>
      <c r="Z180" s="45"/>
      <c r="AA180" s="45"/>
      <c r="AB180" s="45"/>
      <c r="AC180" s="45"/>
      <c r="AD180" s="45"/>
      <c r="AE180" s="45"/>
      <c r="AF180" s="45"/>
      <c r="AG180" s="45"/>
      <c r="AH180" s="45"/>
    </row>
    <row r="181" spans="1:34">
      <c r="A181" s="43" t="s">
        <v>11</v>
      </c>
      <c r="B181" s="45" t="s">
        <v>196</v>
      </c>
      <c r="C181" s="44"/>
      <c r="D181" s="45"/>
      <c r="E181" s="45"/>
      <c r="F181" s="45"/>
      <c r="G181" s="45"/>
      <c r="H181" s="45"/>
      <c r="I181" s="45"/>
      <c r="J181" s="45"/>
      <c r="K181" s="45"/>
      <c r="L181" s="45"/>
      <c r="M181" s="45"/>
      <c r="N181" s="45"/>
      <c r="O181" s="45"/>
      <c r="P181" s="45"/>
      <c r="Q181" s="45"/>
      <c r="R181" s="45"/>
      <c r="S181" s="45"/>
      <c r="T181" s="45"/>
      <c r="U181" s="45"/>
      <c r="V181" s="45"/>
      <c r="W181" s="45"/>
      <c r="X181" s="45"/>
      <c r="Y181" s="45"/>
      <c r="Z181" s="45"/>
      <c r="AA181" s="45"/>
      <c r="AB181" s="45"/>
      <c r="AC181" s="45"/>
      <c r="AD181" s="45"/>
      <c r="AE181" s="45"/>
      <c r="AF181" s="45"/>
      <c r="AG181" s="45"/>
      <c r="AH181" s="45"/>
    </row>
    <row r="182" spans="1:34">
      <c r="A182" s="43" t="s">
        <v>2</v>
      </c>
      <c r="B182" s="45" t="s">
        <v>29</v>
      </c>
      <c r="C182" s="44"/>
      <c r="D182" s="45"/>
      <c r="E182" s="45"/>
      <c r="F182" s="45"/>
      <c r="G182" s="45"/>
      <c r="H182" s="45"/>
      <c r="I182" s="45"/>
      <c r="J182" s="45"/>
      <c r="K182" s="45"/>
      <c r="L182" s="45"/>
      <c r="M182" s="45"/>
      <c r="N182" s="45"/>
      <c r="O182" s="45"/>
      <c r="P182" s="45"/>
      <c r="Q182" s="45"/>
      <c r="R182" s="45"/>
      <c r="S182" s="45"/>
      <c r="T182" s="45"/>
      <c r="U182" s="45"/>
      <c r="V182" s="45"/>
      <c r="W182" s="45"/>
      <c r="X182" s="45"/>
      <c r="Y182" s="45"/>
      <c r="Z182" s="45"/>
      <c r="AA182" s="45"/>
      <c r="AB182" s="45"/>
      <c r="AC182" s="45"/>
      <c r="AD182" s="45"/>
      <c r="AE182" s="45"/>
      <c r="AF182" s="45"/>
      <c r="AG182" s="45"/>
      <c r="AH182" s="45"/>
    </row>
    <row r="183" spans="1:34">
      <c r="A183" s="46" t="s">
        <v>4</v>
      </c>
      <c r="B183" s="45" t="s">
        <v>197</v>
      </c>
      <c r="C183" s="44"/>
      <c r="D183" s="45"/>
      <c r="E183" s="45"/>
      <c r="F183" s="45"/>
      <c r="G183" s="45"/>
      <c r="H183" s="45"/>
      <c r="I183" s="45"/>
      <c r="J183" s="45"/>
      <c r="K183" s="45"/>
      <c r="L183" s="45"/>
      <c r="M183" s="45"/>
      <c r="N183" s="45"/>
      <c r="O183" s="45"/>
      <c r="P183" s="45"/>
      <c r="Q183" s="45"/>
      <c r="R183" s="45"/>
      <c r="S183" s="45"/>
      <c r="T183" s="45"/>
      <c r="U183" s="45"/>
      <c r="V183" s="45"/>
      <c r="W183" s="45"/>
      <c r="X183" s="45"/>
      <c r="Y183" s="45"/>
      <c r="Z183" s="45"/>
      <c r="AA183" s="45"/>
      <c r="AB183" s="45"/>
      <c r="AC183" s="45"/>
      <c r="AD183" s="45"/>
      <c r="AE183" s="45"/>
      <c r="AF183" s="45"/>
      <c r="AG183" s="45"/>
      <c r="AH183" s="45"/>
    </row>
    <row r="184" spans="1:34">
      <c r="A184" s="43" t="s">
        <v>3</v>
      </c>
      <c r="B184" s="47">
        <v>1</v>
      </c>
      <c r="C184" s="44"/>
      <c r="D184" s="50"/>
      <c r="E184" s="45"/>
      <c r="F184" s="45"/>
      <c r="G184" s="45"/>
      <c r="H184" s="45"/>
      <c r="I184" s="45"/>
      <c r="J184" s="45"/>
      <c r="K184" s="45"/>
      <c r="L184" s="45"/>
      <c r="M184" s="45"/>
      <c r="N184" s="45"/>
      <c r="O184" s="45"/>
      <c r="P184" s="45"/>
      <c r="Q184" s="45"/>
      <c r="R184" s="45"/>
      <c r="S184" s="45"/>
      <c r="T184" s="45"/>
      <c r="U184" s="45"/>
      <c r="V184" s="45"/>
      <c r="W184" s="45"/>
      <c r="X184" s="45"/>
      <c r="Y184" s="45"/>
      <c r="Z184" s="45"/>
      <c r="AA184" s="45"/>
      <c r="AB184" s="45"/>
      <c r="AC184" s="45"/>
      <c r="AD184" s="45"/>
      <c r="AE184" s="45"/>
      <c r="AF184" s="45"/>
      <c r="AG184" s="45"/>
      <c r="AH184" s="45"/>
    </row>
    <row r="185" spans="1:34">
      <c r="A185" s="43" t="s">
        <v>6</v>
      </c>
      <c r="B185" s="45" t="s">
        <v>128</v>
      </c>
      <c r="C185" s="44"/>
      <c r="D185" s="48"/>
      <c r="E185" s="45"/>
      <c r="F185" s="45"/>
      <c r="G185" s="45"/>
      <c r="H185" s="45"/>
      <c r="I185" s="45"/>
      <c r="J185" s="45"/>
      <c r="K185" s="45"/>
      <c r="L185" s="45"/>
      <c r="M185" s="45"/>
      <c r="N185" s="45"/>
      <c r="O185" s="45"/>
      <c r="P185" s="45"/>
      <c r="Q185" s="45"/>
      <c r="R185" s="45"/>
      <c r="S185" s="45"/>
      <c r="T185" s="45"/>
      <c r="U185" s="45"/>
      <c r="V185" s="45"/>
      <c r="W185" s="45"/>
      <c r="X185" s="45"/>
      <c r="Y185" s="45"/>
      <c r="Z185" s="45"/>
      <c r="AA185" s="45"/>
      <c r="AB185" s="45"/>
      <c r="AC185" s="45"/>
      <c r="AD185" s="45"/>
      <c r="AE185" s="45"/>
      <c r="AF185" s="45"/>
      <c r="AG185" s="45"/>
      <c r="AH185" s="45"/>
    </row>
    <row r="186" spans="1:34">
      <c r="A186" s="43" t="s">
        <v>76</v>
      </c>
      <c r="B186" s="45"/>
      <c r="C186" s="44"/>
      <c r="D186" s="48"/>
      <c r="E186" s="45"/>
      <c r="F186" s="45"/>
      <c r="G186" s="45"/>
      <c r="H186" s="45"/>
      <c r="I186" s="45"/>
      <c r="J186" s="45"/>
      <c r="K186" s="45"/>
      <c r="L186" s="45"/>
      <c r="M186" s="45"/>
      <c r="N186" s="45"/>
      <c r="O186" s="45"/>
      <c r="P186" s="45"/>
      <c r="Q186" s="45"/>
      <c r="R186" s="45"/>
      <c r="S186" s="45"/>
      <c r="T186" s="45"/>
      <c r="U186" s="45"/>
      <c r="V186" s="45"/>
      <c r="W186" s="45"/>
      <c r="X186" s="45"/>
      <c r="Y186" s="45"/>
      <c r="Z186" s="45"/>
      <c r="AA186" s="45"/>
      <c r="AB186" s="45"/>
      <c r="AC186" s="45"/>
      <c r="AD186" s="45"/>
      <c r="AE186" s="45"/>
      <c r="AF186" s="45"/>
      <c r="AG186" s="45"/>
      <c r="AH186" s="45"/>
    </row>
    <row r="187" spans="1:34">
      <c r="A187" s="43" t="s">
        <v>7</v>
      </c>
      <c r="B187" s="45"/>
      <c r="C187" s="44"/>
      <c r="D187" s="45"/>
      <c r="E187" s="45"/>
      <c r="F187" s="45"/>
      <c r="G187" s="45"/>
      <c r="H187" s="45"/>
      <c r="I187" s="45"/>
      <c r="J187" s="45"/>
      <c r="K187" s="45"/>
      <c r="L187" s="45"/>
      <c r="M187" s="45"/>
      <c r="N187" s="45"/>
      <c r="O187" s="45"/>
      <c r="P187" s="45"/>
      <c r="Q187" s="45"/>
      <c r="R187" s="45"/>
      <c r="S187" s="45"/>
      <c r="T187" s="45"/>
      <c r="U187" s="45"/>
      <c r="V187" s="45"/>
      <c r="W187" s="45"/>
      <c r="X187" s="45"/>
      <c r="Y187" s="45"/>
      <c r="Z187" s="45"/>
      <c r="AA187" s="45"/>
      <c r="AB187" s="45"/>
      <c r="AC187" s="45"/>
      <c r="AD187" s="45"/>
      <c r="AE187" s="45"/>
      <c r="AF187" s="45"/>
      <c r="AG187" s="45"/>
      <c r="AH187" s="45"/>
    </row>
    <row r="188" spans="1:34">
      <c r="A188" s="43" t="s">
        <v>8</v>
      </c>
      <c r="B188" s="43" t="s">
        <v>4</v>
      </c>
      <c r="C188" s="49" t="s">
        <v>9</v>
      </c>
      <c r="D188" s="43" t="s">
        <v>6</v>
      </c>
      <c r="E188" s="43" t="s">
        <v>106</v>
      </c>
      <c r="F188" s="43" t="s">
        <v>10</v>
      </c>
      <c r="G188" s="43" t="s">
        <v>2</v>
      </c>
      <c r="H188" s="43" t="s">
        <v>5</v>
      </c>
      <c r="I188" s="43" t="s">
        <v>11</v>
      </c>
      <c r="J188" s="45"/>
      <c r="K188" s="45"/>
      <c r="L188" s="45"/>
      <c r="M188" s="45"/>
      <c r="N188" s="45"/>
      <c r="O188" s="45"/>
      <c r="P188" s="45"/>
      <c r="Q188" s="45"/>
      <c r="R188" s="45"/>
      <c r="S188" s="45"/>
      <c r="T188" s="45"/>
      <c r="U188" s="45"/>
      <c r="V188" s="45"/>
      <c r="W188" s="45"/>
      <c r="X188" s="45"/>
      <c r="Y188" s="45"/>
      <c r="Z188" s="45"/>
      <c r="AA188" s="45"/>
      <c r="AB188" s="45"/>
      <c r="AC188" s="45"/>
      <c r="AD188" s="45"/>
      <c r="AE188" s="45"/>
      <c r="AF188" s="45"/>
      <c r="AG188" s="45"/>
      <c r="AH188" s="45"/>
    </row>
    <row r="189" spans="1:34">
      <c r="A189" s="50" t="s">
        <v>195</v>
      </c>
      <c r="B189" s="50" t="s">
        <v>197</v>
      </c>
      <c r="C189" s="51">
        <v>1</v>
      </c>
      <c r="D189" s="45" t="s">
        <v>128</v>
      </c>
      <c r="E189" s="50" t="s">
        <v>198</v>
      </c>
      <c r="F189" s="50"/>
      <c r="G189" s="50" t="s">
        <v>29</v>
      </c>
      <c r="H189" s="50" t="s">
        <v>18</v>
      </c>
      <c r="I189" s="50"/>
      <c r="J189" s="50"/>
      <c r="K189" s="50"/>
      <c r="L189" s="45"/>
      <c r="M189" s="45"/>
      <c r="N189" s="45"/>
      <c r="O189" s="45"/>
      <c r="P189" s="45"/>
      <c r="Q189" s="45"/>
      <c r="R189" s="45"/>
      <c r="S189" s="45"/>
      <c r="T189" s="45"/>
      <c r="U189" s="45"/>
      <c r="V189" s="45"/>
      <c r="W189" s="45"/>
      <c r="X189" s="45"/>
      <c r="Y189" s="45"/>
      <c r="Z189" s="45"/>
      <c r="AA189" s="45"/>
      <c r="AB189" s="45"/>
      <c r="AC189" s="45"/>
      <c r="AD189" s="45"/>
      <c r="AE189" s="45"/>
      <c r="AF189" s="45"/>
      <c r="AG189" s="45"/>
      <c r="AH189" s="45"/>
    </row>
    <row r="190" spans="1:34">
      <c r="A190" s="50" t="s">
        <v>290</v>
      </c>
      <c r="B190" s="50" t="s">
        <v>291</v>
      </c>
      <c r="C190" s="51">
        <v>1</v>
      </c>
      <c r="D190" s="45" t="s">
        <v>13</v>
      </c>
      <c r="E190" s="50" t="s">
        <v>211</v>
      </c>
      <c r="F190" s="50"/>
      <c r="G190" s="50" t="s">
        <v>29</v>
      </c>
      <c r="H190" s="50" t="s">
        <v>12</v>
      </c>
      <c r="I190" s="50"/>
      <c r="J190" s="50"/>
      <c r="K190" s="50"/>
      <c r="L190" s="45"/>
      <c r="M190" s="45"/>
      <c r="N190" s="45"/>
      <c r="O190" s="45"/>
      <c r="P190" s="45"/>
      <c r="Q190" s="45"/>
      <c r="R190" s="45"/>
      <c r="S190" s="45"/>
      <c r="T190" s="45"/>
      <c r="U190" s="45"/>
      <c r="V190" s="45"/>
      <c r="W190" s="45"/>
      <c r="X190" s="45"/>
      <c r="Y190" s="45"/>
      <c r="Z190" s="45"/>
      <c r="AA190" s="45"/>
      <c r="AB190" s="45"/>
      <c r="AC190" s="45"/>
      <c r="AD190" s="45"/>
      <c r="AE190" s="45"/>
      <c r="AF190" s="45"/>
      <c r="AG190" s="45"/>
      <c r="AH190" s="45"/>
    </row>
    <row r="191" spans="1:34">
      <c r="A191" s="44" t="s">
        <v>199</v>
      </c>
      <c r="B191" s="45"/>
      <c r="C191" s="51">
        <v>2.4324509555475786</v>
      </c>
      <c r="D191" s="45" t="s">
        <v>13</v>
      </c>
      <c r="E191" s="45" t="s">
        <v>109</v>
      </c>
      <c r="F191" s="45" t="s">
        <v>200</v>
      </c>
      <c r="G191" s="45"/>
      <c r="H191" s="45" t="s">
        <v>15</v>
      </c>
      <c r="I191" s="45" t="s">
        <v>201</v>
      </c>
      <c r="J191" s="45"/>
      <c r="K191" s="45"/>
      <c r="L191" s="45"/>
      <c r="M191" s="45"/>
      <c r="N191" s="45"/>
      <c r="O191" s="45"/>
      <c r="P191" s="45"/>
      <c r="Q191" s="45"/>
      <c r="R191" s="45"/>
      <c r="S191" s="45"/>
      <c r="T191" s="45"/>
      <c r="U191" s="45"/>
      <c r="V191" s="45"/>
      <c r="W191" s="45"/>
      <c r="X191" s="45"/>
      <c r="Y191" s="45"/>
      <c r="Z191" s="45"/>
      <c r="AA191" s="45"/>
      <c r="AB191" s="45"/>
      <c r="AC191" s="45"/>
      <c r="AD191" s="45"/>
      <c r="AE191" s="45"/>
      <c r="AF191" s="45"/>
      <c r="AG191" s="45"/>
      <c r="AH191" s="45"/>
    </row>
    <row r="192" spans="1:34">
      <c r="A192" s="41"/>
      <c r="B192" s="41"/>
      <c r="C192" s="42"/>
      <c r="D192" s="41"/>
      <c r="E192" s="41"/>
      <c r="F192" s="41"/>
      <c r="G192" s="41"/>
      <c r="H192" s="41"/>
      <c r="I192" s="41"/>
      <c r="J192" s="41"/>
      <c r="K192" s="41"/>
      <c r="L192" s="41"/>
      <c r="M192" s="41"/>
      <c r="N192" s="41"/>
      <c r="O192" s="41"/>
      <c r="P192" s="41"/>
      <c r="Q192" s="41"/>
      <c r="R192" s="41"/>
      <c r="S192" s="41"/>
      <c r="T192" s="41"/>
      <c r="U192" s="41"/>
      <c r="V192" s="41"/>
      <c r="W192" s="41"/>
      <c r="X192" s="41"/>
      <c r="Y192" s="41"/>
      <c r="Z192" s="41"/>
      <c r="AA192" s="41"/>
      <c r="AB192" s="41"/>
      <c r="AC192" s="41"/>
      <c r="AD192" s="41"/>
      <c r="AE192" s="41"/>
      <c r="AF192" s="41"/>
      <c r="AG192" s="41"/>
      <c r="AH192" s="41"/>
    </row>
    <row r="193" spans="1:34">
      <c r="A193" s="43" t="s">
        <v>1</v>
      </c>
      <c r="B193" s="43" t="s">
        <v>202</v>
      </c>
      <c r="C193" s="44"/>
      <c r="D193" s="45"/>
      <c r="E193" s="45"/>
      <c r="F193" s="45"/>
      <c r="G193" s="45"/>
      <c r="H193" s="45"/>
      <c r="I193" s="45"/>
      <c r="J193" s="45"/>
      <c r="K193" s="45"/>
      <c r="L193" s="45"/>
      <c r="M193" s="45"/>
      <c r="N193" s="45"/>
      <c r="O193" s="45"/>
      <c r="P193" s="45"/>
      <c r="Q193" s="45"/>
      <c r="R193" s="45"/>
      <c r="S193" s="45"/>
      <c r="T193" s="45"/>
      <c r="U193" s="45"/>
      <c r="V193" s="45"/>
      <c r="W193" s="45"/>
      <c r="X193" s="45"/>
      <c r="Y193" s="45"/>
      <c r="Z193" s="45"/>
      <c r="AA193" s="45"/>
      <c r="AB193" s="45"/>
      <c r="AC193" s="45"/>
      <c r="AD193" s="45"/>
      <c r="AE193" s="45"/>
      <c r="AF193" s="45"/>
      <c r="AG193" s="45"/>
      <c r="AH193" s="45"/>
    </row>
    <row r="194" spans="1:34">
      <c r="A194" s="43" t="s">
        <v>11</v>
      </c>
      <c r="B194" s="45" t="s">
        <v>203</v>
      </c>
      <c r="C194" s="44"/>
      <c r="D194" s="45"/>
      <c r="E194" s="45"/>
      <c r="F194" s="45"/>
      <c r="G194" s="45"/>
      <c r="H194" s="45"/>
      <c r="I194" s="45"/>
      <c r="J194" s="45"/>
      <c r="K194" s="45"/>
      <c r="L194" s="45"/>
      <c r="M194" s="45"/>
      <c r="N194" s="45"/>
      <c r="O194" s="45"/>
      <c r="P194" s="45"/>
      <c r="Q194" s="45"/>
      <c r="R194" s="45"/>
      <c r="S194" s="45"/>
      <c r="T194" s="45"/>
      <c r="U194" s="45"/>
      <c r="V194" s="45"/>
      <c r="W194" s="45"/>
      <c r="X194" s="45"/>
      <c r="Y194" s="45"/>
      <c r="Z194" s="45"/>
      <c r="AA194" s="45"/>
      <c r="AB194" s="45"/>
      <c r="AC194" s="45"/>
      <c r="AD194" s="45"/>
      <c r="AE194" s="45"/>
      <c r="AF194" s="45"/>
      <c r="AG194" s="45"/>
      <c r="AH194" s="45"/>
    </row>
    <row r="195" spans="1:34">
      <c r="A195" s="43" t="s">
        <v>2</v>
      </c>
      <c r="B195" s="45" t="s">
        <v>29</v>
      </c>
      <c r="C195" s="44"/>
      <c r="D195" s="45"/>
      <c r="E195" s="45"/>
      <c r="F195" s="45"/>
      <c r="G195" s="45"/>
      <c r="H195" s="45"/>
      <c r="I195" s="45"/>
      <c r="J195" s="45"/>
      <c r="K195" s="45"/>
      <c r="L195" s="45"/>
      <c r="M195" s="45"/>
      <c r="N195" s="45"/>
      <c r="O195" s="45"/>
      <c r="P195" s="45"/>
      <c r="Q195" s="45"/>
      <c r="R195" s="45"/>
      <c r="S195" s="45"/>
      <c r="T195" s="45"/>
      <c r="U195" s="45"/>
      <c r="V195" s="45"/>
      <c r="W195" s="45"/>
      <c r="X195" s="45"/>
      <c r="Y195" s="45"/>
      <c r="Z195" s="45"/>
      <c r="AA195" s="45"/>
      <c r="AB195" s="45"/>
      <c r="AC195" s="45"/>
      <c r="AD195" s="45"/>
      <c r="AE195" s="45"/>
      <c r="AF195" s="45"/>
      <c r="AG195" s="45"/>
      <c r="AH195" s="45"/>
    </row>
    <row r="196" spans="1:34">
      <c r="A196" s="46" t="s">
        <v>4</v>
      </c>
      <c r="B196" s="45" t="s">
        <v>197</v>
      </c>
      <c r="C196" s="44"/>
      <c r="D196" s="45"/>
      <c r="E196" s="45"/>
      <c r="F196" s="45"/>
      <c r="G196" s="45"/>
      <c r="H196" s="45"/>
      <c r="I196" s="45"/>
      <c r="J196" s="45"/>
      <c r="K196" s="45"/>
      <c r="L196" s="45"/>
      <c r="M196" s="45"/>
      <c r="N196" s="45"/>
      <c r="O196" s="45"/>
      <c r="P196" s="45"/>
      <c r="Q196" s="45"/>
      <c r="R196" s="45"/>
      <c r="S196" s="45"/>
      <c r="T196" s="45"/>
      <c r="U196" s="45"/>
      <c r="V196" s="45"/>
      <c r="W196" s="45"/>
      <c r="X196" s="45"/>
      <c r="Y196" s="45"/>
      <c r="Z196" s="45"/>
      <c r="AA196" s="45"/>
      <c r="AB196" s="45"/>
      <c r="AC196" s="45"/>
      <c r="AD196" s="45"/>
      <c r="AE196" s="45"/>
      <c r="AF196" s="45"/>
      <c r="AG196" s="45"/>
      <c r="AH196" s="45"/>
    </row>
    <row r="197" spans="1:34">
      <c r="A197" s="43" t="s">
        <v>3</v>
      </c>
      <c r="B197" s="47">
        <v>1</v>
      </c>
      <c r="C197" s="44"/>
      <c r="D197" s="48"/>
      <c r="E197" s="45"/>
      <c r="F197" s="45"/>
      <c r="G197" s="45"/>
      <c r="H197" s="45"/>
      <c r="I197" s="45"/>
      <c r="J197" s="45"/>
      <c r="K197" s="45"/>
      <c r="L197" s="45"/>
      <c r="M197" s="45"/>
      <c r="N197" s="45"/>
      <c r="O197" s="45"/>
      <c r="P197" s="45"/>
      <c r="Q197" s="45"/>
      <c r="R197" s="45"/>
      <c r="S197" s="45"/>
      <c r="T197" s="45"/>
      <c r="U197" s="45"/>
      <c r="V197" s="45"/>
      <c r="W197" s="45"/>
      <c r="X197" s="45"/>
      <c r="Y197" s="45"/>
      <c r="Z197" s="45"/>
      <c r="AA197" s="45"/>
      <c r="AB197" s="45"/>
      <c r="AC197" s="45"/>
      <c r="AD197" s="45"/>
      <c r="AE197" s="45"/>
      <c r="AF197" s="45"/>
      <c r="AG197" s="45"/>
      <c r="AH197" s="45"/>
    </row>
    <row r="198" spans="1:34">
      <c r="A198" s="43" t="s">
        <v>6</v>
      </c>
      <c r="B198" s="45" t="s">
        <v>128</v>
      </c>
      <c r="C198" s="44"/>
      <c r="D198" s="48"/>
      <c r="E198" s="45"/>
      <c r="F198" s="45"/>
      <c r="G198" s="45"/>
      <c r="H198" s="45"/>
      <c r="I198" s="45"/>
      <c r="J198" s="45"/>
      <c r="K198" s="45"/>
      <c r="L198" s="45"/>
      <c r="M198" s="45"/>
      <c r="N198" s="45"/>
      <c r="O198" s="45"/>
      <c r="P198" s="45"/>
      <c r="Q198" s="45"/>
      <c r="R198" s="45"/>
      <c r="S198" s="45"/>
      <c r="T198" s="45"/>
      <c r="U198" s="45"/>
      <c r="V198" s="45"/>
      <c r="W198" s="45"/>
      <c r="X198" s="45"/>
      <c r="Y198" s="45"/>
      <c r="Z198" s="45"/>
      <c r="AA198" s="45"/>
      <c r="AB198" s="45"/>
      <c r="AC198" s="45"/>
      <c r="AD198" s="45"/>
      <c r="AE198" s="45"/>
      <c r="AF198" s="45"/>
      <c r="AG198" s="45"/>
      <c r="AH198" s="45"/>
    </row>
    <row r="199" spans="1:34">
      <c r="A199" s="43" t="s">
        <v>76</v>
      </c>
      <c r="B199" s="45"/>
      <c r="C199" s="44"/>
      <c r="D199" s="48"/>
      <c r="E199" s="45"/>
      <c r="F199" s="45"/>
      <c r="G199" s="45"/>
      <c r="H199" s="45"/>
      <c r="I199" s="45"/>
      <c r="J199" s="45"/>
      <c r="K199" s="45"/>
      <c r="L199" s="45"/>
      <c r="M199" s="45"/>
      <c r="N199" s="45"/>
      <c r="O199" s="45"/>
      <c r="P199" s="45"/>
      <c r="Q199" s="45"/>
      <c r="R199" s="45"/>
      <c r="S199" s="45"/>
      <c r="T199" s="45"/>
      <c r="U199" s="45"/>
      <c r="V199" s="45"/>
      <c r="W199" s="45"/>
      <c r="X199" s="45"/>
      <c r="Y199" s="45"/>
      <c r="Z199" s="45"/>
      <c r="AA199" s="45"/>
      <c r="AB199" s="45"/>
      <c r="AC199" s="45"/>
      <c r="AD199" s="45"/>
      <c r="AE199" s="45"/>
      <c r="AF199" s="45"/>
      <c r="AG199" s="45"/>
      <c r="AH199" s="45"/>
    </row>
    <row r="200" spans="1:34">
      <c r="A200" s="43" t="s">
        <v>7</v>
      </c>
      <c r="B200" s="45"/>
      <c r="C200" s="44"/>
      <c r="D200" s="45"/>
      <c r="E200" s="45"/>
      <c r="F200" s="45"/>
      <c r="G200" s="45"/>
      <c r="H200" s="45"/>
      <c r="I200" s="45"/>
      <c r="J200" s="45"/>
      <c r="K200" s="45"/>
      <c r="L200" s="45"/>
      <c r="M200" s="45"/>
      <c r="N200" s="45"/>
      <c r="O200" s="45"/>
      <c r="P200" s="45"/>
      <c r="Q200" s="45"/>
      <c r="R200" s="45"/>
      <c r="S200" s="45"/>
      <c r="T200" s="45"/>
      <c r="U200" s="45"/>
      <c r="V200" s="45"/>
      <c r="W200" s="45"/>
      <c r="X200" s="45"/>
      <c r="Y200" s="45"/>
      <c r="Z200" s="45"/>
      <c r="AA200" s="45"/>
      <c r="AB200" s="45"/>
      <c r="AC200" s="45"/>
      <c r="AD200" s="45"/>
      <c r="AE200" s="45"/>
      <c r="AF200" s="45"/>
      <c r="AG200" s="45"/>
      <c r="AH200" s="45"/>
    </row>
    <row r="201" spans="1:34">
      <c r="A201" s="43" t="s">
        <v>8</v>
      </c>
      <c r="B201" s="43" t="s">
        <v>4</v>
      </c>
      <c r="C201" s="49" t="s">
        <v>9</v>
      </c>
      <c r="D201" s="43" t="s">
        <v>6</v>
      </c>
      <c r="E201" s="43" t="s">
        <v>106</v>
      </c>
      <c r="F201" s="43" t="s">
        <v>10</v>
      </c>
      <c r="G201" s="43" t="s">
        <v>2</v>
      </c>
      <c r="H201" s="43" t="s">
        <v>5</v>
      </c>
      <c r="I201" s="43" t="s">
        <v>11</v>
      </c>
      <c r="J201" s="45"/>
      <c r="K201" s="45"/>
      <c r="L201" s="45"/>
      <c r="M201" s="45"/>
      <c r="N201" s="45"/>
      <c r="O201" s="45"/>
      <c r="P201" s="45"/>
      <c r="Q201" s="45"/>
      <c r="R201" s="45"/>
      <c r="S201" s="45"/>
      <c r="T201" s="45"/>
      <c r="U201" s="45"/>
      <c r="V201" s="45"/>
      <c r="W201" s="45"/>
      <c r="X201" s="45"/>
      <c r="Y201" s="45"/>
      <c r="Z201" s="45"/>
      <c r="AA201" s="45"/>
      <c r="AB201" s="45"/>
      <c r="AC201" s="45"/>
      <c r="AD201" s="45"/>
      <c r="AE201" s="45"/>
      <c r="AF201" s="45"/>
      <c r="AG201" s="45"/>
      <c r="AH201" s="45"/>
    </row>
    <row r="202" spans="1:34">
      <c r="A202" s="50" t="s">
        <v>202</v>
      </c>
      <c r="B202" s="50" t="s">
        <v>197</v>
      </c>
      <c r="C202" s="51">
        <v>1</v>
      </c>
      <c r="D202" s="45" t="s">
        <v>128</v>
      </c>
      <c r="E202" s="50" t="s">
        <v>198</v>
      </c>
      <c r="F202" s="50"/>
      <c r="G202" s="50" t="s">
        <v>29</v>
      </c>
      <c r="H202" s="50" t="s">
        <v>18</v>
      </c>
      <c r="I202" s="50"/>
      <c r="J202" s="50"/>
      <c r="K202" s="50"/>
      <c r="L202" s="45"/>
      <c r="M202" s="45"/>
      <c r="N202" s="45"/>
      <c r="O202" s="45"/>
      <c r="P202" s="45"/>
      <c r="Q202" s="45"/>
      <c r="R202" s="45"/>
      <c r="S202" s="45"/>
      <c r="T202" s="45"/>
      <c r="U202" s="45"/>
      <c r="V202" s="45"/>
      <c r="W202" s="45"/>
      <c r="X202" s="45"/>
      <c r="Y202" s="45"/>
      <c r="Z202" s="45"/>
      <c r="AA202" s="45"/>
      <c r="AB202" s="45"/>
      <c r="AC202" s="45"/>
      <c r="AD202" s="45"/>
      <c r="AE202" s="45"/>
      <c r="AF202" s="45"/>
      <c r="AG202" s="45"/>
      <c r="AH202" s="45"/>
    </row>
    <row r="203" spans="1:34">
      <c r="A203" s="44" t="s">
        <v>199</v>
      </c>
      <c r="B203" s="45"/>
      <c r="C203" s="51">
        <v>2.4411239472074011</v>
      </c>
      <c r="D203" s="45" t="s">
        <v>13</v>
      </c>
      <c r="E203" s="45" t="s">
        <v>109</v>
      </c>
      <c r="F203" s="45" t="s">
        <v>200</v>
      </c>
      <c r="G203" s="45"/>
      <c r="H203" s="45" t="s">
        <v>15</v>
      </c>
      <c r="I203" s="45" t="s">
        <v>201</v>
      </c>
      <c r="J203" s="45"/>
      <c r="K203" s="45"/>
      <c r="L203" s="45"/>
      <c r="M203" s="45"/>
      <c r="N203" s="45"/>
      <c r="O203" s="45"/>
      <c r="P203" s="45"/>
      <c r="Q203" s="45"/>
      <c r="R203" s="45"/>
      <c r="S203" s="45"/>
      <c r="T203" s="45"/>
      <c r="U203" s="45"/>
      <c r="V203" s="45"/>
      <c r="W203" s="45"/>
      <c r="X203" s="45"/>
      <c r="Y203" s="45"/>
      <c r="Z203" s="45"/>
      <c r="AA203" s="45"/>
      <c r="AB203" s="45"/>
      <c r="AC203" s="45"/>
      <c r="AD203" s="45"/>
      <c r="AE203" s="45"/>
      <c r="AF203" s="45"/>
      <c r="AG203" s="45"/>
      <c r="AH203" s="45"/>
    </row>
    <row r="204" spans="1:34">
      <c r="A204" s="41"/>
      <c r="B204" s="41"/>
      <c r="C204" s="42"/>
      <c r="D204" s="41"/>
      <c r="E204" s="41"/>
      <c r="F204" s="41"/>
      <c r="G204" s="41"/>
      <c r="H204" s="41"/>
      <c r="I204" s="41"/>
      <c r="J204" s="41"/>
      <c r="K204" s="41"/>
      <c r="L204" s="41"/>
      <c r="M204" s="41"/>
      <c r="N204" s="41"/>
      <c r="O204" s="41"/>
      <c r="P204" s="41"/>
      <c r="Q204" s="41"/>
      <c r="R204" s="41"/>
      <c r="S204" s="41"/>
      <c r="T204" s="41"/>
      <c r="U204" s="41"/>
      <c r="V204" s="41"/>
      <c r="W204" s="41"/>
      <c r="X204" s="41"/>
      <c r="Y204" s="41"/>
      <c r="Z204" s="41"/>
      <c r="AA204" s="41"/>
      <c r="AB204" s="41"/>
      <c r="AC204" s="41"/>
      <c r="AD204" s="41"/>
      <c r="AE204" s="41"/>
      <c r="AF204" s="41"/>
      <c r="AG204" s="41"/>
      <c r="AH204" s="41"/>
    </row>
    <row r="205" spans="1:34">
      <c r="A205" s="43" t="s">
        <v>1</v>
      </c>
      <c r="B205" s="43" t="s">
        <v>204</v>
      </c>
      <c r="C205" s="44"/>
      <c r="D205" s="45"/>
      <c r="E205" s="45"/>
      <c r="F205" s="45"/>
      <c r="G205" s="45"/>
      <c r="H205" s="45"/>
      <c r="I205" s="45"/>
      <c r="J205" s="45"/>
      <c r="K205" s="45"/>
      <c r="L205" s="45"/>
      <c r="M205" s="45"/>
      <c r="N205" s="45"/>
      <c r="O205" s="45"/>
      <c r="P205" s="45"/>
      <c r="Q205" s="45"/>
      <c r="R205" s="45"/>
      <c r="S205" s="45"/>
      <c r="T205" s="45"/>
      <c r="U205" s="45"/>
      <c r="V205" s="45"/>
      <c r="W205" s="45"/>
      <c r="X205" s="45"/>
      <c r="Y205" s="45"/>
      <c r="Z205" s="45"/>
      <c r="AA205" s="45"/>
      <c r="AB205" s="45"/>
      <c r="AC205" s="45"/>
      <c r="AD205" s="45"/>
      <c r="AE205" s="45"/>
      <c r="AF205" s="45"/>
      <c r="AG205" s="45"/>
      <c r="AH205" s="45"/>
    </row>
    <row r="206" spans="1:34">
      <c r="A206" s="43" t="s">
        <v>11</v>
      </c>
      <c r="B206" s="45" t="s">
        <v>205</v>
      </c>
      <c r="C206" s="44"/>
      <c r="D206" s="45"/>
      <c r="E206" s="45"/>
      <c r="F206" s="45"/>
      <c r="G206" s="45"/>
      <c r="H206" s="45"/>
      <c r="I206" s="45"/>
      <c r="J206" s="45"/>
      <c r="K206" s="45"/>
      <c r="L206" s="45"/>
      <c r="M206" s="45"/>
      <c r="N206" s="45"/>
      <c r="O206" s="45"/>
      <c r="P206" s="45"/>
      <c r="Q206" s="45"/>
      <c r="R206" s="45"/>
      <c r="S206" s="45"/>
      <c r="T206" s="45"/>
      <c r="U206" s="45"/>
      <c r="V206" s="45"/>
      <c r="W206" s="45"/>
      <c r="X206" s="45"/>
      <c r="Y206" s="45"/>
      <c r="Z206" s="45"/>
      <c r="AA206" s="45"/>
      <c r="AB206" s="45"/>
      <c r="AC206" s="45"/>
      <c r="AD206" s="45"/>
      <c r="AE206" s="45"/>
      <c r="AF206" s="45"/>
      <c r="AG206" s="45"/>
      <c r="AH206" s="45"/>
    </row>
    <row r="207" spans="1:34">
      <c r="A207" s="43" t="s">
        <v>2</v>
      </c>
      <c r="B207" s="45" t="s">
        <v>29</v>
      </c>
      <c r="C207" s="44"/>
      <c r="D207" s="45"/>
      <c r="E207" s="45"/>
      <c r="F207" s="45"/>
      <c r="G207" s="45"/>
      <c r="H207" s="45"/>
      <c r="I207" s="45"/>
      <c r="J207" s="45"/>
      <c r="K207" s="45"/>
      <c r="L207" s="45"/>
      <c r="M207" s="45"/>
      <c r="N207" s="45"/>
      <c r="O207" s="45"/>
      <c r="P207" s="45"/>
      <c r="Q207" s="45"/>
      <c r="R207" s="45"/>
      <c r="S207" s="45"/>
      <c r="T207" s="45"/>
      <c r="U207" s="45"/>
      <c r="V207" s="45"/>
      <c r="W207" s="45"/>
      <c r="X207" s="45"/>
      <c r="Y207" s="45"/>
      <c r="Z207" s="45"/>
      <c r="AA207" s="45"/>
      <c r="AB207" s="45"/>
      <c r="AC207" s="45"/>
      <c r="AD207" s="45"/>
      <c r="AE207" s="45"/>
      <c r="AF207" s="45"/>
      <c r="AG207" s="45"/>
      <c r="AH207" s="45"/>
    </row>
    <row r="208" spans="1:34">
      <c r="A208" s="46" t="s">
        <v>4</v>
      </c>
      <c r="B208" s="45" t="s">
        <v>197</v>
      </c>
      <c r="C208" s="44"/>
      <c r="D208" s="45"/>
      <c r="E208" s="45"/>
      <c r="F208" s="45"/>
      <c r="G208" s="45"/>
      <c r="H208" s="45"/>
      <c r="I208" s="45"/>
      <c r="J208" s="45"/>
      <c r="K208" s="45"/>
      <c r="L208" s="45"/>
      <c r="M208" s="45"/>
      <c r="N208" s="45"/>
      <c r="O208" s="45"/>
      <c r="P208" s="45"/>
      <c r="Q208" s="45"/>
      <c r="R208" s="45"/>
      <c r="S208" s="45"/>
      <c r="T208" s="45"/>
      <c r="U208" s="45"/>
      <c r="V208" s="45"/>
      <c r="W208" s="45"/>
      <c r="X208" s="45"/>
      <c r="Y208" s="45"/>
      <c r="Z208" s="45"/>
      <c r="AA208" s="45"/>
      <c r="AB208" s="45"/>
      <c r="AC208" s="45"/>
      <c r="AD208" s="45"/>
      <c r="AE208" s="45"/>
      <c r="AF208" s="45"/>
      <c r="AG208" s="45"/>
      <c r="AH208" s="45"/>
    </row>
    <row r="209" spans="1:34">
      <c r="A209" s="43" t="s">
        <v>3</v>
      </c>
      <c r="B209" s="47">
        <v>1</v>
      </c>
      <c r="C209" s="44"/>
      <c r="D209" s="48"/>
      <c r="E209" s="45"/>
      <c r="F209" s="45"/>
      <c r="G209" s="45"/>
      <c r="H209" s="45"/>
      <c r="I209" s="45"/>
      <c r="J209" s="45"/>
      <c r="K209" s="45"/>
      <c r="L209" s="45"/>
      <c r="M209" s="45"/>
      <c r="N209" s="45"/>
      <c r="O209" s="45"/>
      <c r="P209" s="45"/>
      <c r="Q209" s="45"/>
      <c r="R209" s="45"/>
      <c r="S209" s="45"/>
      <c r="T209" s="45"/>
      <c r="U209" s="45"/>
      <c r="V209" s="45"/>
      <c r="W209" s="45"/>
      <c r="X209" s="45"/>
      <c r="Y209" s="45"/>
      <c r="Z209" s="45"/>
      <c r="AA209" s="45"/>
      <c r="AB209" s="45"/>
      <c r="AC209" s="45"/>
      <c r="AD209" s="45"/>
      <c r="AE209" s="45"/>
      <c r="AF209" s="45"/>
      <c r="AG209" s="45"/>
      <c r="AH209" s="45"/>
    </row>
    <row r="210" spans="1:34">
      <c r="A210" s="43" t="s">
        <v>6</v>
      </c>
      <c r="B210" s="45" t="s">
        <v>128</v>
      </c>
      <c r="C210" s="44"/>
      <c r="D210" s="48"/>
      <c r="E210" s="45"/>
      <c r="F210" s="45"/>
      <c r="G210" s="45"/>
      <c r="H210" s="45"/>
      <c r="I210" s="45"/>
      <c r="J210" s="45"/>
      <c r="K210" s="45"/>
      <c r="L210" s="45"/>
      <c r="M210" s="45"/>
      <c r="N210" s="45"/>
      <c r="O210" s="45"/>
      <c r="P210" s="45"/>
      <c r="Q210" s="45"/>
      <c r="R210" s="45"/>
      <c r="S210" s="45"/>
      <c r="T210" s="45"/>
      <c r="U210" s="45"/>
      <c r="V210" s="45"/>
      <c r="W210" s="45"/>
      <c r="X210" s="45"/>
      <c r="Y210" s="45"/>
      <c r="Z210" s="45"/>
      <c r="AA210" s="45"/>
      <c r="AB210" s="45"/>
      <c r="AC210" s="45"/>
      <c r="AD210" s="45"/>
      <c r="AE210" s="45"/>
      <c r="AF210" s="45"/>
      <c r="AG210" s="45"/>
      <c r="AH210" s="45"/>
    </row>
    <row r="211" spans="1:34">
      <c r="A211" s="43" t="s">
        <v>76</v>
      </c>
      <c r="B211" s="45"/>
      <c r="C211" s="44"/>
      <c r="D211" s="48"/>
      <c r="E211" s="45"/>
      <c r="F211" s="45"/>
      <c r="G211" s="45"/>
      <c r="H211" s="45"/>
      <c r="I211" s="45"/>
      <c r="J211" s="45"/>
      <c r="K211" s="45"/>
      <c r="L211" s="45"/>
      <c r="M211" s="45"/>
      <c r="N211" s="45"/>
      <c r="O211" s="45"/>
      <c r="P211" s="45"/>
      <c r="Q211" s="45"/>
      <c r="R211" s="45"/>
      <c r="S211" s="45"/>
      <c r="T211" s="45"/>
      <c r="U211" s="45"/>
      <c r="V211" s="45"/>
      <c r="W211" s="45"/>
      <c r="X211" s="45"/>
      <c r="Y211" s="45"/>
      <c r="Z211" s="45"/>
      <c r="AA211" s="45"/>
      <c r="AB211" s="45"/>
      <c r="AC211" s="45"/>
      <c r="AD211" s="45"/>
      <c r="AE211" s="45"/>
      <c r="AF211" s="45"/>
      <c r="AG211" s="45"/>
      <c r="AH211" s="45"/>
    </row>
    <row r="212" spans="1:34">
      <c r="A212" s="43" t="s">
        <v>7</v>
      </c>
      <c r="B212" s="45"/>
      <c r="C212" s="44"/>
      <c r="D212" s="45"/>
      <c r="E212" s="45"/>
      <c r="F212" s="45"/>
      <c r="G212" s="45"/>
      <c r="H212" s="45"/>
      <c r="I212" s="45"/>
      <c r="J212" s="45"/>
      <c r="K212" s="45"/>
      <c r="L212" s="45"/>
      <c r="M212" s="45"/>
      <c r="N212" s="45"/>
      <c r="O212" s="45"/>
      <c r="P212" s="45"/>
      <c r="Q212" s="45"/>
      <c r="R212" s="45"/>
      <c r="S212" s="45"/>
      <c r="T212" s="45"/>
      <c r="U212" s="45"/>
      <c r="V212" s="45"/>
      <c r="W212" s="45"/>
      <c r="X212" s="45"/>
      <c r="Y212" s="45"/>
      <c r="Z212" s="45"/>
      <c r="AA212" s="45"/>
      <c r="AB212" s="45"/>
      <c r="AC212" s="45"/>
      <c r="AD212" s="45"/>
      <c r="AE212" s="45"/>
      <c r="AF212" s="45"/>
      <c r="AG212" s="45"/>
      <c r="AH212" s="45"/>
    </row>
    <row r="213" spans="1:34">
      <c r="A213" s="43" t="s">
        <v>8</v>
      </c>
      <c r="B213" s="43" t="s">
        <v>4</v>
      </c>
      <c r="C213" s="49" t="s">
        <v>9</v>
      </c>
      <c r="D213" s="43" t="s">
        <v>6</v>
      </c>
      <c r="E213" s="43" t="s">
        <v>106</v>
      </c>
      <c r="F213" s="43" t="s">
        <v>10</v>
      </c>
      <c r="G213" s="43" t="s">
        <v>2</v>
      </c>
      <c r="H213" s="43" t="s">
        <v>5</v>
      </c>
      <c r="I213" s="43" t="s">
        <v>11</v>
      </c>
      <c r="J213" s="45"/>
      <c r="K213" s="45"/>
      <c r="L213" s="45"/>
      <c r="M213" s="45"/>
      <c r="N213" s="45"/>
      <c r="O213" s="45"/>
      <c r="P213" s="45"/>
      <c r="Q213" s="45"/>
      <c r="R213" s="45"/>
      <c r="S213" s="45"/>
      <c r="T213" s="45"/>
      <c r="U213" s="45"/>
      <c r="V213" s="45"/>
      <c r="W213" s="45"/>
      <c r="X213" s="45"/>
      <c r="Y213" s="45"/>
      <c r="Z213" s="45"/>
      <c r="AA213" s="45"/>
      <c r="AB213" s="45"/>
      <c r="AC213" s="45"/>
      <c r="AD213" s="45"/>
      <c r="AE213" s="45"/>
      <c r="AF213" s="45"/>
      <c r="AG213" s="45"/>
      <c r="AH213" s="45"/>
    </row>
    <row r="214" spans="1:34">
      <c r="A214" s="50" t="s">
        <v>204</v>
      </c>
      <c r="B214" s="50" t="s">
        <v>197</v>
      </c>
      <c r="C214" s="51">
        <v>1</v>
      </c>
      <c r="D214" s="45" t="s">
        <v>128</v>
      </c>
      <c r="E214" s="50" t="s">
        <v>198</v>
      </c>
      <c r="F214" s="50"/>
      <c r="G214" s="50" t="s">
        <v>29</v>
      </c>
      <c r="H214" s="50" t="s">
        <v>18</v>
      </c>
      <c r="I214" s="50"/>
      <c r="J214" s="50"/>
      <c r="K214" s="50"/>
      <c r="L214" s="45"/>
      <c r="M214" s="45"/>
      <c r="N214" s="45"/>
      <c r="O214" s="45"/>
      <c r="P214" s="45"/>
      <c r="Q214" s="45"/>
      <c r="R214" s="45"/>
      <c r="S214" s="45"/>
      <c r="T214" s="45"/>
      <c r="U214" s="45"/>
      <c r="V214" s="45"/>
      <c r="W214" s="45"/>
      <c r="X214" s="45"/>
      <c r="Y214" s="45"/>
      <c r="Z214" s="45"/>
      <c r="AA214" s="45"/>
      <c r="AB214" s="45"/>
      <c r="AC214" s="45"/>
      <c r="AD214" s="45"/>
      <c r="AE214" s="45"/>
      <c r="AF214" s="45"/>
      <c r="AG214" s="45"/>
      <c r="AH214" s="45"/>
    </row>
    <row r="215" spans="1:34">
      <c r="A215" s="44" t="s">
        <v>199</v>
      </c>
      <c r="B215" s="45"/>
      <c r="C215" s="51">
        <v>2.4264812291656459</v>
      </c>
      <c r="D215" s="45" t="s">
        <v>13</v>
      </c>
      <c r="E215" s="45" t="s">
        <v>109</v>
      </c>
      <c r="F215" s="45" t="s">
        <v>200</v>
      </c>
      <c r="G215" s="45"/>
      <c r="H215" s="45" t="s">
        <v>15</v>
      </c>
      <c r="I215" s="45" t="s">
        <v>201</v>
      </c>
      <c r="J215" s="45"/>
      <c r="K215" s="45"/>
      <c r="L215" s="45"/>
      <c r="M215" s="45"/>
      <c r="N215" s="45"/>
      <c r="O215" s="45"/>
      <c r="P215" s="45"/>
      <c r="Q215" s="45"/>
      <c r="R215" s="45"/>
      <c r="S215" s="45"/>
      <c r="T215" s="45"/>
      <c r="U215" s="45"/>
      <c r="V215" s="45"/>
      <c r="W215" s="45"/>
      <c r="X215" s="45"/>
      <c r="Y215" s="45"/>
      <c r="Z215" s="45"/>
      <c r="AA215" s="45"/>
      <c r="AB215" s="45"/>
      <c r="AC215" s="45"/>
      <c r="AD215" s="45"/>
      <c r="AE215" s="45"/>
      <c r="AF215" s="45"/>
      <c r="AG215" s="45"/>
      <c r="AH215" s="45"/>
    </row>
    <row r="216" spans="1:34">
      <c r="A216" s="41"/>
      <c r="B216" s="41"/>
      <c r="C216" s="42"/>
      <c r="D216" s="41"/>
      <c r="E216" s="41"/>
      <c r="F216" s="41"/>
      <c r="G216" s="41"/>
      <c r="H216" s="41"/>
      <c r="I216" s="41"/>
      <c r="J216" s="41"/>
      <c r="K216" s="41"/>
      <c r="L216" s="41"/>
      <c r="M216" s="41"/>
      <c r="N216" s="41"/>
      <c r="O216" s="41"/>
      <c r="P216" s="41"/>
      <c r="Q216" s="41"/>
      <c r="R216" s="41"/>
      <c r="S216" s="41"/>
      <c r="T216" s="41"/>
      <c r="U216" s="41"/>
      <c r="V216" s="41"/>
      <c r="W216" s="41"/>
      <c r="X216" s="41"/>
      <c r="Y216" s="41"/>
      <c r="Z216" s="41"/>
      <c r="AA216" s="41"/>
      <c r="AB216" s="41"/>
      <c r="AC216" s="41"/>
      <c r="AD216" s="41"/>
      <c r="AE216" s="41"/>
      <c r="AF216" s="41"/>
      <c r="AG216" s="41"/>
      <c r="AH216" s="41"/>
    </row>
    <row r="217" spans="1:34">
      <c r="A217" s="43" t="s">
        <v>1</v>
      </c>
      <c r="B217" s="43" t="s">
        <v>206</v>
      </c>
      <c r="C217" s="44"/>
      <c r="D217" s="45"/>
      <c r="E217" s="45"/>
      <c r="F217" s="45"/>
      <c r="G217" s="45"/>
      <c r="H217" s="45"/>
      <c r="I217" s="45"/>
      <c r="J217" s="45"/>
      <c r="K217" s="45"/>
      <c r="L217" s="45"/>
      <c r="M217" s="45"/>
      <c r="N217" s="45"/>
      <c r="O217" s="45"/>
      <c r="P217" s="45"/>
      <c r="Q217" s="45"/>
      <c r="R217" s="45"/>
      <c r="S217" s="45"/>
      <c r="T217" s="45"/>
      <c r="U217" s="45"/>
      <c r="V217" s="45"/>
      <c r="W217" s="45"/>
      <c r="X217" s="45"/>
      <c r="Y217" s="45"/>
      <c r="Z217" s="45"/>
      <c r="AA217" s="45"/>
      <c r="AB217" s="45"/>
      <c r="AC217" s="45"/>
      <c r="AD217" s="45"/>
      <c r="AE217" s="45"/>
      <c r="AF217" s="45"/>
      <c r="AG217" s="45"/>
      <c r="AH217" s="45"/>
    </row>
    <row r="218" spans="1:34">
      <c r="A218" s="43" t="s">
        <v>11</v>
      </c>
      <c r="B218" s="45" t="s">
        <v>207</v>
      </c>
      <c r="C218" s="44"/>
      <c r="D218" s="45"/>
      <c r="E218" s="45"/>
      <c r="F218" s="45"/>
      <c r="G218" s="45"/>
      <c r="H218" s="45"/>
      <c r="I218" s="45"/>
      <c r="J218" s="45"/>
      <c r="K218" s="45"/>
      <c r="L218" s="45"/>
      <c r="M218" s="45"/>
      <c r="N218" s="45"/>
      <c r="O218" s="45"/>
      <c r="P218" s="45"/>
      <c r="Q218" s="45"/>
      <c r="R218" s="45"/>
      <c r="S218" s="45"/>
      <c r="T218" s="45"/>
      <c r="U218" s="45"/>
      <c r="V218" s="45"/>
      <c r="W218" s="45"/>
      <c r="X218" s="45"/>
      <c r="Y218" s="45"/>
      <c r="Z218" s="45"/>
      <c r="AA218" s="45"/>
      <c r="AB218" s="45"/>
      <c r="AC218" s="45"/>
      <c r="AD218" s="45"/>
      <c r="AE218" s="45"/>
      <c r="AF218" s="45"/>
      <c r="AG218" s="45"/>
      <c r="AH218" s="45"/>
    </row>
    <row r="219" spans="1:34">
      <c r="A219" s="43" t="s">
        <v>2</v>
      </c>
      <c r="B219" s="45" t="s">
        <v>29</v>
      </c>
      <c r="C219" s="44"/>
      <c r="D219" s="45"/>
      <c r="E219" s="45"/>
      <c r="F219" s="45"/>
      <c r="G219" s="45"/>
      <c r="H219" s="45"/>
      <c r="I219" s="45"/>
      <c r="J219" s="45"/>
      <c r="K219" s="45"/>
      <c r="L219" s="45"/>
      <c r="M219" s="45"/>
      <c r="N219" s="45"/>
      <c r="O219" s="45"/>
      <c r="P219" s="45"/>
      <c r="Q219" s="45"/>
      <c r="R219" s="45"/>
      <c r="S219" s="45"/>
      <c r="T219" s="45"/>
      <c r="U219" s="45"/>
      <c r="V219" s="45"/>
      <c r="W219" s="45"/>
      <c r="X219" s="45"/>
      <c r="Y219" s="45"/>
      <c r="Z219" s="45"/>
      <c r="AA219" s="45"/>
      <c r="AB219" s="45"/>
      <c r="AC219" s="45"/>
      <c r="AD219" s="45"/>
      <c r="AE219" s="45"/>
      <c r="AF219" s="45"/>
      <c r="AG219" s="45"/>
      <c r="AH219" s="45"/>
    </row>
    <row r="220" spans="1:34">
      <c r="A220" s="46" t="s">
        <v>4</v>
      </c>
      <c r="B220" s="45" t="s">
        <v>197</v>
      </c>
      <c r="C220" s="44"/>
      <c r="D220" s="45"/>
      <c r="E220" s="45"/>
      <c r="F220" s="45"/>
      <c r="G220" s="45"/>
      <c r="H220" s="45"/>
      <c r="I220" s="45"/>
      <c r="J220" s="45"/>
      <c r="K220" s="45"/>
      <c r="L220" s="45"/>
      <c r="M220" s="45"/>
      <c r="N220" s="45"/>
      <c r="O220" s="45"/>
      <c r="P220" s="45"/>
      <c r="Q220" s="45"/>
      <c r="R220" s="45"/>
      <c r="S220" s="45"/>
      <c r="T220" s="45"/>
      <c r="U220" s="45"/>
      <c r="V220" s="45"/>
      <c r="W220" s="45"/>
      <c r="X220" s="45"/>
      <c r="Y220" s="45"/>
      <c r="Z220" s="45"/>
      <c r="AA220" s="45"/>
      <c r="AB220" s="45"/>
      <c r="AC220" s="45"/>
      <c r="AD220" s="45"/>
      <c r="AE220" s="45"/>
      <c r="AF220" s="45"/>
      <c r="AG220" s="45"/>
      <c r="AH220" s="45"/>
    </row>
    <row r="221" spans="1:34">
      <c r="A221" s="43" t="s">
        <v>3</v>
      </c>
      <c r="B221" s="47">
        <v>1</v>
      </c>
      <c r="C221" s="47"/>
      <c r="D221" s="48"/>
      <c r="E221" s="45"/>
      <c r="F221" s="45"/>
      <c r="G221" s="45"/>
      <c r="H221" s="45"/>
      <c r="I221" s="45"/>
      <c r="J221" s="45"/>
      <c r="K221" s="45"/>
      <c r="L221" s="45"/>
      <c r="M221" s="45"/>
      <c r="N221" s="45"/>
      <c r="O221" s="45"/>
      <c r="P221" s="45"/>
      <c r="Q221" s="45"/>
      <c r="R221" s="45"/>
      <c r="S221" s="45"/>
      <c r="T221" s="45"/>
      <c r="U221" s="45"/>
      <c r="V221" s="45"/>
      <c r="W221" s="45"/>
      <c r="X221" s="45"/>
      <c r="Y221" s="45"/>
      <c r="Z221" s="45"/>
      <c r="AA221" s="45"/>
      <c r="AB221" s="45"/>
      <c r="AC221" s="45"/>
      <c r="AD221" s="45"/>
      <c r="AE221" s="45"/>
      <c r="AF221" s="45"/>
      <c r="AG221" s="45"/>
      <c r="AH221" s="45"/>
    </row>
    <row r="222" spans="1:34">
      <c r="A222" s="43" t="s">
        <v>6</v>
      </c>
      <c r="B222" s="45" t="s">
        <v>128</v>
      </c>
      <c r="C222" s="44"/>
      <c r="D222" s="48"/>
      <c r="E222" s="45"/>
      <c r="F222" s="45"/>
      <c r="G222" s="45"/>
      <c r="H222" s="45"/>
      <c r="I222" s="45"/>
      <c r="J222" s="45"/>
      <c r="K222" s="52"/>
      <c r="L222" s="45"/>
      <c r="M222" s="45"/>
      <c r="N222" s="45"/>
      <c r="O222" s="45"/>
      <c r="P222" s="45"/>
      <c r="Q222" s="45"/>
      <c r="R222" s="45"/>
      <c r="S222" s="45"/>
      <c r="T222" s="45"/>
      <c r="U222" s="45"/>
      <c r="V222" s="45"/>
      <c r="W222" s="45"/>
      <c r="X222" s="45"/>
      <c r="Y222" s="45"/>
      <c r="Z222" s="45"/>
      <c r="AA222" s="45"/>
      <c r="AB222" s="45"/>
      <c r="AC222" s="45"/>
      <c r="AD222" s="45"/>
      <c r="AE222" s="45"/>
      <c r="AF222" s="45"/>
      <c r="AG222" s="45"/>
      <c r="AH222" s="45"/>
    </row>
    <row r="223" spans="1:34">
      <c r="A223" s="43" t="s">
        <v>76</v>
      </c>
      <c r="B223" s="45"/>
      <c r="C223" s="44"/>
      <c r="D223" s="48"/>
      <c r="E223" s="45"/>
      <c r="F223" s="45"/>
      <c r="G223" s="45"/>
      <c r="H223" s="45"/>
      <c r="I223" s="45"/>
      <c r="J223" s="45"/>
      <c r="K223" s="45"/>
      <c r="L223" s="45"/>
      <c r="M223" s="45"/>
      <c r="N223" s="45"/>
      <c r="O223" s="45"/>
      <c r="P223" s="45"/>
      <c r="Q223" s="45"/>
      <c r="R223" s="45"/>
      <c r="S223" s="45"/>
      <c r="T223" s="45"/>
      <c r="U223" s="45"/>
      <c r="V223" s="45"/>
      <c r="W223" s="45"/>
      <c r="X223" s="45"/>
      <c r="Y223" s="45"/>
      <c r="Z223" s="45"/>
      <c r="AA223" s="45"/>
      <c r="AB223" s="45"/>
      <c r="AC223" s="45"/>
      <c r="AD223" s="45"/>
      <c r="AE223" s="45"/>
      <c r="AF223" s="45"/>
      <c r="AG223" s="45"/>
      <c r="AH223" s="45"/>
    </row>
    <row r="224" spans="1:34">
      <c r="A224" s="43" t="s">
        <v>7</v>
      </c>
      <c r="B224" s="45"/>
      <c r="C224" s="44"/>
      <c r="D224" s="45"/>
      <c r="E224" s="45"/>
      <c r="F224" s="45"/>
      <c r="G224" s="45"/>
      <c r="H224" s="45"/>
      <c r="I224" s="45"/>
      <c r="J224" s="45"/>
      <c r="K224" s="45"/>
      <c r="L224" s="45"/>
      <c r="M224" s="45"/>
      <c r="N224" s="45"/>
      <c r="O224" s="45"/>
      <c r="P224" s="45"/>
      <c r="Q224" s="45"/>
      <c r="R224" s="45"/>
      <c r="S224" s="45"/>
      <c r="T224" s="45"/>
      <c r="U224" s="45"/>
      <c r="V224" s="45"/>
      <c r="W224" s="45"/>
      <c r="X224" s="45"/>
      <c r="Y224" s="45"/>
      <c r="Z224" s="45"/>
      <c r="AA224" s="45"/>
      <c r="AB224" s="45"/>
      <c r="AC224" s="45"/>
      <c r="AD224" s="45"/>
      <c r="AE224" s="45"/>
      <c r="AF224" s="45"/>
      <c r="AG224" s="45"/>
      <c r="AH224" s="45"/>
    </row>
    <row r="225" spans="1:34">
      <c r="A225" s="43" t="s">
        <v>8</v>
      </c>
      <c r="B225" s="43" t="s">
        <v>4</v>
      </c>
      <c r="C225" s="49" t="s">
        <v>9</v>
      </c>
      <c r="D225" s="43" t="s">
        <v>6</v>
      </c>
      <c r="E225" s="43" t="s">
        <v>106</v>
      </c>
      <c r="F225" s="43" t="s">
        <v>10</v>
      </c>
      <c r="G225" s="43" t="s">
        <v>2</v>
      </c>
      <c r="H225" s="43" t="s">
        <v>5</v>
      </c>
      <c r="I225" s="43" t="s">
        <v>11</v>
      </c>
      <c r="J225" s="45"/>
      <c r="K225" s="45"/>
      <c r="L225" s="45"/>
      <c r="M225" s="45"/>
      <c r="N225" s="45"/>
      <c r="O225" s="45"/>
      <c r="P225" s="45"/>
      <c r="Q225" s="45"/>
      <c r="R225" s="45"/>
      <c r="S225" s="45"/>
      <c r="T225" s="45"/>
      <c r="U225" s="45"/>
      <c r="V225" s="45"/>
      <c r="W225" s="45"/>
      <c r="X225" s="45"/>
      <c r="Y225" s="45"/>
      <c r="Z225" s="45"/>
      <c r="AA225" s="45"/>
      <c r="AB225" s="45"/>
      <c r="AC225" s="45"/>
      <c r="AD225" s="45"/>
      <c r="AE225" s="45"/>
      <c r="AF225" s="45"/>
      <c r="AG225" s="45"/>
      <c r="AH225" s="45"/>
    </row>
    <row r="226" spans="1:34">
      <c r="A226" s="50" t="s">
        <v>206</v>
      </c>
      <c r="B226" s="50" t="s">
        <v>197</v>
      </c>
      <c r="C226" s="44">
        <v>1</v>
      </c>
      <c r="D226" s="45" t="s">
        <v>128</v>
      </c>
      <c r="E226" s="50" t="s">
        <v>198</v>
      </c>
      <c r="F226" s="50"/>
      <c r="G226" s="50" t="s">
        <v>29</v>
      </c>
      <c r="H226" s="50" t="s">
        <v>18</v>
      </c>
      <c r="I226" s="50"/>
      <c r="J226" s="50"/>
      <c r="K226" s="50"/>
      <c r="L226" s="45"/>
      <c r="M226" s="45"/>
      <c r="N226" s="45"/>
      <c r="O226" s="45"/>
      <c r="P226" s="45"/>
      <c r="Q226" s="45"/>
      <c r="R226" s="45"/>
      <c r="S226" s="45"/>
      <c r="T226" s="45"/>
      <c r="U226" s="45"/>
      <c r="V226" s="45"/>
      <c r="W226" s="45"/>
      <c r="X226" s="45"/>
      <c r="Y226" s="45"/>
      <c r="Z226" s="45"/>
      <c r="AA226" s="45"/>
      <c r="AB226" s="45"/>
      <c r="AC226" s="45"/>
      <c r="AD226" s="45"/>
      <c r="AE226" s="45"/>
      <c r="AF226" s="45"/>
      <c r="AG226" s="45"/>
      <c r="AH226" s="45"/>
    </row>
    <row r="227" spans="1:34">
      <c r="A227" s="50" t="s">
        <v>208</v>
      </c>
      <c r="B227" s="50" t="s">
        <v>209</v>
      </c>
      <c r="C227" s="44">
        <v>23.580792502540895</v>
      </c>
      <c r="D227" s="45" t="s">
        <v>13</v>
      </c>
      <c r="E227" s="50" t="s">
        <v>198</v>
      </c>
      <c r="F227" s="50"/>
      <c r="G227" s="50" t="s">
        <v>29</v>
      </c>
      <c r="H227" s="50" t="s">
        <v>12</v>
      </c>
      <c r="I227" s="50" t="s">
        <v>210</v>
      </c>
      <c r="J227" s="50"/>
      <c r="K227" s="50"/>
      <c r="L227" s="45"/>
      <c r="M227" s="45"/>
      <c r="N227" s="45"/>
      <c r="O227" s="45"/>
      <c r="P227" s="45"/>
      <c r="Q227" s="45"/>
      <c r="R227" s="45"/>
      <c r="S227" s="45"/>
      <c r="T227" s="45"/>
      <c r="U227" s="45"/>
      <c r="V227" s="45"/>
      <c r="W227" s="45"/>
      <c r="X227" s="45"/>
      <c r="Y227" s="45"/>
      <c r="Z227" s="45"/>
      <c r="AA227" s="45"/>
      <c r="AB227" s="45"/>
      <c r="AC227" s="45"/>
      <c r="AD227" s="45"/>
      <c r="AE227" s="45"/>
      <c r="AF227" s="45"/>
      <c r="AG227" s="45"/>
      <c r="AH227" s="45"/>
    </row>
    <row r="228" spans="1:34">
      <c r="A228" s="50" t="s">
        <v>28</v>
      </c>
      <c r="B228" s="50" t="s">
        <v>20</v>
      </c>
      <c r="C228" s="44">
        <v>0.15104669391800005</v>
      </c>
      <c r="D228" s="45" t="s">
        <v>19</v>
      </c>
      <c r="E228" s="50" t="s">
        <v>211</v>
      </c>
      <c r="F228" s="50"/>
      <c r="G228" s="50" t="s">
        <v>29</v>
      </c>
      <c r="H228" s="50" t="s">
        <v>12</v>
      </c>
      <c r="I228" s="50"/>
      <c r="J228" s="50"/>
      <c r="K228" s="50"/>
      <c r="L228" s="45"/>
      <c r="M228" s="45"/>
      <c r="N228" s="45"/>
      <c r="O228" s="45"/>
      <c r="P228" s="45"/>
      <c r="Q228" s="45"/>
      <c r="R228" s="45"/>
      <c r="S228" s="45"/>
      <c r="T228" s="45"/>
      <c r="U228" s="45"/>
      <c r="V228" s="45"/>
      <c r="W228" s="45"/>
      <c r="X228" s="45"/>
      <c r="Y228" s="45"/>
      <c r="Z228" s="45"/>
      <c r="AA228" s="45"/>
      <c r="AB228" s="45"/>
      <c r="AC228" s="45"/>
      <c r="AD228" s="45"/>
      <c r="AE228" s="45"/>
      <c r="AF228" s="45"/>
      <c r="AG228" s="45"/>
      <c r="AH228" s="45"/>
    </row>
    <row r="229" spans="1:34">
      <c r="A229" s="45" t="s">
        <v>212</v>
      </c>
      <c r="B229" s="50" t="s">
        <v>213</v>
      </c>
      <c r="C229" s="44">
        <v>3.5844417588325009E-7</v>
      </c>
      <c r="D229" s="45" t="s">
        <v>6</v>
      </c>
      <c r="E229" s="50" t="s">
        <v>211</v>
      </c>
      <c r="F229" s="50"/>
      <c r="G229" s="50" t="s">
        <v>214</v>
      </c>
      <c r="H229" s="50" t="s">
        <v>12</v>
      </c>
      <c r="I229" s="53"/>
      <c r="J229" s="50"/>
      <c r="K229" s="50"/>
      <c r="L229" s="45"/>
      <c r="M229" s="45"/>
      <c r="N229" s="45"/>
      <c r="O229" s="45"/>
      <c r="P229" s="45"/>
      <c r="Q229" s="45"/>
      <c r="R229" s="45"/>
      <c r="S229" s="45"/>
      <c r="T229" s="45"/>
      <c r="U229" s="45"/>
      <c r="V229" s="45"/>
      <c r="W229" s="45"/>
      <c r="X229" s="45"/>
      <c r="Y229" s="45"/>
      <c r="Z229" s="45"/>
      <c r="AA229" s="45"/>
      <c r="AB229" s="45"/>
      <c r="AC229" s="45"/>
      <c r="AD229" s="45"/>
      <c r="AE229" s="45"/>
      <c r="AF229" s="45"/>
      <c r="AG229" s="45"/>
      <c r="AH229" s="45"/>
    </row>
    <row r="230" spans="1:34">
      <c r="A230" s="50" t="s">
        <v>215</v>
      </c>
      <c r="B230" s="50" t="s">
        <v>216</v>
      </c>
      <c r="C230" s="44">
        <v>1.3087058134680292E-6</v>
      </c>
      <c r="D230" s="45" t="s">
        <v>6</v>
      </c>
      <c r="E230" s="50" t="s">
        <v>211</v>
      </c>
      <c r="F230" s="50"/>
      <c r="G230" s="50" t="s">
        <v>140</v>
      </c>
      <c r="H230" s="50" t="s">
        <v>12</v>
      </c>
      <c r="I230" s="45"/>
      <c r="J230" s="50"/>
      <c r="K230" s="50"/>
      <c r="L230" s="45"/>
      <c r="M230" s="45"/>
      <c r="N230" s="45"/>
      <c r="O230" s="45"/>
      <c r="P230" s="45"/>
      <c r="Q230" s="45"/>
      <c r="R230" s="45"/>
      <c r="S230" s="45"/>
      <c r="T230" s="45"/>
      <c r="U230" s="45"/>
      <c r="V230" s="45"/>
      <c r="W230" s="45"/>
      <c r="X230" s="45"/>
      <c r="Y230" s="45"/>
      <c r="Z230" s="45"/>
      <c r="AA230" s="45"/>
      <c r="AB230" s="45"/>
      <c r="AC230" s="45"/>
      <c r="AD230" s="45"/>
      <c r="AE230" s="45"/>
      <c r="AF230" s="45"/>
      <c r="AG230" s="45"/>
      <c r="AH230" s="45"/>
    </row>
    <row r="231" spans="1:34">
      <c r="A231" s="44" t="s">
        <v>199</v>
      </c>
      <c r="B231" s="45"/>
      <c r="C231" s="44">
        <v>2.4549395159034604</v>
      </c>
      <c r="D231" s="45" t="s">
        <v>13</v>
      </c>
      <c r="E231" s="45" t="s">
        <v>109</v>
      </c>
      <c r="F231" s="45" t="s">
        <v>200</v>
      </c>
      <c r="G231" s="45"/>
      <c r="H231" s="45" t="s">
        <v>15</v>
      </c>
      <c r="I231" s="45" t="s">
        <v>217</v>
      </c>
      <c r="J231" s="45"/>
      <c r="K231" s="45"/>
      <c r="L231" s="45"/>
      <c r="M231" s="45"/>
      <c r="N231" s="45"/>
      <c r="O231" s="45"/>
      <c r="P231" s="45"/>
      <c r="Q231" s="45"/>
      <c r="R231" s="45"/>
      <c r="S231" s="45"/>
      <c r="T231" s="45"/>
      <c r="U231" s="45"/>
      <c r="V231" s="45"/>
      <c r="W231" s="45"/>
      <c r="X231" s="45"/>
      <c r="Y231" s="45"/>
      <c r="Z231" s="45"/>
      <c r="AA231" s="45"/>
      <c r="AB231" s="45"/>
      <c r="AC231" s="45"/>
      <c r="AD231" s="45"/>
      <c r="AE231" s="45"/>
      <c r="AF231" s="45"/>
      <c r="AG231" s="45"/>
      <c r="AH231" s="45"/>
    </row>
    <row r="232" spans="1:34">
      <c r="A232" s="50" t="s">
        <v>218</v>
      </c>
      <c r="B232" s="50"/>
      <c r="C232" s="44">
        <v>0.43565097472690606</v>
      </c>
      <c r="D232" s="45" t="s">
        <v>13</v>
      </c>
      <c r="E232" s="45" t="s">
        <v>109</v>
      </c>
      <c r="F232" s="50" t="s">
        <v>184</v>
      </c>
      <c r="G232" s="50"/>
      <c r="H232" s="45" t="s">
        <v>15</v>
      </c>
      <c r="I232" s="45" t="s">
        <v>219</v>
      </c>
      <c r="J232" s="50"/>
      <c r="K232" s="50"/>
      <c r="L232" s="45"/>
      <c r="M232" s="45"/>
      <c r="N232" s="45"/>
      <c r="O232" s="45"/>
      <c r="P232" s="45"/>
      <c r="Q232" s="45"/>
      <c r="R232" s="45"/>
      <c r="S232" s="45"/>
      <c r="T232" s="45"/>
      <c r="U232" s="45"/>
      <c r="V232" s="45"/>
      <c r="W232" s="45"/>
      <c r="X232" s="45"/>
      <c r="Y232" s="45"/>
      <c r="Z232" s="45"/>
      <c r="AA232" s="45"/>
      <c r="AB232" s="45"/>
      <c r="AC232" s="45"/>
      <c r="AD232" s="45"/>
      <c r="AE232" s="45"/>
      <c r="AF232" s="45"/>
      <c r="AG232" s="45"/>
      <c r="AH232" s="45"/>
    </row>
    <row r="233" spans="1:34">
      <c r="A233" s="50" t="s">
        <v>185</v>
      </c>
      <c r="B233" s="50"/>
      <c r="C233" s="44">
        <v>6.7703710782341719E-2</v>
      </c>
      <c r="D233" s="45" t="s">
        <v>13</v>
      </c>
      <c r="E233" s="45" t="s">
        <v>109</v>
      </c>
      <c r="F233" s="50" t="s">
        <v>184</v>
      </c>
      <c r="G233" s="50"/>
      <c r="H233" s="45" t="s">
        <v>15</v>
      </c>
      <c r="I233" s="45" t="s">
        <v>219</v>
      </c>
      <c r="J233" s="50"/>
      <c r="K233" s="50"/>
      <c r="L233" s="45"/>
      <c r="M233" s="45"/>
      <c r="N233" s="45"/>
      <c r="O233" s="45"/>
      <c r="P233" s="45"/>
      <c r="Q233" s="45"/>
      <c r="R233" s="45"/>
      <c r="S233" s="45"/>
      <c r="T233" s="45"/>
      <c r="U233" s="45"/>
      <c r="V233" s="45"/>
      <c r="W233" s="45"/>
      <c r="X233" s="45"/>
      <c r="Y233" s="45"/>
      <c r="Z233" s="45"/>
      <c r="AA233" s="45"/>
      <c r="AB233" s="45"/>
      <c r="AC233" s="45"/>
      <c r="AD233" s="45"/>
      <c r="AE233" s="45"/>
      <c r="AF233" s="45"/>
      <c r="AG233" s="45"/>
      <c r="AH233" s="45"/>
    </row>
    <row r="234" spans="1:34">
      <c r="A234" s="50" t="s">
        <v>220</v>
      </c>
      <c r="B234" s="50"/>
      <c r="C234" s="44">
        <v>1.3812769695999995E-4</v>
      </c>
      <c r="D234" s="45" t="s">
        <v>13</v>
      </c>
      <c r="E234" s="45" t="s">
        <v>109</v>
      </c>
      <c r="F234" s="50" t="s">
        <v>184</v>
      </c>
      <c r="G234" s="50"/>
      <c r="H234" s="45" t="s">
        <v>15</v>
      </c>
      <c r="I234" s="45" t="s">
        <v>221</v>
      </c>
      <c r="J234" s="50"/>
      <c r="K234" s="50"/>
      <c r="L234" s="45"/>
      <c r="M234" s="45"/>
      <c r="N234" s="45"/>
      <c r="O234" s="45"/>
      <c r="P234" s="45"/>
      <c r="Q234" s="45"/>
      <c r="R234" s="45"/>
      <c r="S234" s="45"/>
      <c r="T234" s="45"/>
      <c r="U234" s="45"/>
      <c r="V234" s="45"/>
      <c r="W234" s="45"/>
      <c r="X234" s="45"/>
      <c r="Y234" s="45"/>
      <c r="Z234" s="45"/>
      <c r="AA234" s="45"/>
      <c r="AB234" s="45"/>
      <c r="AC234" s="45"/>
      <c r="AD234" s="45"/>
      <c r="AE234" s="45"/>
      <c r="AF234" s="45"/>
      <c r="AG234" s="45"/>
      <c r="AH234" s="45"/>
    </row>
    <row r="235" spans="1:34">
      <c r="A235" s="50" t="s">
        <v>115</v>
      </c>
      <c r="B235" s="50"/>
      <c r="C235" s="44">
        <v>7.1938555222999971E-6</v>
      </c>
      <c r="D235" s="45" t="s">
        <v>13</v>
      </c>
      <c r="E235" s="45" t="s">
        <v>109</v>
      </c>
      <c r="F235" s="50" t="s">
        <v>184</v>
      </c>
      <c r="G235" s="50"/>
      <c r="H235" s="45" t="s">
        <v>15</v>
      </c>
      <c r="I235" s="45" t="s">
        <v>221</v>
      </c>
      <c r="J235" s="50"/>
      <c r="K235" s="50"/>
      <c r="L235" s="45"/>
      <c r="M235" s="45"/>
      <c r="N235" s="45"/>
      <c r="O235" s="45"/>
      <c r="P235" s="45"/>
      <c r="Q235" s="45"/>
      <c r="R235" s="45"/>
      <c r="S235" s="45"/>
      <c r="T235" s="45"/>
      <c r="U235" s="45"/>
      <c r="V235" s="45"/>
      <c r="W235" s="45"/>
      <c r="X235" s="45"/>
      <c r="Y235" s="45"/>
      <c r="Z235" s="45"/>
      <c r="AA235" s="45"/>
      <c r="AB235" s="45"/>
      <c r="AC235" s="45"/>
      <c r="AD235" s="45"/>
      <c r="AE235" s="45"/>
      <c r="AF235" s="45"/>
      <c r="AG235" s="45"/>
      <c r="AH235" s="45"/>
    </row>
    <row r="236" spans="1:34">
      <c r="A236" s="50" t="s">
        <v>119</v>
      </c>
      <c r="B236" s="50"/>
      <c r="C236" s="44">
        <v>4.3162373633999985E-5</v>
      </c>
      <c r="D236" s="45" t="s">
        <v>13</v>
      </c>
      <c r="E236" s="45" t="s">
        <v>109</v>
      </c>
      <c r="F236" s="50" t="s">
        <v>184</v>
      </c>
      <c r="G236" s="50"/>
      <c r="H236" s="45" t="s">
        <v>15</v>
      </c>
      <c r="I236" s="45" t="s">
        <v>221</v>
      </c>
      <c r="J236" s="50"/>
      <c r="K236" s="50"/>
      <c r="L236" s="45"/>
      <c r="M236" s="45"/>
      <c r="N236" s="45"/>
      <c r="O236" s="45"/>
      <c r="P236" s="45"/>
      <c r="Q236" s="45"/>
      <c r="R236" s="45"/>
      <c r="S236" s="45"/>
      <c r="T236" s="45"/>
      <c r="U236" s="45"/>
      <c r="V236" s="45"/>
      <c r="W236" s="45"/>
      <c r="X236" s="45"/>
      <c r="Y236" s="45"/>
      <c r="Z236" s="45"/>
      <c r="AA236" s="45"/>
      <c r="AB236" s="45"/>
      <c r="AC236" s="45"/>
      <c r="AD236" s="45"/>
      <c r="AE236" s="45"/>
      <c r="AF236" s="45"/>
      <c r="AG236" s="45"/>
      <c r="AH236" s="45"/>
    </row>
    <row r="237" spans="1:34">
      <c r="A237" s="50" t="s">
        <v>125</v>
      </c>
      <c r="B237" s="50"/>
      <c r="C237" s="44">
        <v>7.1938555222999983E-5</v>
      </c>
      <c r="D237" s="45" t="s">
        <v>13</v>
      </c>
      <c r="E237" s="45" t="s">
        <v>109</v>
      </c>
      <c r="F237" s="50" t="s">
        <v>184</v>
      </c>
      <c r="G237" s="50"/>
      <c r="H237" s="45" t="s">
        <v>15</v>
      </c>
      <c r="I237" s="45" t="s">
        <v>221</v>
      </c>
      <c r="J237" s="50"/>
      <c r="K237" s="50"/>
      <c r="L237" s="45"/>
      <c r="M237" s="45"/>
      <c r="N237" s="45"/>
      <c r="O237" s="45"/>
      <c r="P237" s="45"/>
      <c r="Q237" s="45"/>
      <c r="R237" s="45"/>
      <c r="S237" s="45"/>
      <c r="T237" s="45"/>
      <c r="U237" s="45"/>
      <c r="V237" s="45"/>
      <c r="W237" s="45"/>
      <c r="X237" s="45"/>
      <c r="Y237" s="45"/>
      <c r="Z237" s="45"/>
      <c r="AA237" s="45"/>
      <c r="AB237" s="45"/>
      <c r="AC237" s="45"/>
      <c r="AD237" s="45"/>
      <c r="AE237" s="45"/>
      <c r="AF237" s="45"/>
      <c r="AG237" s="45"/>
      <c r="AH237" s="45"/>
    </row>
    <row r="238" spans="1:34">
      <c r="A238" s="50" t="s">
        <v>222</v>
      </c>
      <c r="B238" s="50"/>
      <c r="C238" s="44">
        <v>5.7551097344999977E-6</v>
      </c>
      <c r="D238" s="45" t="s">
        <v>13</v>
      </c>
      <c r="E238" s="45" t="s">
        <v>109</v>
      </c>
      <c r="F238" s="50" t="s">
        <v>184</v>
      </c>
      <c r="G238" s="50"/>
      <c r="H238" s="45" t="s">
        <v>15</v>
      </c>
      <c r="I238" s="45" t="s">
        <v>221</v>
      </c>
      <c r="J238" s="50"/>
      <c r="K238" s="50"/>
      <c r="L238" s="45"/>
      <c r="M238" s="45"/>
      <c r="N238" s="45"/>
      <c r="O238" s="45"/>
      <c r="P238" s="45"/>
      <c r="Q238" s="45"/>
      <c r="R238" s="45"/>
      <c r="S238" s="45"/>
      <c r="T238" s="45"/>
      <c r="U238" s="45"/>
      <c r="V238" s="45"/>
      <c r="W238" s="45"/>
      <c r="X238" s="45"/>
      <c r="Y238" s="45"/>
      <c r="Z238" s="45"/>
      <c r="AA238" s="45"/>
      <c r="AB238" s="45"/>
      <c r="AC238" s="45"/>
      <c r="AD238" s="45"/>
      <c r="AE238" s="45"/>
      <c r="AF238" s="45"/>
      <c r="AG238" s="45"/>
      <c r="AH238" s="45"/>
    </row>
    <row r="239" spans="1:34">
      <c r="A239" s="50" t="s">
        <v>223</v>
      </c>
      <c r="B239" s="50"/>
      <c r="C239" s="44">
        <v>2.0143200528999993E-11</v>
      </c>
      <c r="D239" s="45" t="s">
        <v>13</v>
      </c>
      <c r="E239" s="45" t="s">
        <v>109</v>
      </c>
      <c r="F239" s="50" t="s">
        <v>184</v>
      </c>
      <c r="G239" s="50"/>
      <c r="H239" s="45" t="s">
        <v>15</v>
      </c>
      <c r="I239" s="45" t="s">
        <v>221</v>
      </c>
      <c r="J239" s="50"/>
      <c r="K239" s="50"/>
      <c r="L239" s="45"/>
      <c r="M239" s="45"/>
      <c r="N239" s="45"/>
      <c r="O239" s="45"/>
      <c r="P239" s="45"/>
      <c r="Q239" s="45"/>
      <c r="R239" s="45"/>
      <c r="S239" s="45"/>
      <c r="T239" s="45"/>
      <c r="U239" s="45"/>
      <c r="V239" s="45"/>
      <c r="W239" s="45"/>
      <c r="X239" s="45"/>
      <c r="Y239" s="45"/>
      <c r="Z239" s="45"/>
      <c r="AA239" s="45"/>
      <c r="AB239" s="45"/>
      <c r="AC239" s="45"/>
      <c r="AD239" s="45"/>
      <c r="AE239" s="45"/>
      <c r="AF239" s="45"/>
      <c r="AG239" s="45"/>
      <c r="AH239" s="45"/>
    </row>
    <row r="240" spans="1:34">
      <c r="A240" s="41"/>
      <c r="B240" s="41"/>
      <c r="C240" s="42"/>
      <c r="D240" s="41"/>
      <c r="E240" s="41"/>
      <c r="F240" s="41"/>
      <c r="G240" s="41"/>
      <c r="H240" s="41"/>
      <c r="I240" s="41"/>
      <c r="J240" s="41"/>
      <c r="K240" s="41"/>
      <c r="L240" s="41"/>
      <c r="M240" s="41"/>
      <c r="N240" s="41"/>
      <c r="O240" s="41"/>
      <c r="P240" s="41"/>
      <c r="Q240" s="41"/>
      <c r="R240" s="41"/>
      <c r="S240" s="41"/>
      <c r="T240" s="41"/>
      <c r="U240" s="41"/>
      <c r="V240" s="41"/>
      <c r="W240" s="41"/>
      <c r="X240" s="41"/>
      <c r="Y240" s="41"/>
      <c r="Z240" s="41"/>
      <c r="AA240" s="41"/>
      <c r="AB240" s="41"/>
      <c r="AC240" s="41"/>
      <c r="AD240" s="41"/>
      <c r="AE240" s="41"/>
      <c r="AF240" s="41"/>
      <c r="AG240" s="41"/>
      <c r="AH240" s="41"/>
    </row>
    <row r="241" spans="1:34">
      <c r="A241" s="43" t="s">
        <v>1</v>
      </c>
      <c r="B241" s="43" t="s">
        <v>224</v>
      </c>
      <c r="C241" s="44"/>
      <c r="D241" s="45"/>
      <c r="E241" s="45"/>
      <c r="F241" s="45"/>
      <c r="G241" s="45"/>
      <c r="H241" s="45"/>
      <c r="I241" s="45"/>
      <c r="J241" s="45"/>
    </row>
    <row r="242" spans="1:34">
      <c r="A242" s="43" t="s">
        <v>11</v>
      </c>
      <c r="B242" s="45" t="s">
        <v>225</v>
      </c>
      <c r="C242" s="44"/>
      <c r="D242" s="45"/>
      <c r="E242" s="45"/>
      <c r="F242" s="45"/>
      <c r="G242" s="45"/>
      <c r="H242" s="45"/>
      <c r="I242" s="45"/>
      <c r="J242" s="45"/>
    </row>
    <row r="243" spans="1:34">
      <c r="A243" s="43" t="s">
        <v>2</v>
      </c>
      <c r="B243" s="45" t="s">
        <v>29</v>
      </c>
      <c r="C243" s="44"/>
      <c r="D243" s="45"/>
      <c r="E243" s="45"/>
      <c r="F243" s="45"/>
      <c r="G243" s="45"/>
      <c r="H243" s="45"/>
      <c r="I243" s="45"/>
      <c r="J243" s="45"/>
    </row>
    <row r="244" spans="1:34">
      <c r="A244" s="46" t="s">
        <v>4</v>
      </c>
      <c r="B244" s="45" t="s">
        <v>197</v>
      </c>
      <c r="D244" s="45"/>
      <c r="E244" s="45"/>
      <c r="F244" s="45"/>
      <c r="G244" s="45"/>
      <c r="H244" s="45"/>
      <c r="I244" s="45"/>
      <c r="J244" s="45"/>
    </row>
    <row r="245" spans="1:34">
      <c r="A245" s="43" t="s">
        <v>3</v>
      </c>
      <c r="B245" s="47">
        <v>1</v>
      </c>
      <c r="C245" s="44"/>
      <c r="D245" s="45"/>
      <c r="E245" s="45"/>
      <c r="F245" s="45"/>
      <c r="G245" s="45"/>
      <c r="H245" s="45"/>
      <c r="I245" s="45"/>
      <c r="J245" s="45"/>
    </row>
    <row r="246" spans="1:34">
      <c r="A246" s="43" t="s">
        <v>6</v>
      </c>
      <c r="B246" s="45" t="s">
        <v>128</v>
      </c>
      <c r="C246" s="44"/>
      <c r="D246" s="45"/>
      <c r="E246" s="45"/>
      <c r="F246" s="45"/>
      <c r="G246" s="45"/>
      <c r="H246" s="45"/>
      <c r="I246" s="45"/>
      <c r="J246" s="45"/>
    </row>
    <row r="247" spans="1:34">
      <c r="A247" s="43" t="s">
        <v>76</v>
      </c>
      <c r="B247" s="45"/>
      <c r="C247" s="44"/>
      <c r="D247" s="48"/>
      <c r="E247" s="45"/>
      <c r="F247" s="45"/>
      <c r="G247" s="45"/>
      <c r="H247" s="45"/>
      <c r="I247" s="45"/>
      <c r="J247" s="45"/>
    </row>
    <row r="248" spans="1:34">
      <c r="A248" s="43" t="s">
        <v>7</v>
      </c>
      <c r="B248" s="45"/>
      <c r="C248" s="44"/>
      <c r="D248" s="45"/>
      <c r="E248" s="45"/>
      <c r="F248" s="45"/>
      <c r="G248" s="45"/>
      <c r="H248" s="45"/>
      <c r="I248" s="45"/>
      <c r="J248" s="45"/>
    </row>
    <row r="249" spans="1:34">
      <c r="A249" s="43" t="s">
        <v>8</v>
      </c>
      <c r="B249" s="43" t="s">
        <v>4</v>
      </c>
      <c r="C249" s="49" t="s">
        <v>9</v>
      </c>
      <c r="D249" s="43" t="s">
        <v>6</v>
      </c>
      <c r="E249" s="43" t="s">
        <v>106</v>
      </c>
      <c r="F249" s="43" t="s">
        <v>10</v>
      </c>
      <c r="G249" s="43" t="s">
        <v>2</v>
      </c>
      <c r="H249" s="43" t="s">
        <v>5</v>
      </c>
      <c r="I249" s="43" t="s">
        <v>11</v>
      </c>
      <c r="J249" s="45"/>
    </row>
    <row r="250" spans="1:34">
      <c r="A250" s="50" t="s">
        <v>224</v>
      </c>
      <c r="B250" s="50" t="s">
        <v>197</v>
      </c>
      <c r="C250" s="51">
        <v>1</v>
      </c>
      <c r="D250" s="45" t="s">
        <v>128</v>
      </c>
      <c r="E250" s="50" t="s">
        <v>198</v>
      </c>
      <c r="F250" s="50"/>
      <c r="G250" s="50" t="s">
        <v>29</v>
      </c>
      <c r="H250" s="50" t="s">
        <v>18</v>
      </c>
      <c r="I250" s="50"/>
      <c r="J250" s="50"/>
    </row>
    <row r="251" spans="1:34">
      <c r="A251" s="50" t="s">
        <v>226</v>
      </c>
      <c r="B251" s="50" t="s">
        <v>227</v>
      </c>
      <c r="C251" s="51">
        <v>8.8211924785338294</v>
      </c>
      <c r="D251" s="45" t="s">
        <v>13</v>
      </c>
      <c r="E251" s="50" t="s">
        <v>198</v>
      </c>
      <c r="F251" s="50"/>
      <c r="G251" s="50" t="s">
        <v>29</v>
      </c>
      <c r="H251" s="50" t="s">
        <v>12</v>
      </c>
      <c r="I251" s="50" t="s">
        <v>228</v>
      </c>
      <c r="J251" s="50"/>
    </row>
    <row r="252" spans="1:34">
      <c r="A252" s="50" t="s">
        <v>28</v>
      </c>
      <c r="B252" s="50" t="s">
        <v>20</v>
      </c>
      <c r="C252" s="51">
        <v>0.14643742546928246</v>
      </c>
      <c r="D252" s="45" t="s">
        <v>19</v>
      </c>
      <c r="E252" s="50" t="s">
        <v>211</v>
      </c>
      <c r="F252" s="50"/>
      <c r="G252" s="50" t="s">
        <v>29</v>
      </c>
      <c r="H252" s="50" t="s">
        <v>12</v>
      </c>
      <c r="I252" s="50"/>
      <c r="J252" s="50"/>
      <c r="K252" s="50"/>
      <c r="L252" s="45"/>
      <c r="M252" s="45"/>
      <c r="N252" s="45"/>
      <c r="O252" s="45"/>
      <c r="P252" s="45"/>
      <c r="Q252" s="45"/>
      <c r="R252" s="45"/>
      <c r="S252" s="45"/>
      <c r="T252" s="45"/>
      <c r="U252" s="45"/>
      <c r="V252" s="45"/>
      <c r="W252" s="45"/>
      <c r="X252" s="45"/>
      <c r="Y252" s="45"/>
      <c r="Z252" s="45"/>
      <c r="AA252" s="45"/>
      <c r="AB252" s="45"/>
      <c r="AC252" s="45"/>
      <c r="AD252" s="45"/>
      <c r="AE252" s="45"/>
      <c r="AF252" s="45"/>
      <c r="AG252" s="45"/>
      <c r="AH252" s="45"/>
    </row>
    <row r="253" spans="1:34">
      <c r="A253" s="45" t="s">
        <v>212</v>
      </c>
      <c r="B253" s="50" t="s">
        <v>213</v>
      </c>
      <c r="C253" s="44">
        <v>3.361361524898938E-7</v>
      </c>
      <c r="D253" s="45" t="s">
        <v>6</v>
      </c>
      <c r="E253" s="50" t="s">
        <v>211</v>
      </c>
      <c r="F253" s="50"/>
      <c r="G253" s="50" t="s">
        <v>214</v>
      </c>
      <c r="H253" s="50" t="s">
        <v>12</v>
      </c>
      <c r="I253" s="53"/>
      <c r="J253" s="50"/>
      <c r="K253" s="50"/>
      <c r="L253" s="45"/>
      <c r="M253" s="45"/>
      <c r="N253" s="45"/>
      <c r="O253" s="45"/>
      <c r="P253" s="45"/>
      <c r="Q253" s="45"/>
      <c r="R253" s="45"/>
      <c r="S253" s="45"/>
      <c r="T253" s="45"/>
      <c r="U253" s="45"/>
      <c r="V253" s="45"/>
      <c r="W253" s="45"/>
      <c r="X253" s="45"/>
      <c r="Y253" s="45"/>
      <c r="Z253" s="45"/>
      <c r="AA253" s="45"/>
      <c r="AB253" s="45"/>
      <c r="AC253" s="45"/>
      <c r="AD253" s="45"/>
      <c r="AE253" s="45"/>
      <c r="AF253" s="45"/>
      <c r="AG253" s="45"/>
      <c r="AH253" s="45"/>
    </row>
    <row r="254" spans="1:34">
      <c r="A254" s="50" t="s">
        <v>215</v>
      </c>
      <c r="B254" s="50" t="s">
        <v>216</v>
      </c>
      <c r="C254" s="44">
        <v>1.2687699747005407E-6</v>
      </c>
      <c r="D254" s="45" t="s">
        <v>6</v>
      </c>
      <c r="E254" s="50" t="s">
        <v>211</v>
      </c>
      <c r="F254" s="50"/>
      <c r="G254" s="50" t="s">
        <v>140</v>
      </c>
      <c r="H254" s="50" t="s">
        <v>12</v>
      </c>
      <c r="I254" s="50" t="s">
        <v>229</v>
      </c>
      <c r="J254" s="50"/>
      <c r="K254" s="50"/>
      <c r="L254" s="45"/>
      <c r="M254" s="45"/>
      <c r="N254" s="45"/>
      <c r="O254" s="45"/>
      <c r="P254" s="45"/>
      <c r="Q254" s="45"/>
      <c r="R254" s="45"/>
      <c r="S254" s="45"/>
      <c r="T254" s="45"/>
      <c r="U254" s="45"/>
      <c r="V254" s="45"/>
      <c r="W254" s="45"/>
      <c r="X254" s="45"/>
      <c r="Y254" s="45"/>
      <c r="Z254" s="45"/>
      <c r="AA254" s="45"/>
      <c r="AB254" s="45"/>
      <c r="AC254" s="45"/>
      <c r="AD254" s="45"/>
      <c r="AE254" s="45"/>
      <c r="AF254" s="45"/>
      <c r="AG254" s="45"/>
      <c r="AH254" s="45"/>
    </row>
    <row r="255" spans="1:34">
      <c r="A255" s="44" t="s">
        <v>199</v>
      </c>
      <c r="B255" s="45"/>
      <c r="C255" s="51">
        <v>2.3292600281428992</v>
      </c>
      <c r="D255" s="45" t="s">
        <v>13</v>
      </c>
      <c r="E255" s="45" t="s">
        <v>109</v>
      </c>
      <c r="F255" s="45" t="s">
        <v>200</v>
      </c>
      <c r="G255" s="45"/>
      <c r="H255" s="45" t="s">
        <v>15</v>
      </c>
      <c r="I255" s="45" t="s">
        <v>217</v>
      </c>
      <c r="J255" s="45"/>
      <c r="K255" s="45"/>
      <c r="L255" s="45"/>
      <c r="M255" s="45"/>
      <c r="N255" s="45"/>
      <c r="O255" s="45"/>
      <c r="P255" s="45"/>
      <c r="Q255" s="45"/>
      <c r="R255" s="45"/>
      <c r="S255" s="45"/>
      <c r="T255" s="45"/>
      <c r="U255" s="45"/>
      <c r="V255" s="45"/>
      <c r="W255" s="45"/>
      <c r="X255" s="45"/>
      <c r="Y255" s="45"/>
      <c r="Z255" s="45"/>
      <c r="AA255" s="45"/>
      <c r="AB255" s="45"/>
      <c r="AC255" s="45"/>
      <c r="AD255" s="45"/>
      <c r="AE255" s="45"/>
      <c r="AF255" s="45"/>
      <c r="AG255" s="45"/>
      <c r="AH255" s="45"/>
    </row>
    <row r="256" spans="1:34">
      <c r="A256" s="50" t="s">
        <v>218</v>
      </c>
      <c r="B256" s="50"/>
      <c r="C256" s="51">
        <v>0.32025391175564871</v>
      </c>
      <c r="D256" s="45" t="s">
        <v>13</v>
      </c>
      <c r="E256" s="45" t="s">
        <v>109</v>
      </c>
      <c r="F256" s="50" t="s">
        <v>184</v>
      </c>
      <c r="G256" s="50"/>
      <c r="H256" s="45" t="s">
        <v>15</v>
      </c>
      <c r="I256" s="45" t="s">
        <v>219</v>
      </c>
      <c r="J256" s="50"/>
      <c r="K256" s="50"/>
      <c r="L256" s="45"/>
      <c r="M256" s="45"/>
      <c r="N256" s="45"/>
      <c r="O256" s="45"/>
      <c r="P256" s="45"/>
      <c r="Q256" s="45"/>
      <c r="R256" s="45"/>
      <c r="S256" s="45"/>
      <c r="T256" s="45"/>
      <c r="U256" s="45"/>
      <c r="V256" s="45"/>
      <c r="W256" s="45"/>
      <c r="X256" s="45"/>
      <c r="Y256" s="45"/>
      <c r="Z256" s="45"/>
      <c r="AA256" s="45"/>
      <c r="AB256" s="45"/>
      <c r="AC256" s="45"/>
      <c r="AD256" s="45"/>
      <c r="AE256" s="45"/>
      <c r="AF256" s="45"/>
      <c r="AG256" s="45"/>
      <c r="AH256" s="45"/>
    </row>
    <row r="257" spans="1:34">
      <c r="A257" s="50" t="s">
        <v>185</v>
      </c>
      <c r="B257" s="50"/>
      <c r="C257" s="51">
        <v>3.2023771337382226E-2</v>
      </c>
      <c r="D257" s="45" t="s">
        <v>13</v>
      </c>
      <c r="E257" s="45" t="s">
        <v>109</v>
      </c>
      <c r="F257" s="50" t="s">
        <v>184</v>
      </c>
      <c r="G257" s="50"/>
      <c r="H257" s="45" t="s">
        <v>15</v>
      </c>
      <c r="I257" s="45" t="s">
        <v>219</v>
      </c>
      <c r="J257" s="50"/>
      <c r="K257" s="50"/>
      <c r="L257" s="45"/>
      <c r="M257" s="45"/>
      <c r="N257" s="45"/>
      <c r="O257" s="45"/>
      <c r="P257" s="45"/>
      <c r="Q257" s="45"/>
      <c r="R257" s="45"/>
      <c r="S257" s="45"/>
      <c r="T257" s="45"/>
      <c r="U257" s="45"/>
      <c r="V257" s="45"/>
      <c r="W257" s="45"/>
      <c r="X257" s="45"/>
      <c r="Y257" s="45"/>
      <c r="Z257" s="45"/>
      <c r="AA257" s="45"/>
      <c r="AB257" s="45"/>
      <c r="AC257" s="45"/>
      <c r="AD257" s="45"/>
      <c r="AE257" s="45"/>
      <c r="AF257" s="45"/>
      <c r="AG257" s="45"/>
      <c r="AH257" s="45"/>
    </row>
    <row r="258" spans="1:34">
      <c r="A258" s="50" t="s">
        <v>220</v>
      </c>
      <c r="B258" s="50"/>
      <c r="C258" s="44">
        <v>1.2953122335999999E-4</v>
      </c>
      <c r="D258" s="45" t="s">
        <v>13</v>
      </c>
      <c r="E258" s="45" t="s">
        <v>109</v>
      </c>
      <c r="F258" s="50" t="s">
        <v>184</v>
      </c>
      <c r="G258" s="50"/>
      <c r="H258" s="45" t="s">
        <v>15</v>
      </c>
      <c r="I258" s="45" t="s">
        <v>221</v>
      </c>
      <c r="J258" s="50"/>
      <c r="K258" s="50"/>
      <c r="L258" s="45"/>
      <c r="M258" s="45"/>
      <c r="N258" s="45"/>
      <c r="O258" s="45"/>
      <c r="P258" s="45"/>
      <c r="Q258" s="45"/>
      <c r="R258" s="45"/>
      <c r="S258" s="45"/>
      <c r="T258" s="45"/>
      <c r="U258" s="45"/>
      <c r="V258" s="45"/>
      <c r="W258" s="45"/>
      <c r="X258" s="45"/>
      <c r="Y258" s="45"/>
      <c r="Z258" s="45"/>
      <c r="AA258" s="45"/>
      <c r="AB258" s="45"/>
      <c r="AC258" s="45"/>
      <c r="AD258" s="45"/>
      <c r="AE258" s="45"/>
      <c r="AF258" s="45"/>
      <c r="AG258" s="45"/>
      <c r="AH258" s="45"/>
    </row>
    <row r="259" spans="1:34">
      <c r="A259" s="50" t="s">
        <v>115</v>
      </c>
      <c r="B259" s="50"/>
      <c r="C259" s="44">
        <v>6.7461409042999994E-6</v>
      </c>
      <c r="D259" s="45" t="s">
        <v>13</v>
      </c>
      <c r="E259" s="45" t="s">
        <v>109</v>
      </c>
      <c r="F259" s="50" t="s">
        <v>184</v>
      </c>
      <c r="G259" s="50"/>
      <c r="H259" s="45" t="s">
        <v>15</v>
      </c>
      <c r="I259" s="45" t="s">
        <v>221</v>
      </c>
      <c r="J259" s="50"/>
      <c r="K259" s="50"/>
      <c r="L259" s="45"/>
      <c r="M259" s="45"/>
      <c r="N259" s="45"/>
      <c r="O259" s="45"/>
      <c r="P259" s="45"/>
      <c r="Q259" s="45"/>
      <c r="R259" s="45"/>
      <c r="S259" s="45"/>
      <c r="T259" s="45"/>
      <c r="U259" s="45"/>
      <c r="V259" s="45"/>
      <c r="W259" s="45"/>
      <c r="X259" s="45"/>
      <c r="Y259" s="45"/>
      <c r="Z259" s="45"/>
      <c r="AA259" s="45"/>
      <c r="AB259" s="45"/>
      <c r="AC259" s="45"/>
      <c r="AD259" s="45"/>
      <c r="AE259" s="45"/>
      <c r="AF259" s="45"/>
      <c r="AG259" s="45"/>
      <c r="AH259" s="45"/>
    </row>
    <row r="260" spans="1:34">
      <c r="A260" s="50" t="s">
        <v>119</v>
      </c>
      <c r="B260" s="50"/>
      <c r="C260" s="44">
        <v>4.0476133193999995E-5</v>
      </c>
      <c r="D260" s="45" t="s">
        <v>13</v>
      </c>
      <c r="E260" s="45" t="s">
        <v>109</v>
      </c>
      <c r="F260" s="50" t="s">
        <v>184</v>
      </c>
      <c r="G260" s="50"/>
      <c r="H260" s="45" t="s">
        <v>15</v>
      </c>
      <c r="I260" s="45" t="s">
        <v>221</v>
      </c>
      <c r="J260" s="50"/>
      <c r="K260" s="50"/>
      <c r="L260" s="45"/>
      <c r="M260" s="45"/>
      <c r="N260" s="45"/>
      <c r="O260" s="45"/>
      <c r="P260" s="45"/>
      <c r="Q260" s="45"/>
      <c r="R260" s="45"/>
      <c r="S260" s="45"/>
      <c r="T260" s="45"/>
      <c r="U260" s="45"/>
      <c r="V260" s="45"/>
      <c r="W260" s="45"/>
      <c r="X260" s="45"/>
      <c r="Y260" s="45"/>
      <c r="Z260" s="45"/>
      <c r="AA260" s="45"/>
      <c r="AB260" s="45"/>
      <c r="AC260" s="45"/>
      <c r="AD260" s="45"/>
      <c r="AE260" s="45"/>
      <c r="AF260" s="45"/>
      <c r="AG260" s="45"/>
      <c r="AH260" s="45"/>
    </row>
    <row r="261" spans="1:34">
      <c r="A261" s="50" t="s">
        <v>125</v>
      </c>
      <c r="B261" s="50"/>
      <c r="C261" s="44">
        <v>6.7461409043000002E-5</v>
      </c>
      <c r="D261" s="45" t="s">
        <v>13</v>
      </c>
      <c r="E261" s="45" t="s">
        <v>109</v>
      </c>
      <c r="F261" s="50" t="s">
        <v>184</v>
      </c>
      <c r="G261" s="50"/>
      <c r="H261" s="45" t="s">
        <v>15</v>
      </c>
      <c r="I261" s="45" t="s">
        <v>221</v>
      </c>
      <c r="J261" s="50"/>
      <c r="K261" s="50"/>
      <c r="L261" s="45"/>
      <c r="M261" s="45"/>
      <c r="N261" s="45"/>
      <c r="O261" s="45"/>
      <c r="P261" s="45"/>
      <c r="Q261" s="45"/>
      <c r="R261" s="45"/>
      <c r="S261" s="45"/>
      <c r="T261" s="45"/>
      <c r="U261" s="45"/>
      <c r="V261" s="45"/>
      <c r="W261" s="45"/>
      <c r="X261" s="45"/>
      <c r="Y261" s="45"/>
      <c r="Z261" s="45"/>
      <c r="AA261" s="45"/>
      <c r="AB261" s="45"/>
      <c r="AC261" s="45"/>
      <c r="AD261" s="45"/>
      <c r="AE261" s="45"/>
      <c r="AF261" s="45"/>
      <c r="AG261" s="45"/>
      <c r="AH261" s="45"/>
    </row>
    <row r="262" spans="1:34">
      <c r="A262" s="50" t="s">
        <v>222</v>
      </c>
      <c r="B262" s="50"/>
      <c r="C262" s="44">
        <v>5.3969364644999994E-6</v>
      </c>
      <c r="D262" s="45" t="s">
        <v>13</v>
      </c>
      <c r="E262" s="45" t="s">
        <v>109</v>
      </c>
      <c r="F262" s="50" t="s">
        <v>184</v>
      </c>
      <c r="G262" s="50"/>
      <c r="H262" s="45" t="s">
        <v>15</v>
      </c>
      <c r="I262" s="45" t="s">
        <v>221</v>
      </c>
      <c r="J262" s="50"/>
      <c r="K262" s="50"/>
      <c r="L262" s="45"/>
      <c r="M262" s="45"/>
      <c r="N262" s="45"/>
      <c r="O262" s="45"/>
      <c r="P262" s="45"/>
      <c r="Q262" s="45"/>
      <c r="R262" s="45"/>
      <c r="S262" s="45"/>
      <c r="T262" s="45"/>
      <c r="U262" s="45"/>
      <c r="V262" s="45"/>
      <c r="W262" s="45"/>
      <c r="X262" s="45"/>
      <c r="Y262" s="45"/>
      <c r="Z262" s="45"/>
      <c r="AA262" s="45"/>
      <c r="AB262" s="45"/>
      <c r="AC262" s="45"/>
      <c r="AD262" s="45"/>
      <c r="AE262" s="45"/>
      <c r="AF262" s="45"/>
      <c r="AG262" s="45"/>
      <c r="AH262" s="45"/>
    </row>
    <row r="263" spans="1:34">
      <c r="A263" s="50" t="s">
        <v>223</v>
      </c>
      <c r="B263" s="50"/>
      <c r="C263" s="44">
        <v>1.8889574388999996E-11</v>
      </c>
      <c r="D263" s="45" t="s">
        <v>13</v>
      </c>
      <c r="E263" s="45" t="s">
        <v>109</v>
      </c>
      <c r="F263" s="50" t="s">
        <v>184</v>
      </c>
      <c r="G263" s="50"/>
      <c r="H263" s="45" t="s">
        <v>15</v>
      </c>
      <c r="I263" s="45" t="s">
        <v>221</v>
      </c>
      <c r="J263" s="50"/>
      <c r="K263" s="50"/>
      <c r="L263" s="45"/>
      <c r="M263" s="45"/>
      <c r="N263" s="45"/>
      <c r="O263" s="45"/>
      <c r="P263" s="45"/>
      <c r="Q263" s="45"/>
      <c r="R263" s="45"/>
      <c r="S263" s="45"/>
      <c r="T263" s="45"/>
      <c r="U263" s="45"/>
      <c r="V263" s="45"/>
      <c r="W263" s="45"/>
      <c r="X263" s="45"/>
      <c r="Y263" s="45"/>
      <c r="Z263" s="45"/>
      <c r="AA263" s="45"/>
      <c r="AB263" s="45"/>
      <c r="AC263" s="45"/>
      <c r="AD263" s="45"/>
      <c r="AE263" s="45"/>
      <c r="AF263" s="45"/>
      <c r="AG263" s="45"/>
      <c r="AH263" s="45"/>
    </row>
    <row r="264" spans="1:34">
      <c r="A264" s="41"/>
      <c r="B264" s="41"/>
      <c r="C264" s="42"/>
      <c r="D264" s="41"/>
      <c r="E264" s="41"/>
      <c r="F264" s="41"/>
      <c r="G264" s="41"/>
      <c r="H264" s="41"/>
      <c r="I264" s="41"/>
      <c r="J264" s="41"/>
      <c r="K264" s="41"/>
      <c r="L264" s="41"/>
      <c r="M264" s="41"/>
      <c r="N264" s="41"/>
      <c r="O264" s="41"/>
      <c r="P264" s="41"/>
      <c r="Q264" s="41"/>
      <c r="R264" s="41"/>
      <c r="S264" s="41"/>
      <c r="T264" s="41"/>
      <c r="U264" s="41"/>
      <c r="V264" s="41"/>
      <c r="W264" s="41"/>
      <c r="X264" s="41"/>
      <c r="Y264" s="41"/>
      <c r="Z264" s="41"/>
      <c r="AA264" s="41"/>
      <c r="AB264" s="41"/>
      <c r="AC264" s="41"/>
      <c r="AD264" s="41"/>
      <c r="AE264" s="41"/>
      <c r="AF264" s="41"/>
      <c r="AG264" s="41"/>
      <c r="AH264" s="41"/>
    </row>
    <row r="265" spans="1:34">
      <c r="A265" s="43" t="s">
        <v>1</v>
      </c>
      <c r="B265" s="43" t="s">
        <v>230</v>
      </c>
      <c r="C265" s="44"/>
      <c r="D265" s="45"/>
      <c r="E265" s="45"/>
      <c r="F265" s="45"/>
      <c r="G265" s="45"/>
      <c r="H265" s="45"/>
      <c r="I265" s="45"/>
      <c r="J265" s="45"/>
      <c r="K265" s="45"/>
      <c r="L265" s="45"/>
      <c r="M265" s="45"/>
      <c r="N265" s="45"/>
      <c r="O265" s="45"/>
      <c r="P265" s="45"/>
      <c r="Q265" s="45"/>
      <c r="R265" s="45"/>
      <c r="S265" s="45"/>
      <c r="T265" s="45"/>
      <c r="U265" s="45"/>
      <c r="V265" s="45"/>
      <c r="W265" s="45"/>
      <c r="X265" s="45"/>
      <c r="Y265" s="45"/>
      <c r="Z265" s="45"/>
      <c r="AA265" s="45"/>
      <c r="AB265" s="45"/>
      <c r="AC265" s="45"/>
      <c r="AD265" s="45"/>
      <c r="AE265" s="45"/>
      <c r="AF265" s="45"/>
      <c r="AG265" s="45"/>
      <c r="AH265" s="45"/>
    </row>
    <row r="266" spans="1:34">
      <c r="A266" s="43" t="s">
        <v>11</v>
      </c>
      <c r="B266" s="45" t="s">
        <v>231</v>
      </c>
      <c r="C266" s="44"/>
      <c r="D266" s="45"/>
      <c r="E266" s="45"/>
      <c r="F266" s="45"/>
      <c r="G266" s="45"/>
      <c r="H266" s="45"/>
      <c r="I266" s="45"/>
      <c r="J266" s="45"/>
      <c r="K266" s="45"/>
      <c r="L266" s="45"/>
      <c r="M266" s="45"/>
      <c r="N266" s="45"/>
      <c r="O266" s="45"/>
      <c r="P266" s="45"/>
      <c r="Q266" s="45"/>
      <c r="R266" s="45"/>
      <c r="S266" s="45"/>
      <c r="T266" s="45"/>
      <c r="U266" s="45"/>
      <c r="V266" s="45"/>
      <c r="W266" s="45"/>
      <c r="X266" s="45"/>
      <c r="Y266" s="45"/>
      <c r="Z266" s="45"/>
      <c r="AA266" s="45"/>
      <c r="AB266" s="45"/>
      <c r="AC266" s="45"/>
      <c r="AD266" s="45"/>
      <c r="AE266" s="45"/>
      <c r="AF266" s="45"/>
      <c r="AG266" s="45"/>
      <c r="AH266" s="45"/>
    </row>
    <row r="267" spans="1:34">
      <c r="A267" s="43" t="s">
        <v>2</v>
      </c>
      <c r="B267" s="45" t="s">
        <v>29</v>
      </c>
      <c r="C267" s="44"/>
      <c r="D267" s="45"/>
      <c r="E267" s="45"/>
      <c r="F267" s="45"/>
      <c r="G267" s="45"/>
      <c r="H267" s="45"/>
      <c r="I267" s="45"/>
      <c r="J267" s="45"/>
      <c r="K267" s="45"/>
      <c r="L267" s="45"/>
      <c r="M267" s="45"/>
      <c r="N267" s="45"/>
      <c r="O267" s="45"/>
      <c r="P267" s="45"/>
      <c r="Q267" s="45"/>
      <c r="R267" s="45"/>
      <c r="S267" s="45"/>
      <c r="T267" s="45"/>
      <c r="U267" s="45"/>
      <c r="V267" s="45"/>
      <c r="W267" s="45"/>
      <c r="X267" s="45"/>
      <c r="Y267" s="45"/>
      <c r="Z267" s="45"/>
      <c r="AA267" s="45"/>
      <c r="AB267" s="45"/>
      <c r="AC267" s="45"/>
      <c r="AD267" s="45"/>
      <c r="AE267" s="45"/>
      <c r="AF267" s="45"/>
      <c r="AG267" s="45"/>
      <c r="AH267" s="45"/>
    </row>
    <row r="268" spans="1:34">
      <c r="A268" s="46" t="s">
        <v>4</v>
      </c>
      <c r="B268" s="45" t="s">
        <v>197</v>
      </c>
      <c r="C268" s="44"/>
      <c r="D268" s="45"/>
      <c r="E268" s="45"/>
      <c r="F268" s="45"/>
      <c r="G268" s="45"/>
      <c r="H268" s="45"/>
      <c r="I268" s="45"/>
      <c r="J268" s="45"/>
      <c r="K268" s="45"/>
      <c r="L268" s="45"/>
      <c r="M268" s="45"/>
      <c r="N268" s="45"/>
      <c r="O268" s="45"/>
      <c r="P268" s="45"/>
      <c r="Q268" s="45"/>
      <c r="R268" s="45"/>
      <c r="S268" s="45"/>
      <c r="T268" s="45"/>
      <c r="U268" s="45"/>
      <c r="V268" s="45"/>
      <c r="W268" s="45"/>
      <c r="X268" s="45"/>
      <c r="Y268" s="45"/>
      <c r="Z268" s="45"/>
      <c r="AA268" s="45"/>
      <c r="AB268" s="45"/>
      <c r="AC268" s="45"/>
      <c r="AD268" s="45"/>
      <c r="AE268" s="45"/>
      <c r="AF268" s="45"/>
      <c r="AG268" s="45"/>
      <c r="AH268" s="45"/>
    </row>
    <row r="269" spans="1:34">
      <c r="A269" s="43" t="s">
        <v>3</v>
      </c>
      <c r="B269" s="47">
        <v>1</v>
      </c>
      <c r="C269" s="44"/>
      <c r="D269" s="48"/>
      <c r="E269" s="45"/>
      <c r="F269" s="45"/>
      <c r="G269" s="45"/>
      <c r="H269" s="45"/>
      <c r="I269" s="45"/>
      <c r="J269" s="45"/>
      <c r="K269" s="45"/>
      <c r="L269" s="45"/>
      <c r="M269" s="45"/>
      <c r="N269" s="45"/>
      <c r="O269" s="45"/>
      <c r="P269" s="45"/>
      <c r="Q269" s="45"/>
      <c r="R269" s="45"/>
      <c r="S269" s="45"/>
      <c r="T269" s="45"/>
      <c r="U269" s="45"/>
      <c r="V269" s="45"/>
      <c r="W269" s="45"/>
      <c r="X269" s="45"/>
      <c r="Y269" s="45"/>
      <c r="Z269" s="45"/>
      <c r="AA269" s="45"/>
      <c r="AB269" s="45"/>
      <c r="AC269" s="45"/>
      <c r="AD269" s="45"/>
      <c r="AE269" s="45"/>
      <c r="AF269" s="45"/>
      <c r="AG269" s="45"/>
      <c r="AH269" s="45"/>
    </row>
    <row r="270" spans="1:34">
      <c r="A270" s="43" t="s">
        <v>6</v>
      </c>
      <c r="B270" s="45" t="s">
        <v>128</v>
      </c>
      <c r="C270" s="44"/>
      <c r="D270" s="48"/>
      <c r="E270" s="45"/>
      <c r="F270" s="45"/>
      <c r="G270" s="45"/>
      <c r="H270" s="45"/>
      <c r="I270" s="45"/>
      <c r="J270" s="45"/>
      <c r="K270" s="45"/>
      <c r="L270" s="45"/>
      <c r="M270" s="45"/>
      <c r="N270" s="45"/>
      <c r="O270" s="45"/>
      <c r="P270" s="45"/>
      <c r="Q270" s="45"/>
      <c r="R270" s="45"/>
      <c r="S270" s="45"/>
      <c r="T270" s="45"/>
      <c r="U270" s="45"/>
      <c r="V270" s="45"/>
      <c r="W270" s="45"/>
      <c r="X270" s="45"/>
      <c r="Y270" s="45"/>
      <c r="Z270" s="45"/>
      <c r="AA270" s="45"/>
      <c r="AB270" s="45"/>
      <c r="AC270" s="45"/>
      <c r="AD270" s="45"/>
      <c r="AE270" s="45"/>
      <c r="AF270" s="45"/>
      <c r="AG270" s="45"/>
      <c r="AH270" s="45"/>
    </row>
    <row r="271" spans="1:34">
      <c r="A271" s="43" t="s">
        <v>76</v>
      </c>
      <c r="B271" s="45"/>
      <c r="C271" s="44"/>
      <c r="D271" s="48"/>
      <c r="E271" s="45"/>
      <c r="F271" s="45"/>
      <c r="G271" s="45"/>
      <c r="H271" s="45"/>
      <c r="I271" s="45"/>
      <c r="J271" s="45"/>
      <c r="K271" s="45"/>
      <c r="L271" s="45"/>
      <c r="M271" s="45"/>
      <c r="N271" s="45"/>
      <c r="O271" s="45"/>
      <c r="P271" s="45"/>
      <c r="Q271" s="45"/>
      <c r="R271" s="45"/>
      <c r="S271" s="45"/>
      <c r="T271" s="45"/>
      <c r="U271" s="45"/>
      <c r="V271" s="45"/>
      <c r="W271" s="45"/>
      <c r="X271" s="45"/>
      <c r="Y271" s="45"/>
      <c r="Z271" s="45"/>
      <c r="AA271" s="45"/>
      <c r="AB271" s="45"/>
      <c r="AC271" s="45"/>
      <c r="AD271" s="45"/>
      <c r="AE271" s="45"/>
      <c r="AF271" s="45"/>
      <c r="AG271" s="45"/>
      <c r="AH271" s="45"/>
    </row>
    <row r="272" spans="1:34">
      <c r="A272" s="43" t="s">
        <v>7</v>
      </c>
      <c r="B272" s="45"/>
      <c r="C272" s="44"/>
      <c r="D272" s="45"/>
      <c r="E272" s="45"/>
      <c r="F272" s="45"/>
      <c r="G272" s="45"/>
      <c r="H272" s="45"/>
      <c r="I272" s="45"/>
      <c r="J272" s="45"/>
      <c r="K272" s="45"/>
      <c r="L272" s="45"/>
      <c r="M272" s="45"/>
      <c r="N272" s="45"/>
      <c r="O272" s="45"/>
      <c r="P272" s="45"/>
      <c r="Q272" s="45"/>
      <c r="R272" s="45"/>
      <c r="S272" s="45"/>
      <c r="T272" s="45"/>
      <c r="U272" s="45"/>
      <c r="V272" s="45"/>
      <c r="W272" s="45"/>
      <c r="X272" s="45"/>
      <c r="Y272" s="45"/>
      <c r="Z272" s="45"/>
      <c r="AA272" s="45"/>
      <c r="AB272" s="45"/>
      <c r="AC272" s="45"/>
      <c r="AD272" s="45"/>
      <c r="AE272" s="45"/>
      <c r="AF272" s="45"/>
      <c r="AG272" s="45"/>
      <c r="AH272" s="45"/>
    </row>
    <row r="273" spans="1:34">
      <c r="A273" s="43" t="s">
        <v>8</v>
      </c>
      <c r="B273" s="43" t="s">
        <v>4</v>
      </c>
      <c r="C273" s="49" t="s">
        <v>9</v>
      </c>
      <c r="D273" s="43" t="s">
        <v>6</v>
      </c>
      <c r="E273" s="43" t="s">
        <v>106</v>
      </c>
      <c r="F273" s="43" t="s">
        <v>10</v>
      </c>
      <c r="G273" s="43" t="s">
        <v>2</v>
      </c>
      <c r="H273" s="43" t="s">
        <v>5</v>
      </c>
      <c r="I273" s="43" t="s">
        <v>11</v>
      </c>
      <c r="J273" s="45"/>
      <c r="K273" s="45"/>
      <c r="L273" s="45"/>
      <c r="M273" s="45"/>
      <c r="N273" s="45"/>
      <c r="O273" s="45"/>
      <c r="P273" s="45"/>
      <c r="Q273" s="45"/>
      <c r="R273" s="45"/>
      <c r="S273" s="45"/>
      <c r="T273" s="45"/>
      <c r="U273" s="45"/>
      <c r="V273" s="45"/>
      <c r="W273" s="45"/>
      <c r="X273" s="45"/>
      <c r="Y273" s="45"/>
      <c r="Z273" s="45"/>
      <c r="AA273" s="45"/>
      <c r="AB273" s="45"/>
      <c r="AC273" s="45"/>
      <c r="AD273" s="45"/>
      <c r="AE273" s="45"/>
      <c r="AF273" s="45"/>
      <c r="AG273" s="45"/>
      <c r="AH273" s="45"/>
    </row>
    <row r="274" spans="1:34">
      <c r="A274" s="50" t="s">
        <v>230</v>
      </c>
      <c r="B274" s="50" t="s">
        <v>197</v>
      </c>
      <c r="C274" s="51">
        <v>1</v>
      </c>
      <c r="D274" s="45" t="s">
        <v>128</v>
      </c>
      <c r="E274" s="50" t="s">
        <v>198</v>
      </c>
      <c r="F274" s="50"/>
      <c r="G274" s="50" t="s">
        <v>29</v>
      </c>
      <c r="H274" s="50" t="s">
        <v>18</v>
      </c>
      <c r="I274" s="50"/>
      <c r="J274" s="50"/>
      <c r="K274" s="50"/>
      <c r="L274" s="45"/>
      <c r="M274" s="45"/>
      <c r="N274" s="45"/>
      <c r="O274" s="45"/>
      <c r="P274" s="45"/>
      <c r="Q274" s="45"/>
      <c r="R274" s="45"/>
      <c r="S274" s="45"/>
      <c r="T274" s="45"/>
      <c r="U274" s="45"/>
      <c r="V274" s="45"/>
      <c r="W274" s="45"/>
      <c r="X274" s="45"/>
      <c r="Y274" s="45"/>
      <c r="Z274" s="45"/>
      <c r="AA274" s="45"/>
      <c r="AB274" s="45"/>
      <c r="AC274" s="45"/>
      <c r="AD274" s="45"/>
      <c r="AE274" s="45"/>
      <c r="AF274" s="45"/>
      <c r="AG274" s="45"/>
      <c r="AH274" s="45"/>
    </row>
    <row r="275" spans="1:34">
      <c r="A275" s="45" t="s">
        <v>315</v>
      </c>
      <c r="B275" s="45" t="s">
        <v>233</v>
      </c>
      <c r="C275" s="51">
        <v>7.3642594776735102</v>
      </c>
      <c r="D275" s="45" t="s">
        <v>13</v>
      </c>
      <c r="E275" s="50" t="s">
        <v>198</v>
      </c>
      <c r="F275" s="45"/>
      <c r="G275" s="50" t="s">
        <v>29</v>
      </c>
      <c r="H275" s="45" t="s">
        <v>12</v>
      </c>
      <c r="I275" s="50" t="s">
        <v>228</v>
      </c>
      <c r="J275" s="45"/>
      <c r="K275" s="45"/>
      <c r="L275" s="45"/>
      <c r="M275" s="45"/>
      <c r="N275" s="45"/>
      <c r="O275" s="45"/>
      <c r="P275" s="45"/>
      <c r="Q275" s="45"/>
      <c r="R275" s="45"/>
      <c r="S275" s="45"/>
      <c r="T275" s="45"/>
      <c r="U275" s="45"/>
      <c r="V275" s="45"/>
      <c r="W275" s="45"/>
      <c r="X275" s="45"/>
      <c r="Y275" s="45"/>
      <c r="Z275" s="45"/>
      <c r="AA275" s="45"/>
      <c r="AB275" s="45"/>
      <c r="AC275" s="45"/>
      <c r="AD275" s="45"/>
      <c r="AE275" s="45"/>
      <c r="AF275" s="45"/>
      <c r="AG275" s="45"/>
      <c r="AH275" s="45"/>
    </row>
    <row r="276" spans="1:34">
      <c r="A276" s="50" t="s">
        <v>28</v>
      </c>
      <c r="B276" s="50" t="s">
        <v>20</v>
      </c>
      <c r="C276" s="51">
        <v>0.14755967936260125</v>
      </c>
      <c r="D276" s="45" t="s">
        <v>19</v>
      </c>
      <c r="E276" s="50" t="s">
        <v>211</v>
      </c>
      <c r="F276" s="50"/>
      <c r="G276" s="50" t="s">
        <v>29</v>
      </c>
      <c r="H276" s="50" t="s">
        <v>12</v>
      </c>
      <c r="I276" s="50"/>
      <c r="J276" s="50"/>
      <c r="K276" s="50"/>
      <c r="L276" s="45"/>
      <c r="M276" s="45"/>
      <c r="N276" s="45"/>
      <c r="O276" s="45"/>
      <c r="P276" s="45"/>
      <c r="Q276" s="45"/>
      <c r="R276" s="45"/>
      <c r="S276" s="45"/>
      <c r="T276" s="45"/>
      <c r="U276" s="45"/>
      <c r="V276" s="45"/>
      <c r="W276" s="45"/>
      <c r="X276" s="45"/>
      <c r="Y276" s="45"/>
      <c r="Z276" s="45"/>
      <c r="AA276" s="45"/>
      <c r="AB276" s="45"/>
      <c r="AC276" s="45"/>
      <c r="AD276" s="45"/>
      <c r="AE276" s="45"/>
      <c r="AF276" s="45"/>
      <c r="AG276" s="45"/>
      <c r="AH276" s="45"/>
    </row>
    <row r="277" spans="1:34">
      <c r="A277" s="45" t="s">
        <v>212</v>
      </c>
      <c r="B277" s="50" t="s">
        <v>213</v>
      </c>
      <c r="C277" s="44">
        <v>3.361361524898938E-7</v>
      </c>
      <c r="D277" s="45" t="s">
        <v>6</v>
      </c>
      <c r="E277" s="50" t="s">
        <v>211</v>
      </c>
      <c r="F277" s="50"/>
      <c r="G277" s="50" t="s">
        <v>214</v>
      </c>
      <c r="H277" s="50" t="s">
        <v>12</v>
      </c>
      <c r="I277" s="53"/>
      <c r="J277" s="50"/>
      <c r="K277" s="50"/>
      <c r="L277" s="45"/>
      <c r="M277" s="45"/>
      <c r="N277" s="45"/>
      <c r="O277" s="45"/>
      <c r="P277" s="45"/>
      <c r="Q277" s="45"/>
      <c r="R277" s="45"/>
      <c r="S277" s="45"/>
      <c r="T277" s="45"/>
      <c r="U277" s="45"/>
      <c r="V277" s="45"/>
      <c r="W277" s="45"/>
      <c r="X277" s="45"/>
      <c r="Y277" s="45"/>
      <c r="Z277" s="45"/>
      <c r="AA277" s="45"/>
      <c r="AB277" s="45"/>
      <c r="AC277" s="45"/>
      <c r="AD277" s="45"/>
      <c r="AE277" s="45"/>
      <c r="AF277" s="45"/>
      <c r="AG277" s="45"/>
      <c r="AH277" s="45"/>
    </row>
    <row r="278" spans="1:34">
      <c r="A278" s="50" t="s">
        <v>215</v>
      </c>
      <c r="B278" s="50" t="s">
        <v>216</v>
      </c>
      <c r="C278" s="44">
        <v>1.278493459248774E-6</v>
      </c>
      <c r="D278" s="45" t="s">
        <v>6</v>
      </c>
      <c r="E278" s="50" t="s">
        <v>211</v>
      </c>
      <c r="F278" s="50"/>
      <c r="G278" s="50" t="s">
        <v>140</v>
      </c>
      <c r="H278" s="50" t="s">
        <v>12</v>
      </c>
      <c r="I278" s="50" t="s">
        <v>229</v>
      </c>
      <c r="J278" s="50"/>
      <c r="K278" s="50"/>
      <c r="L278" s="45"/>
      <c r="M278" s="45"/>
      <c r="N278" s="45"/>
      <c r="O278" s="45"/>
      <c r="P278" s="45"/>
      <c r="Q278" s="45"/>
      <c r="R278" s="45"/>
      <c r="S278" s="45"/>
      <c r="T278" s="45"/>
      <c r="U278" s="45"/>
      <c r="V278" s="45"/>
      <c r="W278" s="45"/>
      <c r="X278" s="45"/>
      <c r="Y278" s="45"/>
      <c r="Z278" s="45"/>
      <c r="AA278" s="45"/>
      <c r="AB278" s="45"/>
      <c r="AC278" s="45"/>
      <c r="AD278" s="45"/>
      <c r="AE278" s="45"/>
      <c r="AF278" s="45"/>
      <c r="AG278" s="45"/>
      <c r="AH278" s="45"/>
    </row>
    <row r="279" spans="1:34">
      <c r="A279" s="44" t="s">
        <v>199</v>
      </c>
      <c r="B279" s="45"/>
      <c r="C279" s="51">
        <v>2.3298053529472447</v>
      </c>
      <c r="D279" s="45" t="s">
        <v>13</v>
      </c>
      <c r="E279" s="45" t="s">
        <v>109</v>
      </c>
      <c r="F279" s="45" t="s">
        <v>200</v>
      </c>
      <c r="G279" s="45"/>
      <c r="H279" s="45" t="s">
        <v>15</v>
      </c>
      <c r="I279" s="45" t="s">
        <v>217</v>
      </c>
    </row>
    <row r="280" spans="1:34">
      <c r="A280" s="50" t="s">
        <v>218</v>
      </c>
      <c r="B280" s="54"/>
      <c r="C280" s="51">
        <v>0.31967459976937124</v>
      </c>
      <c r="D280" s="45" t="s">
        <v>13</v>
      </c>
      <c r="E280" s="45" t="s">
        <v>109</v>
      </c>
      <c r="F280" s="50" t="s">
        <v>184</v>
      </c>
      <c r="G280" s="50"/>
      <c r="H280" s="45" t="s">
        <v>15</v>
      </c>
      <c r="I280" s="45" t="s">
        <v>219</v>
      </c>
    </row>
    <row r="281" spans="1:34">
      <c r="A281" s="50" t="s">
        <v>185</v>
      </c>
      <c r="B281" s="50"/>
      <c r="C281" s="51">
        <v>3.2269192219011061E-2</v>
      </c>
      <c r="D281" s="45" t="s">
        <v>13</v>
      </c>
      <c r="E281" s="45" t="s">
        <v>109</v>
      </c>
      <c r="F281" s="50" t="s">
        <v>184</v>
      </c>
      <c r="G281" s="50"/>
      <c r="H281" s="45" t="s">
        <v>15</v>
      </c>
      <c r="I281" s="45" t="s">
        <v>219</v>
      </c>
    </row>
    <row r="282" spans="1:34">
      <c r="A282" s="50" t="s">
        <v>220</v>
      </c>
      <c r="B282" s="50"/>
      <c r="C282" s="44">
        <v>1.2953122335999999E-4</v>
      </c>
      <c r="D282" s="45" t="s">
        <v>13</v>
      </c>
      <c r="E282" s="45" t="s">
        <v>109</v>
      </c>
      <c r="F282" s="50" t="s">
        <v>184</v>
      </c>
      <c r="G282" s="50"/>
      <c r="H282" s="45" t="s">
        <v>15</v>
      </c>
      <c r="I282" s="45" t="s">
        <v>221</v>
      </c>
      <c r="J282" s="50"/>
      <c r="K282" s="50"/>
      <c r="L282" s="45"/>
      <c r="M282" s="45"/>
      <c r="N282" s="45"/>
      <c r="O282" s="45"/>
      <c r="P282" s="45"/>
      <c r="Q282" s="45"/>
      <c r="R282" s="45"/>
      <c r="S282" s="45"/>
      <c r="T282" s="45"/>
      <c r="U282" s="45"/>
      <c r="V282" s="45"/>
      <c r="W282" s="45"/>
      <c r="X282" s="45"/>
      <c r="Y282" s="45"/>
      <c r="Z282" s="45"/>
      <c r="AA282" s="45"/>
      <c r="AB282" s="45"/>
      <c r="AC282" s="45"/>
      <c r="AD282" s="45"/>
      <c r="AE282" s="45"/>
      <c r="AF282" s="45"/>
      <c r="AG282" s="45"/>
      <c r="AH282" s="45"/>
    </row>
    <row r="283" spans="1:34">
      <c r="A283" s="50" t="s">
        <v>115</v>
      </c>
      <c r="B283" s="50"/>
      <c r="C283" s="44">
        <v>6.7461409042999994E-6</v>
      </c>
      <c r="D283" s="45" t="s">
        <v>13</v>
      </c>
      <c r="E283" s="45" t="s">
        <v>109</v>
      </c>
      <c r="F283" s="50" t="s">
        <v>184</v>
      </c>
      <c r="G283" s="50"/>
      <c r="H283" s="45" t="s">
        <v>15</v>
      </c>
      <c r="I283" s="45" t="s">
        <v>221</v>
      </c>
      <c r="J283" s="50"/>
      <c r="K283" s="50"/>
      <c r="L283" s="45"/>
      <c r="M283" s="45"/>
      <c r="N283" s="45"/>
      <c r="O283" s="45"/>
      <c r="P283" s="45"/>
      <c r="Q283" s="45"/>
      <c r="R283" s="45"/>
      <c r="S283" s="45"/>
      <c r="T283" s="45"/>
      <c r="U283" s="45"/>
      <c r="V283" s="45"/>
      <c r="W283" s="45"/>
      <c r="X283" s="45"/>
      <c r="Y283" s="45"/>
      <c r="Z283" s="45"/>
      <c r="AA283" s="45"/>
      <c r="AB283" s="45"/>
      <c r="AC283" s="45"/>
      <c r="AD283" s="45"/>
      <c r="AE283" s="45"/>
      <c r="AF283" s="45"/>
      <c r="AG283" s="45"/>
      <c r="AH283" s="45"/>
    </row>
    <row r="284" spans="1:34">
      <c r="A284" s="50" t="s">
        <v>119</v>
      </c>
      <c r="B284" s="50"/>
      <c r="C284" s="44">
        <v>4.0476133193999995E-5</v>
      </c>
      <c r="D284" s="45" t="s">
        <v>13</v>
      </c>
      <c r="E284" s="45" t="s">
        <v>109</v>
      </c>
      <c r="F284" s="50" t="s">
        <v>184</v>
      </c>
      <c r="G284" s="50"/>
      <c r="H284" s="45" t="s">
        <v>15</v>
      </c>
      <c r="I284" s="45" t="s">
        <v>221</v>
      </c>
      <c r="J284" s="50"/>
      <c r="K284" s="50"/>
      <c r="L284" s="45"/>
      <c r="M284" s="45"/>
      <c r="N284" s="45"/>
      <c r="O284" s="45"/>
      <c r="P284" s="45"/>
      <c r="Q284" s="45"/>
      <c r="R284" s="45"/>
      <c r="S284" s="45"/>
      <c r="T284" s="45"/>
      <c r="U284" s="45"/>
      <c r="V284" s="45"/>
      <c r="W284" s="45"/>
      <c r="X284" s="45"/>
      <c r="Y284" s="45"/>
      <c r="Z284" s="45"/>
      <c r="AA284" s="45"/>
      <c r="AB284" s="45"/>
      <c r="AC284" s="45"/>
      <c r="AD284" s="45"/>
      <c r="AE284" s="45"/>
      <c r="AF284" s="45"/>
      <c r="AG284" s="45"/>
      <c r="AH284" s="45"/>
    </row>
    <row r="285" spans="1:34">
      <c r="A285" s="50" t="s">
        <v>125</v>
      </c>
      <c r="B285" s="50"/>
      <c r="C285" s="44">
        <v>6.7461409043000002E-5</v>
      </c>
      <c r="D285" s="45" t="s">
        <v>13</v>
      </c>
      <c r="E285" s="45" t="s">
        <v>109</v>
      </c>
      <c r="F285" s="50" t="s">
        <v>184</v>
      </c>
      <c r="G285" s="50"/>
      <c r="H285" s="45" t="s">
        <v>15</v>
      </c>
      <c r="I285" s="45" t="s">
        <v>221</v>
      </c>
      <c r="J285" s="50"/>
      <c r="K285" s="50"/>
      <c r="L285" s="45"/>
      <c r="M285" s="45"/>
      <c r="N285" s="45"/>
      <c r="O285" s="45"/>
      <c r="P285" s="45"/>
      <c r="Q285" s="45"/>
      <c r="R285" s="45"/>
      <c r="S285" s="45"/>
      <c r="T285" s="45"/>
      <c r="U285" s="45"/>
      <c r="V285" s="45"/>
      <c r="W285" s="45"/>
      <c r="X285" s="45"/>
      <c r="Y285" s="45"/>
      <c r="Z285" s="45"/>
      <c r="AA285" s="45"/>
      <c r="AB285" s="45"/>
      <c r="AC285" s="45"/>
      <c r="AD285" s="45"/>
      <c r="AE285" s="45"/>
      <c r="AF285" s="45"/>
      <c r="AG285" s="45"/>
      <c r="AH285" s="45"/>
    </row>
    <row r="286" spans="1:34">
      <c r="A286" s="50" t="s">
        <v>222</v>
      </c>
      <c r="B286" s="50"/>
      <c r="C286" s="44">
        <v>5.3969364644999994E-6</v>
      </c>
      <c r="D286" s="45" t="s">
        <v>13</v>
      </c>
      <c r="E286" s="45" t="s">
        <v>109</v>
      </c>
      <c r="F286" s="50" t="s">
        <v>184</v>
      </c>
      <c r="G286" s="50"/>
      <c r="H286" s="45" t="s">
        <v>15</v>
      </c>
      <c r="I286" s="45" t="s">
        <v>221</v>
      </c>
      <c r="J286" s="50"/>
      <c r="K286" s="50"/>
      <c r="L286" s="45"/>
      <c r="M286" s="45"/>
      <c r="N286" s="45"/>
      <c r="O286" s="45"/>
      <c r="P286" s="45"/>
      <c r="Q286" s="45"/>
      <c r="R286" s="45"/>
      <c r="S286" s="45"/>
      <c r="T286" s="45"/>
      <c r="U286" s="45"/>
      <c r="V286" s="45"/>
      <c r="W286" s="45"/>
      <c r="X286" s="45"/>
      <c r="Y286" s="45"/>
      <c r="Z286" s="45"/>
      <c r="AA286" s="45"/>
      <c r="AB286" s="45"/>
      <c r="AC286" s="45"/>
      <c r="AD286" s="45"/>
      <c r="AE286" s="45"/>
      <c r="AF286" s="45"/>
      <c r="AG286" s="45"/>
      <c r="AH286" s="45"/>
    </row>
    <row r="287" spans="1:34">
      <c r="A287" s="50" t="s">
        <v>223</v>
      </c>
      <c r="B287" s="50"/>
      <c r="C287" s="44">
        <v>1.8889574388999996E-11</v>
      </c>
      <c r="D287" s="45" t="s">
        <v>13</v>
      </c>
      <c r="E287" s="45" t="s">
        <v>109</v>
      </c>
      <c r="F287" s="50" t="s">
        <v>184</v>
      </c>
      <c r="G287" s="50"/>
      <c r="H287" s="45" t="s">
        <v>15</v>
      </c>
      <c r="I287" s="45" t="s">
        <v>221</v>
      </c>
      <c r="J287" s="50"/>
      <c r="K287" s="50"/>
      <c r="L287" s="45"/>
      <c r="M287" s="45"/>
      <c r="N287" s="45"/>
      <c r="O287" s="45"/>
      <c r="P287" s="45"/>
      <c r="Q287" s="45"/>
      <c r="R287" s="45"/>
      <c r="S287" s="45"/>
      <c r="T287" s="45"/>
      <c r="U287" s="45"/>
      <c r="V287" s="45"/>
      <c r="W287" s="45"/>
      <c r="X287" s="45"/>
      <c r="Y287" s="45"/>
      <c r="Z287" s="45"/>
      <c r="AA287" s="45"/>
      <c r="AB287" s="45"/>
      <c r="AC287" s="45"/>
      <c r="AD287" s="45"/>
      <c r="AE287" s="45"/>
      <c r="AF287" s="45"/>
      <c r="AG287" s="45"/>
      <c r="AH287" s="45"/>
    </row>
    <row r="288" spans="1:34">
      <c r="A288" s="41"/>
      <c r="B288" s="41"/>
      <c r="C288" s="42"/>
      <c r="D288" s="41"/>
      <c r="E288" s="41"/>
      <c r="F288" s="41"/>
      <c r="G288" s="41"/>
      <c r="H288" s="41"/>
      <c r="I288" s="41"/>
      <c r="J288" s="41"/>
      <c r="K288" s="45"/>
      <c r="L288" s="45"/>
      <c r="M288" s="45"/>
      <c r="N288" s="45"/>
      <c r="O288" s="45"/>
      <c r="P288" s="45"/>
      <c r="Q288" s="45"/>
      <c r="R288" s="45"/>
      <c r="S288" s="45"/>
      <c r="T288" s="45"/>
      <c r="U288" s="45"/>
      <c r="V288" s="45"/>
      <c r="W288" s="45"/>
      <c r="X288" s="45"/>
      <c r="Y288" s="45"/>
      <c r="Z288" s="45"/>
      <c r="AA288" s="45"/>
      <c r="AB288" s="45"/>
      <c r="AC288" s="45"/>
      <c r="AD288" s="45"/>
      <c r="AE288" s="45"/>
      <c r="AF288" s="45"/>
      <c r="AG288" s="45"/>
      <c r="AH288" s="45"/>
    </row>
    <row r="289" spans="1:34">
      <c r="A289" s="43" t="s">
        <v>1</v>
      </c>
      <c r="B289" s="43" t="s">
        <v>234</v>
      </c>
      <c r="C289" s="44"/>
      <c r="D289" s="45"/>
      <c r="E289" s="45"/>
      <c r="F289" s="45"/>
      <c r="G289" s="45"/>
      <c r="H289" s="45"/>
      <c r="I289" s="45"/>
      <c r="J289" s="45"/>
      <c r="K289" s="45"/>
      <c r="L289" s="45"/>
      <c r="M289" s="45"/>
      <c r="N289" s="45"/>
      <c r="O289" s="45"/>
      <c r="P289" s="45"/>
      <c r="Q289" s="45"/>
      <c r="R289" s="45"/>
      <c r="S289" s="45"/>
      <c r="T289" s="45"/>
      <c r="U289" s="45"/>
      <c r="V289" s="45"/>
      <c r="W289" s="45"/>
      <c r="X289" s="45"/>
      <c r="Y289" s="45"/>
      <c r="Z289" s="45"/>
      <c r="AA289" s="45"/>
      <c r="AB289" s="45"/>
      <c r="AC289" s="45"/>
      <c r="AD289" s="45"/>
      <c r="AE289" s="45"/>
      <c r="AF289" s="45"/>
      <c r="AG289" s="45"/>
      <c r="AH289" s="45"/>
    </row>
    <row r="290" spans="1:34">
      <c r="A290" s="43" t="s">
        <v>11</v>
      </c>
      <c r="B290" s="45" t="s">
        <v>235</v>
      </c>
      <c r="C290" s="44"/>
      <c r="D290" s="45"/>
      <c r="E290" s="45"/>
      <c r="F290" s="45"/>
      <c r="G290" s="45"/>
      <c r="H290" s="45"/>
      <c r="I290" s="45"/>
      <c r="J290" s="45"/>
      <c r="K290" s="45"/>
      <c r="L290" s="45"/>
      <c r="M290" s="45"/>
      <c r="N290" s="45"/>
      <c r="O290" s="45"/>
      <c r="P290" s="45"/>
      <c r="Q290" s="45"/>
      <c r="R290" s="45"/>
      <c r="S290" s="45"/>
      <c r="T290" s="45"/>
      <c r="U290" s="45"/>
      <c r="V290" s="45"/>
      <c r="W290" s="45"/>
      <c r="X290" s="45"/>
      <c r="Y290" s="45"/>
      <c r="Z290" s="45"/>
      <c r="AA290" s="45"/>
      <c r="AB290" s="45"/>
      <c r="AC290" s="45"/>
      <c r="AD290" s="45"/>
      <c r="AE290" s="45"/>
      <c r="AF290" s="45"/>
      <c r="AG290" s="45"/>
      <c r="AH290" s="45"/>
    </row>
    <row r="291" spans="1:34">
      <c r="A291" s="43" t="s">
        <v>2</v>
      </c>
      <c r="B291" s="45" t="s">
        <v>29</v>
      </c>
      <c r="C291" s="44"/>
      <c r="D291" s="45"/>
      <c r="E291" s="45"/>
      <c r="F291" s="45"/>
      <c r="G291" s="45"/>
      <c r="H291" s="45"/>
      <c r="I291" s="45"/>
      <c r="J291" s="45"/>
      <c r="K291" s="45"/>
      <c r="L291" s="45"/>
      <c r="M291" s="45"/>
      <c r="N291" s="45"/>
      <c r="O291" s="45"/>
      <c r="P291" s="45"/>
      <c r="Q291" s="45"/>
      <c r="R291" s="45"/>
      <c r="S291" s="45"/>
      <c r="T291" s="45"/>
      <c r="U291" s="45"/>
      <c r="V291" s="45"/>
      <c r="W291" s="45"/>
      <c r="X291" s="45"/>
      <c r="Y291" s="45"/>
      <c r="Z291" s="45"/>
      <c r="AA291" s="45"/>
      <c r="AB291" s="45"/>
      <c r="AC291" s="45"/>
      <c r="AD291" s="45"/>
      <c r="AE291" s="45"/>
      <c r="AF291" s="45"/>
      <c r="AG291" s="45"/>
      <c r="AH291" s="45"/>
    </row>
    <row r="292" spans="1:34">
      <c r="A292" s="46" t="s">
        <v>4</v>
      </c>
      <c r="B292" s="45" t="s">
        <v>197</v>
      </c>
      <c r="C292" s="44"/>
      <c r="D292" s="45"/>
      <c r="E292" s="45"/>
      <c r="F292" s="45"/>
      <c r="G292" s="45"/>
      <c r="H292" s="45"/>
      <c r="I292" s="45"/>
      <c r="J292" s="45"/>
      <c r="K292" s="45"/>
      <c r="L292" s="45"/>
      <c r="M292" s="45"/>
      <c r="N292" s="45"/>
      <c r="O292" s="45"/>
      <c r="P292" s="45"/>
      <c r="Q292" s="45"/>
      <c r="R292" s="45"/>
      <c r="S292" s="45"/>
      <c r="T292" s="45"/>
      <c r="U292" s="45"/>
      <c r="V292" s="45"/>
      <c r="W292" s="45"/>
      <c r="X292" s="45"/>
      <c r="Y292" s="45"/>
      <c r="Z292" s="45"/>
      <c r="AA292" s="45"/>
      <c r="AB292" s="45"/>
      <c r="AC292" s="45"/>
      <c r="AD292" s="45"/>
      <c r="AE292" s="45"/>
      <c r="AF292" s="45"/>
      <c r="AG292" s="45"/>
      <c r="AH292" s="45"/>
    </row>
    <row r="293" spans="1:34">
      <c r="A293" s="43" t="s">
        <v>3</v>
      </c>
      <c r="B293" s="47">
        <v>1</v>
      </c>
      <c r="C293" s="44"/>
      <c r="D293" s="48"/>
      <c r="E293" s="45"/>
      <c r="F293" s="45"/>
      <c r="G293" s="45"/>
      <c r="H293" s="45"/>
      <c r="I293" s="45"/>
      <c r="J293" s="45"/>
      <c r="K293" s="45"/>
      <c r="L293" s="45"/>
      <c r="M293" s="45"/>
      <c r="N293" s="45"/>
      <c r="O293" s="45"/>
      <c r="P293" s="45"/>
      <c r="Q293" s="45"/>
      <c r="R293" s="45"/>
      <c r="S293" s="45"/>
      <c r="T293" s="45"/>
      <c r="U293" s="45"/>
      <c r="V293" s="45"/>
      <c r="W293" s="45"/>
      <c r="X293" s="45"/>
      <c r="Y293" s="45"/>
      <c r="Z293" s="45"/>
      <c r="AA293" s="45"/>
      <c r="AB293" s="45"/>
      <c r="AC293" s="45"/>
      <c r="AD293" s="45"/>
      <c r="AE293" s="45"/>
      <c r="AF293" s="45"/>
      <c r="AG293" s="45"/>
      <c r="AH293" s="45"/>
    </row>
    <row r="294" spans="1:34">
      <c r="A294" s="43" t="s">
        <v>6</v>
      </c>
      <c r="B294" s="45" t="s">
        <v>128</v>
      </c>
      <c r="C294" s="44"/>
      <c r="E294" s="45"/>
      <c r="F294" s="45"/>
      <c r="G294" s="45"/>
      <c r="H294" s="45"/>
      <c r="I294" s="45"/>
      <c r="J294" s="45"/>
      <c r="K294" s="45"/>
      <c r="L294" s="45"/>
      <c r="M294" s="45"/>
      <c r="N294" s="45"/>
      <c r="O294" s="45"/>
      <c r="P294" s="45"/>
      <c r="Q294" s="45"/>
      <c r="R294" s="45"/>
      <c r="S294" s="45"/>
      <c r="T294" s="45"/>
      <c r="U294" s="45"/>
      <c r="V294" s="45"/>
      <c r="W294" s="45"/>
      <c r="X294" s="45"/>
      <c r="Y294" s="45"/>
      <c r="Z294" s="45"/>
      <c r="AA294" s="45"/>
      <c r="AB294" s="45"/>
      <c r="AC294" s="45"/>
      <c r="AD294" s="45"/>
      <c r="AE294" s="45"/>
      <c r="AF294" s="45"/>
      <c r="AG294" s="45"/>
      <c r="AH294" s="45"/>
    </row>
    <row r="295" spans="1:34">
      <c r="A295" s="43" t="s">
        <v>76</v>
      </c>
      <c r="B295" s="45"/>
      <c r="C295" s="44"/>
      <c r="D295" s="48"/>
      <c r="E295" s="45"/>
      <c r="F295" s="45"/>
      <c r="G295" s="45"/>
      <c r="H295" s="45"/>
      <c r="I295" s="45"/>
      <c r="J295" s="45"/>
      <c r="K295" s="45"/>
      <c r="L295" s="45"/>
      <c r="M295" s="45"/>
      <c r="N295" s="45"/>
      <c r="O295" s="45"/>
      <c r="P295" s="45"/>
      <c r="Q295" s="45"/>
      <c r="R295" s="45"/>
      <c r="S295" s="45"/>
      <c r="T295" s="45"/>
      <c r="U295" s="45"/>
      <c r="V295" s="45"/>
      <c r="W295" s="45"/>
      <c r="X295" s="45"/>
      <c r="Y295" s="45"/>
      <c r="Z295" s="45"/>
      <c r="AA295" s="45"/>
      <c r="AB295" s="45"/>
      <c r="AC295" s="45"/>
      <c r="AD295" s="45"/>
      <c r="AE295" s="45"/>
      <c r="AF295" s="45"/>
      <c r="AG295" s="45"/>
      <c r="AH295" s="45"/>
    </row>
    <row r="296" spans="1:34">
      <c r="A296" s="43" t="s">
        <v>7</v>
      </c>
      <c r="B296" s="45"/>
      <c r="C296" s="44"/>
      <c r="D296" s="45"/>
      <c r="E296" s="45"/>
      <c r="F296" s="45"/>
      <c r="G296" s="45"/>
      <c r="H296" s="45"/>
      <c r="I296" s="45"/>
      <c r="J296" s="45"/>
      <c r="K296" s="45"/>
      <c r="L296" s="45"/>
      <c r="M296" s="45"/>
      <c r="N296" s="45"/>
      <c r="O296" s="45"/>
      <c r="P296" s="45"/>
      <c r="Q296" s="45"/>
      <c r="R296" s="45"/>
      <c r="S296" s="45"/>
      <c r="T296" s="45"/>
      <c r="U296" s="45"/>
      <c r="V296" s="45"/>
      <c r="W296" s="45"/>
      <c r="X296" s="45"/>
      <c r="Y296" s="45"/>
      <c r="Z296" s="45"/>
      <c r="AA296" s="45"/>
      <c r="AB296" s="45"/>
      <c r="AC296" s="45"/>
      <c r="AD296" s="45"/>
      <c r="AE296" s="45"/>
      <c r="AF296" s="45"/>
      <c r="AG296" s="45"/>
      <c r="AH296" s="45"/>
    </row>
    <row r="297" spans="1:34">
      <c r="A297" s="43" t="s">
        <v>8</v>
      </c>
      <c r="B297" s="43" t="s">
        <v>4</v>
      </c>
      <c r="C297" s="49" t="s">
        <v>9</v>
      </c>
      <c r="D297" s="43" t="s">
        <v>6</v>
      </c>
      <c r="E297" s="43" t="s">
        <v>106</v>
      </c>
      <c r="F297" s="43" t="s">
        <v>10</v>
      </c>
      <c r="G297" s="43" t="s">
        <v>2</v>
      </c>
      <c r="H297" s="43" t="s">
        <v>5</v>
      </c>
      <c r="I297" s="43" t="s">
        <v>11</v>
      </c>
      <c r="J297" s="45"/>
      <c r="K297" s="45"/>
      <c r="L297" s="45"/>
      <c r="M297" s="45"/>
      <c r="N297" s="45"/>
      <c r="O297" s="45"/>
      <c r="P297" s="45"/>
      <c r="Q297" s="45"/>
      <c r="R297" s="45"/>
      <c r="S297" s="45"/>
      <c r="T297" s="45"/>
      <c r="U297" s="45"/>
      <c r="V297" s="45"/>
      <c r="W297" s="45"/>
      <c r="X297" s="45"/>
      <c r="Y297" s="45"/>
      <c r="Z297" s="45"/>
      <c r="AA297" s="45"/>
      <c r="AB297" s="45"/>
      <c r="AC297" s="45"/>
      <c r="AD297" s="45"/>
      <c r="AE297" s="45"/>
      <c r="AF297" s="45"/>
      <c r="AG297" s="45"/>
      <c r="AH297" s="45"/>
    </row>
    <row r="298" spans="1:34">
      <c r="A298" s="50" t="s">
        <v>234</v>
      </c>
      <c r="B298" s="50" t="s">
        <v>197</v>
      </c>
      <c r="C298" s="51">
        <v>1</v>
      </c>
      <c r="D298" s="45" t="s">
        <v>128</v>
      </c>
      <c r="E298" s="50"/>
      <c r="F298" s="50"/>
      <c r="G298" s="50" t="s">
        <v>29</v>
      </c>
      <c r="H298" s="50" t="s">
        <v>18</v>
      </c>
      <c r="I298" s="50"/>
      <c r="J298" s="50"/>
      <c r="K298" s="50"/>
      <c r="L298" s="45"/>
      <c r="M298" s="45"/>
      <c r="N298" s="45"/>
      <c r="O298" s="45"/>
      <c r="P298" s="45"/>
      <c r="Q298" s="45"/>
      <c r="R298" s="45"/>
      <c r="S298" s="45"/>
      <c r="T298" s="45"/>
      <c r="U298" s="45"/>
      <c r="V298" s="45"/>
      <c r="W298" s="45"/>
      <c r="X298" s="45"/>
      <c r="Y298" s="45"/>
      <c r="Z298" s="45"/>
      <c r="AA298" s="45"/>
      <c r="AB298" s="45"/>
      <c r="AC298" s="45"/>
      <c r="AD298" s="45"/>
      <c r="AE298" s="45"/>
      <c r="AF298" s="45"/>
      <c r="AG298" s="45"/>
      <c r="AH298" s="45"/>
    </row>
    <row r="299" spans="1:34">
      <c r="A299" s="45" t="s">
        <v>236</v>
      </c>
      <c r="B299" s="45" t="s">
        <v>237</v>
      </c>
      <c r="C299" s="51">
        <v>8.600396986554621</v>
      </c>
      <c r="D299" s="45" t="s">
        <v>13</v>
      </c>
      <c r="E299" s="50"/>
      <c r="F299" s="45"/>
      <c r="G299" s="50" t="s">
        <v>29</v>
      </c>
      <c r="H299" s="45" t="s">
        <v>12</v>
      </c>
      <c r="I299" s="50" t="s">
        <v>228</v>
      </c>
      <c r="J299" s="45"/>
      <c r="K299" s="50"/>
      <c r="L299" s="45"/>
      <c r="M299" s="45"/>
      <c r="N299" s="45"/>
      <c r="O299" s="45"/>
      <c r="P299" s="45"/>
      <c r="Q299" s="45"/>
      <c r="R299" s="45"/>
      <c r="S299" s="45"/>
      <c r="T299" s="45"/>
      <c r="U299" s="45"/>
      <c r="V299" s="45"/>
      <c r="W299" s="45"/>
      <c r="X299" s="45"/>
      <c r="Y299" s="45"/>
      <c r="Z299" s="45"/>
      <c r="AA299" s="45"/>
      <c r="AB299" s="45"/>
      <c r="AC299" s="45"/>
      <c r="AD299" s="45"/>
      <c r="AE299" s="45"/>
      <c r="AF299" s="45"/>
      <c r="AG299" s="45"/>
      <c r="AH299" s="45"/>
    </row>
    <row r="300" spans="1:34">
      <c r="A300" s="50" t="s">
        <v>28</v>
      </c>
      <c r="B300" s="50" t="s">
        <v>20</v>
      </c>
      <c r="C300" s="51">
        <v>0.14704987784003279</v>
      </c>
      <c r="D300" s="45" t="s">
        <v>19</v>
      </c>
      <c r="E300" s="50" t="s">
        <v>211</v>
      </c>
      <c r="F300" s="50"/>
      <c r="G300" s="50" t="s">
        <v>29</v>
      </c>
      <c r="H300" s="50" t="s">
        <v>12</v>
      </c>
      <c r="I300" s="50"/>
      <c r="J300" s="50"/>
    </row>
    <row r="301" spans="1:34">
      <c r="A301" s="45" t="s">
        <v>212</v>
      </c>
      <c r="B301" s="50" t="s">
        <v>213</v>
      </c>
      <c r="C301" s="44">
        <v>3.361361524898938E-7</v>
      </c>
      <c r="D301" s="45" t="s">
        <v>6</v>
      </c>
      <c r="E301" s="50" t="s">
        <v>211</v>
      </c>
      <c r="F301" s="50"/>
      <c r="G301" s="50" t="s">
        <v>214</v>
      </c>
      <c r="H301" s="50" t="s">
        <v>12</v>
      </c>
      <c r="I301" s="53"/>
      <c r="J301" s="50"/>
    </row>
    <row r="302" spans="1:34">
      <c r="A302" s="50" t="s">
        <v>215</v>
      </c>
      <c r="B302" s="50" t="s">
        <v>216</v>
      </c>
      <c r="C302" s="44">
        <v>1.274076413108973E-6</v>
      </c>
      <c r="D302" s="45" t="s">
        <v>6</v>
      </c>
      <c r="E302" s="50" t="s">
        <v>211</v>
      </c>
      <c r="F302" s="50"/>
      <c r="G302" s="50" t="s">
        <v>140</v>
      </c>
      <c r="H302" s="50" t="s">
        <v>12</v>
      </c>
      <c r="I302" s="50" t="s">
        <v>229</v>
      </c>
      <c r="J302" s="50"/>
    </row>
    <row r="303" spans="1:34">
      <c r="A303" s="44" t="s">
        <v>199</v>
      </c>
      <c r="B303" s="45"/>
      <c r="C303" s="51">
        <v>2.3289945729253771</v>
      </c>
      <c r="D303" s="45" t="s">
        <v>13</v>
      </c>
      <c r="E303" s="45" t="s">
        <v>109</v>
      </c>
      <c r="F303" s="45" t="s">
        <v>200</v>
      </c>
      <c r="G303" s="45"/>
      <c r="H303" s="45" t="s">
        <v>15</v>
      </c>
      <c r="I303" s="45" t="s">
        <v>217</v>
      </c>
    </row>
    <row r="304" spans="1:34">
      <c r="A304" s="50" t="s">
        <v>218</v>
      </c>
      <c r="B304" s="54"/>
      <c r="C304" s="51">
        <v>0.31983905736853946</v>
      </c>
      <c r="D304" s="45" t="s">
        <v>13</v>
      </c>
      <c r="E304" s="45" t="s">
        <v>109</v>
      </c>
      <c r="F304" s="50" t="s">
        <v>184</v>
      </c>
      <c r="G304" s="50"/>
      <c r="H304" s="45" t="s">
        <v>15</v>
      </c>
      <c r="I304" s="45" t="s">
        <v>219</v>
      </c>
    </row>
    <row r="305" spans="1:34">
      <c r="A305" s="50" t="s">
        <v>185</v>
      </c>
      <c r="B305" s="50"/>
      <c r="C305" s="51">
        <v>3.2157705914646832E-2</v>
      </c>
      <c r="D305" s="45" t="s">
        <v>13</v>
      </c>
      <c r="E305" s="45" t="s">
        <v>109</v>
      </c>
      <c r="F305" s="50" t="s">
        <v>184</v>
      </c>
      <c r="G305" s="50"/>
      <c r="H305" s="45" t="s">
        <v>15</v>
      </c>
      <c r="I305" s="45" t="s">
        <v>219</v>
      </c>
    </row>
    <row r="306" spans="1:34">
      <c r="A306" s="50" t="s">
        <v>220</v>
      </c>
      <c r="B306" s="50"/>
      <c r="C306" s="44">
        <v>1.2953122335999996E-4</v>
      </c>
      <c r="D306" s="45" t="s">
        <v>13</v>
      </c>
      <c r="E306" s="45" t="s">
        <v>109</v>
      </c>
      <c r="F306" s="50" t="s">
        <v>184</v>
      </c>
      <c r="G306" s="50"/>
      <c r="H306" s="45" t="s">
        <v>15</v>
      </c>
      <c r="I306" s="45" t="s">
        <v>221</v>
      </c>
      <c r="J306" s="50"/>
    </row>
    <row r="307" spans="1:34">
      <c r="A307" s="50" t="s">
        <v>115</v>
      </c>
      <c r="B307" s="50"/>
      <c r="C307" s="44">
        <v>6.7461409042999986E-6</v>
      </c>
      <c r="D307" s="45" t="s">
        <v>13</v>
      </c>
      <c r="E307" s="45" t="s">
        <v>109</v>
      </c>
      <c r="F307" s="50" t="s">
        <v>184</v>
      </c>
      <c r="G307" s="50"/>
      <c r="H307" s="45" t="s">
        <v>15</v>
      </c>
      <c r="I307" s="45" t="s">
        <v>221</v>
      </c>
      <c r="J307" s="50"/>
    </row>
    <row r="308" spans="1:34">
      <c r="A308" s="50" t="s">
        <v>119</v>
      </c>
      <c r="B308" s="50"/>
      <c r="C308" s="44">
        <v>4.0476133193999988E-5</v>
      </c>
      <c r="D308" s="45" t="s">
        <v>13</v>
      </c>
      <c r="E308" s="45" t="s">
        <v>109</v>
      </c>
      <c r="F308" s="50" t="s">
        <v>184</v>
      </c>
      <c r="G308" s="50"/>
      <c r="H308" s="45" t="s">
        <v>15</v>
      </c>
      <c r="I308" s="45" t="s">
        <v>221</v>
      </c>
      <c r="J308" s="50"/>
    </row>
    <row r="309" spans="1:34">
      <c r="A309" s="50" t="s">
        <v>125</v>
      </c>
      <c r="B309" s="50"/>
      <c r="C309" s="44">
        <v>6.7461409042999989E-5</v>
      </c>
      <c r="D309" s="45" t="s">
        <v>13</v>
      </c>
      <c r="E309" s="45" t="s">
        <v>109</v>
      </c>
      <c r="F309" s="50" t="s">
        <v>184</v>
      </c>
      <c r="G309" s="50"/>
      <c r="H309" s="45" t="s">
        <v>15</v>
      </c>
      <c r="I309" s="45" t="s">
        <v>221</v>
      </c>
      <c r="J309" s="50"/>
    </row>
    <row r="310" spans="1:34">
      <c r="A310" s="50" t="s">
        <v>222</v>
      </c>
      <c r="B310" s="50"/>
      <c r="C310" s="44">
        <v>5.3969364644999985E-6</v>
      </c>
      <c r="D310" s="45" t="s">
        <v>13</v>
      </c>
      <c r="E310" s="45" t="s">
        <v>109</v>
      </c>
      <c r="F310" s="50" t="s">
        <v>184</v>
      </c>
      <c r="G310" s="50"/>
      <c r="H310" s="45" t="s">
        <v>15</v>
      </c>
      <c r="I310" s="45" t="s">
        <v>221</v>
      </c>
      <c r="J310" s="50"/>
    </row>
    <row r="311" spans="1:34">
      <c r="A311" s="50" t="s">
        <v>223</v>
      </c>
      <c r="B311" s="50"/>
      <c r="C311" s="44">
        <v>1.8889574388999996E-11</v>
      </c>
      <c r="D311" s="45" t="s">
        <v>13</v>
      </c>
      <c r="E311" s="45" t="s">
        <v>109</v>
      </c>
      <c r="F311" s="50" t="s">
        <v>184</v>
      </c>
      <c r="G311" s="50"/>
      <c r="H311" s="45" t="s">
        <v>15</v>
      </c>
      <c r="I311" s="45" t="s">
        <v>221</v>
      </c>
      <c r="J311" s="50"/>
    </row>
    <row r="312" spans="1:34">
      <c r="A312" s="41"/>
      <c r="B312" s="41"/>
      <c r="C312" s="42"/>
      <c r="D312" s="41"/>
      <c r="E312" s="41"/>
      <c r="F312" s="41"/>
      <c r="G312" s="41"/>
      <c r="H312" s="41"/>
      <c r="I312" s="41"/>
      <c r="J312" s="41"/>
      <c r="K312" s="45"/>
      <c r="L312" s="45"/>
      <c r="M312" s="45"/>
      <c r="N312" s="45"/>
      <c r="O312" s="45"/>
      <c r="P312" s="45"/>
      <c r="Q312" s="45"/>
      <c r="R312" s="45"/>
      <c r="S312" s="45"/>
      <c r="T312" s="45"/>
      <c r="U312" s="45"/>
      <c r="V312" s="45"/>
      <c r="W312" s="45"/>
      <c r="X312" s="45"/>
      <c r="Y312" s="45"/>
      <c r="Z312" s="45"/>
      <c r="AA312" s="45"/>
      <c r="AB312" s="45"/>
      <c r="AC312" s="45"/>
      <c r="AD312" s="45"/>
      <c r="AE312" s="45"/>
      <c r="AF312" s="45"/>
      <c r="AG312" s="45"/>
      <c r="AH312" s="45"/>
    </row>
    <row r="313" spans="1:34">
      <c r="A313" s="43" t="s">
        <v>1</v>
      </c>
      <c r="B313" s="43" t="s">
        <v>238</v>
      </c>
      <c r="C313" s="44"/>
      <c r="D313" s="45"/>
      <c r="E313" s="45"/>
      <c r="F313" s="45"/>
      <c r="G313" s="45"/>
      <c r="H313" s="45"/>
      <c r="I313" s="45"/>
      <c r="J313" s="45"/>
      <c r="K313" s="45"/>
      <c r="L313" s="45"/>
      <c r="M313" s="45"/>
      <c r="N313" s="45"/>
      <c r="O313" s="45"/>
      <c r="P313" s="45"/>
      <c r="Q313" s="45"/>
      <c r="R313" s="45"/>
      <c r="S313" s="45"/>
      <c r="T313" s="45"/>
      <c r="U313" s="45"/>
      <c r="V313" s="45"/>
      <c r="W313" s="45"/>
      <c r="X313" s="45"/>
      <c r="Y313" s="45"/>
      <c r="Z313" s="45"/>
      <c r="AA313" s="45"/>
      <c r="AB313" s="45"/>
      <c r="AC313" s="45"/>
      <c r="AD313" s="45"/>
      <c r="AE313" s="45"/>
      <c r="AF313" s="45"/>
      <c r="AG313" s="45"/>
      <c r="AH313" s="45"/>
    </row>
    <row r="314" spans="1:34">
      <c r="A314" s="43" t="s">
        <v>11</v>
      </c>
      <c r="B314" s="45" t="s">
        <v>235</v>
      </c>
      <c r="C314" s="44"/>
      <c r="D314" s="45"/>
      <c r="E314" s="45"/>
      <c r="F314" s="45"/>
      <c r="G314" s="45"/>
      <c r="H314" s="45"/>
      <c r="I314" s="45"/>
      <c r="J314" s="45"/>
      <c r="K314" s="45"/>
      <c r="L314" s="45"/>
      <c r="M314" s="45"/>
      <c r="N314" s="45"/>
      <c r="O314" s="45"/>
      <c r="P314" s="45"/>
      <c r="Q314" s="45"/>
      <c r="R314" s="45"/>
      <c r="S314" s="45"/>
      <c r="T314" s="45"/>
      <c r="U314" s="45"/>
      <c r="V314" s="45"/>
      <c r="W314" s="45"/>
      <c r="X314" s="45"/>
      <c r="Y314" s="45"/>
      <c r="Z314" s="45"/>
      <c r="AA314" s="45"/>
      <c r="AB314" s="45"/>
      <c r="AC314" s="45"/>
      <c r="AD314" s="45"/>
      <c r="AE314" s="45"/>
      <c r="AF314" s="45"/>
      <c r="AG314" s="45"/>
      <c r="AH314" s="45"/>
    </row>
    <row r="315" spans="1:34">
      <c r="A315" s="43" t="s">
        <v>2</v>
      </c>
      <c r="B315" s="45" t="s">
        <v>29</v>
      </c>
      <c r="C315" s="44"/>
      <c r="D315" s="45"/>
      <c r="E315" s="45"/>
      <c r="F315" s="45"/>
      <c r="G315" s="45"/>
      <c r="H315" s="45"/>
      <c r="I315" s="45"/>
      <c r="J315" s="45"/>
      <c r="K315" s="45"/>
      <c r="L315" s="45"/>
      <c r="M315" s="45"/>
      <c r="N315" s="45"/>
      <c r="O315" s="45"/>
      <c r="P315" s="45"/>
      <c r="Q315" s="45"/>
      <c r="R315" s="45"/>
      <c r="S315" s="45"/>
      <c r="T315" s="45"/>
      <c r="U315" s="45"/>
      <c r="V315" s="45"/>
      <c r="W315" s="45"/>
      <c r="X315" s="45"/>
      <c r="Y315" s="45"/>
      <c r="Z315" s="45"/>
      <c r="AA315" s="45"/>
      <c r="AB315" s="45"/>
      <c r="AC315" s="45"/>
      <c r="AD315" s="45"/>
      <c r="AE315" s="45"/>
      <c r="AF315" s="45"/>
      <c r="AG315" s="45"/>
      <c r="AH315" s="45"/>
    </row>
    <row r="316" spans="1:34">
      <c r="A316" s="46" t="s">
        <v>4</v>
      </c>
      <c r="B316" s="45" t="s">
        <v>197</v>
      </c>
      <c r="C316" s="44"/>
      <c r="D316" s="45"/>
      <c r="E316" s="45"/>
      <c r="F316" s="45"/>
      <c r="G316" s="45"/>
      <c r="H316" s="45"/>
      <c r="I316" s="45"/>
      <c r="J316" s="45"/>
      <c r="K316" s="45"/>
      <c r="L316" s="45"/>
      <c r="M316" s="45"/>
      <c r="N316" s="45"/>
      <c r="O316" s="45"/>
      <c r="P316" s="45"/>
      <c r="Q316" s="45"/>
      <c r="R316" s="45"/>
      <c r="S316" s="45"/>
      <c r="T316" s="45"/>
      <c r="U316" s="45"/>
      <c r="V316" s="45"/>
      <c r="W316" s="45"/>
      <c r="X316" s="45"/>
      <c r="Y316" s="45"/>
      <c r="Z316" s="45"/>
      <c r="AA316" s="45"/>
      <c r="AB316" s="45"/>
      <c r="AC316" s="45"/>
      <c r="AD316" s="45"/>
      <c r="AE316" s="45"/>
      <c r="AF316" s="45"/>
      <c r="AG316" s="45"/>
      <c r="AH316" s="45"/>
    </row>
    <row r="317" spans="1:34">
      <c r="A317" s="43" t="s">
        <v>3</v>
      </c>
      <c r="B317" s="47">
        <v>1</v>
      </c>
      <c r="C317" s="44"/>
      <c r="D317" s="48"/>
      <c r="E317" s="45"/>
      <c r="F317" s="45"/>
      <c r="G317" s="45"/>
      <c r="H317" s="45"/>
      <c r="I317" s="45"/>
      <c r="J317" s="45"/>
      <c r="K317" s="45"/>
      <c r="L317" s="45"/>
      <c r="M317" s="45"/>
      <c r="N317" s="45"/>
      <c r="O317" s="45"/>
      <c r="P317" s="45"/>
      <c r="Q317" s="45"/>
      <c r="R317" s="45"/>
      <c r="S317" s="45"/>
      <c r="T317" s="45"/>
      <c r="U317" s="45"/>
      <c r="V317" s="45"/>
      <c r="W317" s="45"/>
      <c r="X317" s="45"/>
      <c r="Y317" s="45"/>
      <c r="Z317" s="45"/>
      <c r="AA317" s="45"/>
      <c r="AB317" s="45"/>
      <c r="AC317" s="45"/>
      <c r="AD317" s="45"/>
      <c r="AE317" s="45"/>
      <c r="AF317" s="45"/>
      <c r="AG317" s="45"/>
      <c r="AH317" s="45"/>
    </row>
    <row r="318" spans="1:34">
      <c r="A318" s="43" t="s">
        <v>6</v>
      </c>
      <c r="B318" s="45" t="s">
        <v>128</v>
      </c>
      <c r="C318" s="44"/>
      <c r="D318" s="48"/>
      <c r="E318" s="45"/>
      <c r="F318" s="45"/>
      <c r="G318" s="45"/>
      <c r="H318" s="45"/>
      <c r="I318" s="45"/>
      <c r="J318" s="45"/>
      <c r="K318" s="45"/>
      <c r="L318" s="45"/>
      <c r="M318" s="45"/>
      <c r="N318" s="45"/>
      <c r="O318" s="45"/>
      <c r="P318" s="45"/>
      <c r="Q318" s="45"/>
      <c r="R318" s="45"/>
      <c r="S318" s="45"/>
      <c r="T318" s="45"/>
      <c r="U318" s="45"/>
      <c r="V318" s="45"/>
      <c r="W318" s="45"/>
      <c r="X318" s="45"/>
      <c r="Y318" s="45"/>
      <c r="Z318" s="45"/>
      <c r="AA318" s="45"/>
      <c r="AB318" s="45"/>
      <c r="AC318" s="45"/>
      <c r="AD318" s="45"/>
      <c r="AE318" s="45"/>
      <c r="AF318" s="45"/>
      <c r="AG318" s="45"/>
      <c r="AH318" s="45"/>
    </row>
    <row r="319" spans="1:34">
      <c r="A319" s="43" t="s">
        <v>76</v>
      </c>
      <c r="B319" s="45"/>
      <c r="C319" s="44"/>
      <c r="D319" s="48"/>
      <c r="E319" s="45"/>
      <c r="F319" s="45"/>
      <c r="G319" s="45"/>
      <c r="H319" s="45"/>
      <c r="I319" s="45"/>
      <c r="J319" s="45"/>
      <c r="K319" s="45"/>
      <c r="L319" s="45"/>
      <c r="M319" s="45"/>
      <c r="N319" s="45"/>
      <c r="O319" s="45"/>
      <c r="P319" s="45"/>
      <c r="Q319" s="45"/>
      <c r="R319" s="45"/>
      <c r="S319" s="45"/>
      <c r="T319" s="45"/>
      <c r="U319" s="45"/>
      <c r="V319" s="45"/>
      <c r="W319" s="45"/>
      <c r="X319" s="45"/>
      <c r="Y319" s="45"/>
      <c r="Z319" s="45"/>
      <c r="AA319" s="45"/>
      <c r="AB319" s="45"/>
      <c r="AC319" s="45"/>
      <c r="AD319" s="45"/>
      <c r="AE319" s="45"/>
      <c r="AF319" s="45"/>
      <c r="AG319" s="45"/>
      <c r="AH319" s="45"/>
    </row>
    <row r="320" spans="1:34">
      <c r="A320" s="43" t="s">
        <v>7</v>
      </c>
      <c r="B320" s="45"/>
      <c r="C320" s="44"/>
      <c r="D320" s="45"/>
      <c r="E320" s="45"/>
      <c r="F320" s="45"/>
      <c r="G320" s="45"/>
      <c r="H320" s="45"/>
      <c r="I320" s="45"/>
      <c r="J320" s="45"/>
      <c r="K320" s="45"/>
      <c r="L320" s="45"/>
      <c r="M320" s="45"/>
      <c r="N320" s="45"/>
      <c r="O320" s="45"/>
      <c r="P320" s="45"/>
      <c r="Q320" s="45"/>
      <c r="R320" s="45"/>
      <c r="S320" s="45"/>
      <c r="T320" s="45"/>
      <c r="U320" s="45"/>
      <c r="V320" s="45"/>
      <c r="W320" s="45"/>
      <c r="X320" s="45"/>
      <c r="Y320" s="45"/>
      <c r="Z320" s="45"/>
      <c r="AA320" s="45"/>
      <c r="AB320" s="45"/>
      <c r="AC320" s="45"/>
      <c r="AD320" s="45"/>
      <c r="AE320" s="45"/>
      <c r="AF320" s="45"/>
      <c r="AG320" s="45"/>
      <c r="AH320" s="45"/>
    </row>
    <row r="321" spans="1:34">
      <c r="A321" s="43" t="s">
        <v>8</v>
      </c>
      <c r="B321" s="43" t="s">
        <v>4</v>
      </c>
      <c r="C321" s="49" t="s">
        <v>9</v>
      </c>
      <c r="D321" s="43" t="s">
        <v>6</v>
      </c>
      <c r="E321" s="43" t="s">
        <v>106</v>
      </c>
      <c r="F321" s="43" t="s">
        <v>10</v>
      </c>
      <c r="G321" s="43" t="s">
        <v>2</v>
      </c>
      <c r="H321" s="43" t="s">
        <v>5</v>
      </c>
      <c r="I321" s="43" t="s">
        <v>11</v>
      </c>
      <c r="J321" s="45"/>
      <c r="K321" s="45"/>
      <c r="L321" s="45"/>
      <c r="M321" s="45"/>
      <c r="N321" s="45"/>
      <c r="O321" s="45"/>
      <c r="P321" s="45"/>
      <c r="Q321" s="45"/>
      <c r="R321" s="45"/>
      <c r="S321" s="45"/>
      <c r="T321" s="45"/>
      <c r="U321" s="45"/>
      <c r="V321" s="45"/>
      <c r="W321" s="45"/>
      <c r="X321" s="45"/>
      <c r="Y321" s="45"/>
      <c r="Z321" s="45"/>
      <c r="AA321" s="45"/>
      <c r="AB321" s="45"/>
      <c r="AC321" s="45"/>
      <c r="AD321" s="45"/>
      <c r="AE321" s="45"/>
      <c r="AF321" s="45"/>
      <c r="AG321" s="45"/>
      <c r="AH321" s="45"/>
    </row>
    <row r="322" spans="1:34">
      <c r="A322" s="50" t="s">
        <v>238</v>
      </c>
      <c r="B322" s="50" t="s">
        <v>197</v>
      </c>
      <c r="C322" s="51">
        <v>1</v>
      </c>
      <c r="D322" s="45" t="s">
        <v>128</v>
      </c>
      <c r="E322" s="50" t="s">
        <v>198</v>
      </c>
      <c r="F322" s="50"/>
      <c r="G322" s="50" t="s">
        <v>29</v>
      </c>
      <c r="H322" s="50" t="s">
        <v>18</v>
      </c>
      <c r="I322" s="50"/>
      <c r="J322" s="50"/>
      <c r="K322" s="50"/>
      <c r="L322" s="45"/>
      <c r="M322" s="45"/>
      <c r="N322" s="45"/>
      <c r="O322" s="45"/>
      <c r="P322" s="45"/>
      <c r="Q322" s="45"/>
      <c r="R322" s="45"/>
      <c r="S322" s="45"/>
      <c r="T322" s="45"/>
      <c r="U322" s="45"/>
      <c r="V322" s="45"/>
      <c r="W322" s="45"/>
      <c r="X322" s="45"/>
      <c r="Y322" s="45"/>
      <c r="Z322" s="45"/>
      <c r="AA322" s="45"/>
      <c r="AB322" s="45"/>
      <c r="AC322" s="45"/>
      <c r="AD322" s="45"/>
      <c r="AE322" s="45"/>
      <c r="AF322" s="45"/>
      <c r="AG322" s="45"/>
      <c r="AH322" s="45"/>
    </row>
    <row r="323" spans="1:34">
      <c r="A323" s="45" t="s">
        <v>239</v>
      </c>
      <c r="B323" s="45" t="s">
        <v>240</v>
      </c>
      <c r="C323" s="51">
        <v>12.2842813266157</v>
      </c>
      <c r="D323" s="45" t="s">
        <v>13</v>
      </c>
      <c r="E323" s="50" t="s">
        <v>198</v>
      </c>
      <c r="F323" s="45"/>
      <c r="G323" s="50" t="s">
        <v>29</v>
      </c>
      <c r="H323" s="45" t="s">
        <v>12</v>
      </c>
      <c r="I323" s="50" t="s">
        <v>228</v>
      </c>
      <c r="J323" s="45"/>
      <c r="K323" s="50"/>
      <c r="L323" s="45"/>
      <c r="M323" s="45"/>
      <c r="N323" s="45"/>
      <c r="O323" s="45"/>
      <c r="P323" s="45"/>
      <c r="Q323" s="45"/>
      <c r="R323" s="45"/>
      <c r="S323" s="45"/>
      <c r="T323" s="45"/>
      <c r="U323" s="45"/>
      <c r="V323" s="45"/>
      <c r="W323" s="45"/>
      <c r="X323" s="45"/>
      <c r="Y323" s="45"/>
      <c r="Z323" s="45"/>
      <c r="AA323" s="45"/>
      <c r="AB323" s="45"/>
      <c r="AC323" s="45"/>
      <c r="AD323" s="45"/>
      <c r="AE323" s="45"/>
      <c r="AF323" s="45"/>
      <c r="AG323" s="45"/>
      <c r="AH323" s="45"/>
    </row>
    <row r="324" spans="1:34">
      <c r="A324" s="50" t="s">
        <v>28</v>
      </c>
      <c r="B324" s="50" t="s">
        <v>20</v>
      </c>
      <c r="C324" s="51">
        <v>0.14683967094502717</v>
      </c>
      <c r="D324" s="45" t="s">
        <v>19</v>
      </c>
      <c r="E324" s="50" t="s">
        <v>211</v>
      </c>
      <c r="F324" s="50"/>
      <c r="G324" s="50" t="s">
        <v>29</v>
      </c>
      <c r="H324" s="50" t="s">
        <v>12</v>
      </c>
      <c r="I324" s="50"/>
      <c r="J324" s="50"/>
    </row>
    <row r="325" spans="1:34">
      <c r="A325" s="45" t="s">
        <v>212</v>
      </c>
      <c r="B325" s="50" t="s">
        <v>213</v>
      </c>
      <c r="C325" s="44">
        <v>3.361361524898938E-7</v>
      </c>
      <c r="D325" s="45" t="s">
        <v>6</v>
      </c>
      <c r="E325" s="50" t="s">
        <v>211</v>
      </c>
      <c r="F325" s="50"/>
      <c r="G325" s="50" t="s">
        <v>214</v>
      </c>
      <c r="H325" s="50" t="s">
        <v>12</v>
      </c>
      <c r="I325" s="53"/>
      <c r="J325" s="50"/>
    </row>
    <row r="326" spans="1:34">
      <c r="A326" s="50" t="s">
        <v>215</v>
      </c>
      <c r="B326" s="50" t="s">
        <v>216</v>
      </c>
      <c r="C326" s="44">
        <v>1.2722551287207543E-6</v>
      </c>
      <c r="D326" s="45" t="s">
        <v>6</v>
      </c>
      <c r="E326" s="50" t="s">
        <v>211</v>
      </c>
      <c r="F326" s="50"/>
      <c r="G326" s="50" t="s">
        <v>140</v>
      </c>
      <c r="H326" s="50" t="s">
        <v>12</v>
      </c>
      <c r="I326" s="50" t="s">
        <v>229</v>
      </c>
      <c r="J326" s="50"/>
    </row>
    <row r="327" spans="1:34">
      <c r="A327" s="44" t="s">
        <v>199</v>
      </c>
      <c r="B327" s="45"/>
      <c r="C327" s="51">
        <v>2.3281445513202397</v>
      </c>
      <c r="D327" s="45" t="s">
        <v>13</v>
      </c>
      <c r="E327" s="45" t="s">
        <v>109</v>
      </c>
      <c r="F327" s="45" t="s">
        <v>200</v>
      </c>
      <c r="G327" s="45"/>
      <c r="H327" s="45" t="s">
        <v>15</v>
      </c>
      <c r="I327" s="45" t="s">
        <v>217</v>
      </c>
    </row>
    <row r="328" spans="1:34">
      <c r="A328" s="50" t="s">
        <v>218</v>
      </c>
      <c r="B328" s="54"/>
      <c r="C328" s="44">
        <v>0.3198164639983479</v>
      </c>
      <c r="D328" s="45" t="s">
        <v>13</v>
      </c>
      <c r="E328" s="45" t="s">
        <v>109</v>
      </c>
      <c r="F328" s="50" t="s">
        <v>184</v>
      </c>
      <c r="G328" s="50"/>
      <c r="H328" s="45" t="s">
        <v>15</v>
      </c>
      <c r="I328" s="45" t="s">
        <v>219</v>
      </c>
    </row>
    <row r="329" spans="1:34">
      <c r="A329" s="50" t="s">
        <v>185</v>
      </c>
      <c r="B329" s="50"/>
      <c r="C329" s="44">
        <v>3.2111736672032598E-2</v>
      </c>
      <c r="D329" s="45" t="s">
        <v>13</v>
      </c>
      <c r="E329" s="45" t="s">
        <v>109</v>
      </c>
      <c r="F329" s="50" t="s">
        <v>184</v>
      </c>
      <c r="G329" s="50"/>
      <c r="H329" s="45" t="s">
        <v>15</v>
      </c>
      <c r="I329" s="45" t="s">
        <v>219</v>
      </c>
    </row>
    <row r="330" spans="1:34">
      <c r="A330" s="50" t="s">
        <v>220</v>
      </c>
      <c r="B330" s="50"/>
      <c r="C330" s="44">
        <v>1.2953122335999999E-4</v>
      </c>
      <c r="D330" s="45" t="s">
        <v>13</v>
      </c>
      <c r="E330" s="45" t="s">
        <v>109</v>
      </c>
      <c r="F330" s="50" t="s">
        <v>184</v>
      </c>
      <c r="G330" s="50"/>
      <c r="H330" s="45" t="s">
        <v>15</v>
      </c>
      <c r="I330" s="45" t="s">
        <v>221</v>
      </c>
      <c r="J330" s="50"/>
    </row>
    <row r="331" spans="1:34">
      <c r="A331" s="50" t="s">
        <v>115</v>
      </c>
      <c r="B331" s="50"/>
      <c r="C331" s="44">
        <v>6.7461409042999994E-6</v>
      </c>
      <c r="D331" s="45" t="s">
        <v>13</v>
      </c>
      <c r="E331" s="45" t="s">
        <v>109</v>
      </c>
      <c r="F331" s="50" t="s">
        <v>184</v>
      </c>
      <c r="G331" s="50"/>
      <c r="H331" s="45" t="s">
        <v>15</v>
      </c>
      <c r="I331" s="45" t="s">
        <v>221</v>
      </c>
      <c r="J331" s="50"/>
    </row>
    <row r="332" spans="1:34">
      <c r="A332" s="50" t="s">
        <v>119</v>
      </c>
      <c r="B332" s="50"/>
      <c r="C332" s="44">
        <v>4.0476133193999995E-5</v>
      </c>
      <c r="D332" s="45" t="s">
        <v>13</v>
      </c>
      <c r="E332" s="45" t="s">
        <v>109</v>
      </c>
      <c r="F332" s="50" t="s">
        <v>184</v>
      </c>
      <c r="G332" s="50"/>
      <c r="H332" s="45" t="s">
        <v>15</v>
      </c>
      <c r="I332" s="45" t="s">
        <v>221</v>
      </c>
      <c r="J332" s="50"/>
    </row>
    <row r="333" spans="1:34">
      <c r="A333" s="50" t="s">
        <v>125</v>
      </c>
      <c r="B333" s="50"/>
      <c r="C333" s="44">
        <v>6.7461409043000002E-5</v>
      </c>
      <c r="D333" s="45" t="s">
        <v>13</v>
      </c>
      <c r="E333" s="45" t="s">
        <v>109</v>
      </c>
      <c r="F333" s="50" t="s">
        <v>184</v>
      </c>
      <c r="G333" s="50"/>
      <c r="H333" s="45" t="s">
        <v>15</v>
      </c>
      <c r="I333" s="45" t="s">
        <v>221</v>
      </c>
      <c r="J333" s="50"/>
    </row>
    <row r="334" spans="1:34">
      <c r="A334" s="50" t="s">
        <v>222</v>
      </c>
      <c r="B334" s="50"/>
      <c r="C334" s="44">
        <v>5.3969364644999994E-6</v>
      </c>
      <c r="D334" s="45" t="s">
        <v>13</v>
      </c>
      <c r="E334" s="45" t="s">
        <v>109</v>
      </c>
      <c r="F334" s="50" t="s">
        <v>184</v>
      </c>
      <c r="G334" s="50"/>
      <c r="H334" s="45" t="s">
        <v>15</v>
      </c>
      <c r="I334" s="45" t="s">
        <v>221</v>
      </c>
      <c r="J334" s="50"/>
    </row>
    <row r="335" spans="1:34">
      <c r="A335" s="50" t="s">
        <v>223</v>
      </c>
      <c r="B335" s="50"/>
      <c r="C335" s="44">
        <v>1.8889574388999996E-11</v>
      </c>
      <c r="D335" s="45" t="s">
        <v>13</v>
      </c>
      <c r="E335" s="45" t="s">
        <v>109</v>
      </c>
      <c r="F335" s="50" t="s">
        <v>184</v>
      </c>
      <c r="G335" s="50"/>
      <c r="H335" s="45" t="s">
        <v>15</v>
      </c>
      <c r="I335" s="45" t="s">
        <v>221</v>
      </c>
      <c r="J335" s="50"/>
    </row>
    <row r="336" spans="1:34">
      <c r="A336" s="41"/>
      <c r="B336" s="41"/>
      <c r="C336" s="42"/>
      <c r="D336" s="41"/>
      <c r="E336" s="41"/>
      <c r="F336" s="41"/>
      <c r="G336" s="41"/>
      <c r="H336" s="41"/>
      <c r="I336" s="41"/>
      <c r="J336" s="41"/>
      <c r="K336" s="41"/>
      <c r="L336" s="41"/>
      <c r="M336" s="41"/>
      <c r="N336" s="41"/>
      <c r="O336" s="41"/>
      <c r="P336" s="41"/>
      <c r="Q336" s="41"/>
      <c r="R336" s="41"/>
      <c r="S336" s="41"/>
      <c r="T336" s="41"/>
      <c r="U336" s="41"/>
      <c r="V336" s="41"/>
      <c r="W336" s="41"/>
      <c r="X336" s="41"/>
      <c r="Y336" s="41"/>
      <c r="Z336" s="41"/>
      <c r="AA336" s="41"/>
      <c r="AB336" s="41"/>
      <c r="AC336" s="41"/>
      <c r="AD336" s="41"/>
      <c r="AE336" s="41"/>
      <c r="AF336" s="41"/>
      <c r="AG336" s="41"/>
      <c r="AH336" s="41"/>
    </row>
    <row r="337" spans="1:34">
      <c r="A337" s="43" t="s">
        <v>1</v>
      </c>
      <c r="B337" s="43" t="s">
        <v>236</v>
      </c>
      <c r="C337" s="44"/>
      <c r="D337" s="45"/>
      <c r="E337" s="45"/>
      <c r="F337" s="45"/>
      <c r="G337" s="45"/>
      <c r="H337" s="45"/>
      <c r="I337" s="45"/>
    </row>
    <row r="338" spans="1:34">
      <c r="A338" s="43" t="s">
        <v>11</v>
      </c>
      <c r="B338" s="45" t="s">
        <v>241</v>
      </c>
      <c r="C338" s="44"/>
      <c r="D338" s="45"/>
      <c r="E338" s="45"/>
      <c r="F338" s="45"/>
      <c r="G338" s="45"/>
      <c r="H338" s="45"/>
      <c r="I338" s="45"/>
    </row>
    <row r="339" spans="1:34">
      <c r="A339" s="43" t="s">
        <v>2</v>
      </c>
      <c r="B339" s="45" t="s">
        <v>29</v>
      </c>
      <c r="C339" s="44"/>
      <c r="D339" s="45"/>
      <c r="E339" s="45"/>
      <c r="F339" s="45"/>
      <c r="G339" s="45"/>
      <c r="H339" s="45"/>
      <c r="I339" s="45"/>
    </row>
    <row r="340" spans="1:34">
      <c r="A340" s="46" t="s">
        <v>4</v>
      </c>
      <c r="B340" s="50" t="s">
        <v>237</v>
      </c>
      <c r="C340" s="44"/>
      <c r="D340" s="45"/>
      <c r="E340" s="45"/>
      <c r="F340" s="45"/>
      <c r="G340" s="45"/>
      <c r="H340" s="45"/>
      <c r="I340" s="45"/>
    </row>
    <row r="341" spans="1:34">
      <c r="A341" s="43" t="s">
        <v>3</v>
      </c>
      <c r="B341" s="47">
        <v>1</v>
      </c>
      <c r="C341" s="44"/>
      <c r="D341" s="48"/>
      <c r="E341" s="45"/>
      <c r="F341" s="45"/>
      <c r="G341" s="45"/>
      <c r="H341" s="45"/>
      <c r="I341" s="45"/>
    </row>
    <row r="342" spans="1:34">
      <c r="A342" s="43" t="s">
        <v>6</v>
      </c>
      <c r="B342" s="45" t="s">
        <v>13</v>
      </c>
      <c r="C342" s="44"/>
      <c r="D342" s="48"/>
      <c r="E342" s="45"/>
      <c r="F342" s="45"/>
      <c r="G342" s="45"/>
      <c r="H342" s="45"/>
      <c r="I342" s="45"/>
    </row>
    <row r="343" spans="1:34">
      <c r="A343" s="43" t="s">
        <v>76</v>
      </c>
      <c r="B343" s="45"/>
      <c r="C343" s="44"/>
      <c r="E343" s="45"/>
      <c r="F343" s="45"/>
      <c r="G343" s="45"/>
      <c r="H343" s="45"/>
      <c r="I343" s="45"/>
    </row>
    <row r="344" spans="1:34">
      <c r="A344" s="43" t="s">
        <v>7</v>
      </c>
      <c r="B344" s="45"/>
      <c r="C344" s="44"/>
      <c r="D344" s="45"/>
      <c r="E344" s="45"/>
      <c r="F344" s="45"/>
      <c r="G344" s="45"/>
      <c r="H344" s="45"/>
      <c r="I344" s="45"/>
    </row>
    <row r="345" spans="1:34">
      <c r="A345" s="43" t="s">
        <v>8</v>
      </c>
      <c r="B345" s="43" t="s">
        <v>4</v>
      </c>
      <c r="C345" s="49" t="s">
        <v>9</v>
      </c>
      <c r="D345" s="43" t="s">
        <v>6</v>
      </c>
      <c r="E345" s="43" t="s">
        <v>106</v>
      </c>
      <c r="F345" s="43" t="s">
        <v>10</v>
      </c>
      <c r="G345" s="43" t="s">
        <v>2</v>
      </c>
      <c r="H345" s="43" t="s">
        <v>5</v>
      </c>
      <c r="I345" s="43" t="s">
        <v>11</v>
      </c>
    </row>
    <row r="346" spans="1:34">
      <c r="A346" s="50" t="s">
        <v>236</v>
      </c>
      <c r="B346" s="50" t="s">
        <v>237</v>
      </c>
      <c r="C346" s="51">
        <v>1</v>
      </c>
      <c r="D346" s="45" t="s">
        <v>13</v>
      </c>
      <c r="E346" s="50"/>
      <c r="F346" s="50"/>
      <c r="G346" s="50" t="s">
        <v>29</v>
      </c>
      <c r="H346" s="50" t="s">
        <v>18</v>
      </c>
      <c r="I346" s="50"/>
    </row>
    <row r="347" spans="1:34">
      <c r="A347" s="50" t="s">
        <v>242</v>
      </c>
      <c r="B347" s="50" t="s">
        <v>243</v>
      </c>
      <c r="C347" s="51">
        <v>0.01</v>
      </c>
      <c r="D347" s="45" t="s">
        <v>244</v>
      </c>
      <c r="E347" s="50" t="s">
        <v>211</v>
      </c>
      <c r="F347" s="50"/>
      <c r="G347" s="50" t="s">
        <v>49</v>
      </c>
      <c r="H347" s="50" t="s">
        <v>12</v>
      </c>
      <c r="I347" s="50" t="s">
        <v>316</v>
      </c>
    </row>
    <row r="348" spans="1:34">
      <c r="A348" t="s">
        <v>400</v>
      </c>
      <c r="B348" t="s">
        <v>317</v>
      </c>
      <c r="C348" s="51">
        <v>1</v>
      </c>
      <c r="D348" s="45" t="s">
        <v>13</v>
      </c>
      <c r="E348" s="50"/>
      <c r="F348" s="50"/>
      <c r="G348" s="50" t="s">
        <v>49</v>
      </c>
      <c r="H348" s="50" t="s">
        <v>12</v>
      </c>
      <c r="I348" s="50"/>
    </row>
    <row r="349" spans="1:34">
      <c r="A349" s="41"/>
      <c r="B349" s="41"/>
      <c r="C349" s="42"/>
      <c r="D349" s="41"/>
      <c r="E349" s="41"/>
      <c r="F349" s="41"/>
      <c r="G349" s="41"/>
      <c r="H349" s="41"/>
      <c r="I349" s="41"/>
      <c r="J349" s="41"/>
      <c r="K349" s="41"/>
      <c r="L349" s="41"/>
      <c r="M349" s="41"/>
      <c r="N349" s="41"/>
      <c r="O349" s="41"/>
      <c r="P349" s="41"/>
      <c r="Q349" s="41"/>
      <c r="R349" s="41"/>
      <c r="S349" s="41"/>
      <c r="T349" s="41"/>
      <c r="U349" s="41"/>
      <c r="V349" s="41"/>
      <c r="W349" s="41"/>
      <c r="X349" s="41"/>
      <c r="Y349" s="41"/>
      <c r="Z349" s="41"/>
      <c r="AA349" s="41"/>
      <c r="AB349" s="41"/>
      <c r="AC349" s="41"/>
      <c r="AD349" s="41"/>
      <c r="AE349" s="41"/>
      <c r="AF349" s="41"/>
      <c r="AG349" s="41"/>
      <c r="AH349" s="41"/>
    </row>
    <row r="350" spans="1:34">
      <c r="A350" s="43" t="s">
        <v>1</v>
      </c>
      <c r="B350" s="43" t="s">
        <v>239</v>
      </c>
      <c r="C350" s="44"/>
      <c r="D350" s="45"/>
      <c r="E350" s="45"/>
      <c r="F350" s="45"/>
      <c r="G350" s="45"/>
      <c r="H350" s="45"/>
      <c r="I350" s="45"/>
    </row>
    <row r="351" spans="1:34">
      <c r="A351" s="43" t="s">
        <v>11</v>
      </c>
      <c r="B351" s="45" t="s">
        <v>241</v>
      </c>
      <c r="C351" s="44"/>
      <c r="D351" s="45"/>
      <c r="E351" s="45"/>
      <c r="F351" s="45"/>
      <c r="G351" s="45"/>
      <c r="H351" s="45"/>
      <c r="I351" s="45"/>
    </row>
    <row r="352" spans="1:34">
      <c r="A352" s="43" t="s">
        <v>2</v>
      </c>
      <c r="B352" s="45" t="s">
        <v>29</v>
      </c>
      <c r="C352" s="44"/>
      <c r="D352" s="45"/>
      <c r="E352" s="45"/>
      <c r="F352" s="45"/>
      <c r="G352" s="45"/>
      <c r="H352" s="45"/>
      <c r="I352" s="45"/>
    </row>
    <row r="353" spans="1:34">
      <c r="A353" s="46" t="s">
        <v>4</v>
      </c>
      <c r="B353" s="45" t="s">
        <v>240</v>
      </c>
      <c r="C353" s="44"/>
      <c r="D353" s="45"/>
      <c r="E353" s="45"/>
      <c r="F353" s="45"/>
      <c r="G353" s="45"/>
      <c r="H353" s="45"/>
      <c r="I353" s="45"/>
    </row>
    <row r="354" spans="1:34">
      <c r="A354" s="43" t="s">
        <v>3</v>
      </c>
      <c r="B354" s="47">
        <v>1</v>
      </c>
      <c r="C354" s="44"/>
      <c r="D354" s="48"/>
      <c r="E354" s="45"/>
      <c r="F354" s="45"/>
      <c r="G354" s="45"/>
      <c r="H354" s="45"/>
      <c r="I354" s="45"/>
    </row>
    <row r="355" spans="1:34">
      <c r="A355" s="43" t="s">
        <v>6</v>
      </c>
      <c r="B355" s="45" t="s">
        <v>13</v>
      </c>
      <c r="C355" s="44"/>
      <c r="D355" s="48"/>
      <c r="E355" s="45"/>
      <c r="F355" s="45"/>
      <c r="G355" s="45"/>
      <c r="H355" s="45"/>
      <c r="I355" s="45"/>
    </row>
    <row r="356" spans="1:34">
      <c r="A356" s="43" t="s">
        <v>76</v>
      </c>
      <c r="B356" s="45"/>
      <c r="C356" s="44"/>
      <c r="D356" s="48"/>
      <c r="E356" s="45"/>
      <c r="F356" s="45"/>
      <c r="G356" s="45"/>
      <c r="H356" s="45"/>
      <c r="I356" s="45"/>
    </row>
    <row r="357" spans="1:34">
      <c r="A357" s="43" t="s">
        <v>7</v>
      </c>
      <c r="B357" s="45"/>
      <c r="C357" s="44"/>
      <c r="D357" s="45"/>
      <c r="E357" s="45"/>
      <c r="F357" s="45"/>
      <c r="G357" s="45"/>
      <c r="H357" s="45"/>
      <c r="I357" s="45"/>
    </row>
    <row r="358" spans="1:34">
      <c r="A358" s="43" t="s">
        <v>8</v>
      </c>
      <c r="B358" s="43" t="s">
        <v>4</v>
      </c>
      <c r="C358" s="49" t="s">
        <v>9</v>
      </c>
      <c r="D358" s="43" t="s">
        <v>6</v>
      </c>
      <c r="E358" s="43" t="s">
        <v>106</v>
      </c>
      <c r="F358" s="43" t="s">
        <v>10</v>
      </c>
      <c r="G358" s="43" t="s">
        <v>2</v>
      </c>
      <c r="H358" s="43" t="s">
        <v>5</v>
      </c>
      <c r="I358" s="43" t="s">
        <v>11</v>
      </c>
    </row>
    <row r="359" spans="1:34">
      <c r="A359" s="50" t="s">
        <v>239</v>
      </c>
      <c r="B359" s="50" t="s">
        <v>245</v>
      </c>
      <c r="C359" s="51">
        <v>1</v>
      </c>
      <c r="D359" s="45" t="s">
        <v>13</v>
      </c>
      <c r="E359" s="50" t="s">
        <v>198</v>
      </c>
      <c r="F359" s="50"/>
      <c r="G359" s="50" t="s">
        <v>29</v>
      </c>
      <c r="H359" s="50" t="s">
        <v>18</v>
      </c>
      <c r="I359" s="50"/>
    </row>
    <row r="360" spans="1:34">
      <c r="A360" s="50" t="s">
        <v>242</v>
      </c>
      <c r="B360" s="50" t="s">
        <v>243</v>
      </c>
      <c r="C360" s="51">
        <v>0.01</v>
      </c>
      <c r="D360" s="45" t="s">
        <v>244</v>
      </c>
      <c r="E360" s="50" t="s">
        <v>211</v>
      </c>
      <c r="F360" s="50"/>
      <c r="G360" s="50" t="s">
        <v>49</v>
      </c>
      <c r="H360" s="50" t="s">
        <v>12</v>
      </c>
      <c r="I360" s="50" t="s">
        <v>316</v>
      </c>
    </row>
    <row r="361" spans="1:34">
      <c r="A361" s="50" t="s">
        <v>45</v>
      </c>
      <c r="B361" s="50" t="s">
        <v>43</v>
      </c>
      <c r="C361" s="51">
        <v>3.7599999999999999E-3</v>
      </c>
      <c r="D361" s="45" t="s">
        <v>19</v>
      </c>
      <c r="E361" s="50" t="s">
        <v>211</v>
      </c>
      <c r="F361" s="50"/>
      <c r="G361" s="50" t="s">
        <v>29</v>
      </c>
      <c r="H361" s="50" t="s">
        <v>12</v>
      </c>
      <c r="I361" s="50" t="s">
        <v>296</v>
      </c>
    </row>
    <row r="362" spans="1:34">
      <c r="A362" s="50" t="s">
        <v>294</v>
      </c>
      <c r="B362" s="50" t="s">
        <v>293</v>
      </c>
      <c r="C362" s="51">
        <v>8.4999999999999995E-4</v>
      </c>
      <c r="D362" s="45" t="s">
        <v>13</v>
      </c>
      <c r="E362" s="50" t="s">
        <v>211</v>
      </c>
      <c r="F362" s="50"/>
      <c r="G362" s="50" t="s">
        <v>49</v>
      </c>
      <c r="H362" s="50" t="s">
        <v>12</v>
      </c>
      <c r="I362" s="50" t="s">
        <v>296</v>
      </c>
    </row>
    <row r="363" spans="1:34">
      <c r="A363" s="41"/>
      <c r="B363" s="41"/>
      <c r="C363" s="42"/>
      <c r="D363" s="41"/>
      <c r="E363" s="41"/>
      <c r="F363" s="41"/>
      <c r="G363" s="41"/>
      <c r="H363" s="41"/>
      <c r="I363" s="41"/>
      <c r="J363" s="41"/>
      <c r="K363" s="41"/>
      <c r="L363" s="41"/>
      <c r="M363" s="41"/>
      <c r="N363" s="41"/>
      <c r="O363" s="41"/>
      <c r="P363" s="41"/>
      <c r="Q363" s="41"/>
      <c r="R363" s="41"/>
      <c r="S363" s="41"/>
      <c r="T363" s="41"/>
      <c r="U363" s="41"/>
      <c r="V363" s="41"/>
      <c r="W363" s="41"/>
      <c r="X363" s="41"/>
      <c r="Y363" s="41"/>
      <c r="Z363" s="41"/>
      <c r="AA363" s="41"/>
      <c r="AB363" s="41"/>
      <c r="AC363" s="41"/>
      <c r="AD363" s="41"/>
      <c r="AE363" s="41"/>
      <c r="AF363" s="41"/>
      <c r="AG363" s="41"/>
      <c r="AH363" s="41"/>
    </row>
    <row r="364" spans="1:34">
      <c r="A364" s="43" t="s">
        <v>1</v>
      </c>
      <c r="B364" s="43" t="s">
        <v>208</v>
      </c>
      <c r="C364" s="44"/>
      <c r="D364" s="45"/>
      <c r="E364" s="45"/>
      <c r="F364" s="45"/>
      <c r="G364" s="45"/>
      <c r="H364" s="45"/>
      <c r="I364" s="45"/>
    </row>
    <row r="365" spans="1:34">
      <c r="A365" s="43" t="s">
        <v>11</v>
      </c>
      <c r="B365" s="45" t="s">
        <v>299</v>
      </c>
      <c r="C365" s="44"/>
      <c r="D365" s="45"/>
      <c r="E365" s="45"/>
      <c r="F365" s="45"/>
      <c r="G365" s="45"/>
      <c r="H365" s="45"/>
      <c r="I365" s="45"/>
    </row>
    <row r="366" spans="1:34">
      <c r="A366" s="43" t="s">
        <v>2</v>
      </c>
      <c r="B366" s="45" t="s">
        <v>29</v>
      </c>
      <c r="C366" s="44"/>
      <c r="D366" s="45"/>
      <c r="E366" s="45"/>
      <c r="F366" s="45"/>
      <c r="G366" s="45"/>
      <c r="H366" s="45"/>
      <c r="I366" s="45"/>
    </row>
    <row r="367" spans="1:34">
      <c r="A367" s="46" t="s">
        <v>4</v>
      </c>
      <c r="B367" s="45" t="s">
        <v>209</v>
      </c>
      <c r="C367" s="44"/>
      <c r="D367" s="45"/>
      <c r="E367" s="45"/>
      <c r="F367" s="45"/>
      <c r="G367" s="45"/>
      <c r="H367" s="45"/>
      <c r="I367" s="45"/>
    </row>
    <row r="368" spans="1:34">
      <c r="A368" s="43" t="s">
        <v>3</v>
      </c>
      <c r="B368" s="47">
        <v>1</v>
      </c>
      <c r="C368" s="44"/>
      <c r="D368" s="48"/>
      <c r="E368" s="45"/>
      <c r="F368" s="45"/>
      <c r="G368" s="45"/>
      <c r="H368" s="45"/>
      <c r="I368" s="45"/>
    </row>
    <row r="369" spans="1:34">
      <c r="A369" s="43" t="s">
        <v>6</v>
      </c>
      <c r="B369" s="45" t="s">
        <v>13</v>
      </c>
      <c r="C369" s="44"/>
      <c r="D369" s="48"/>
      <c r="E369" s="45"/>
      <c r="F369" s="45"/>
      <c r="G369" s="45"/>
      <c r="H369" s="45"/>
      <c r="I369" s="45"/>
    </row>
    <row r="370" spans="1:34">
      <c r="A370" s="43" t="s">
        <v>76</v>
      </c>
      <c r="B370" s="45" t="s">
        <v>298</v>
      </c>
      <c r="C370" s="44"/>
      <c r="D370" s="48"/>
      <c r="E370" s="45"/>
      <c r="F370" s="45"/>
      <c r="G370" s="45"/>
      <c r="H370" s="45"/>
      <c r="I370" s="45"/>
    </row>
    <row r="371" spans="1:34">
      <c r="A371" s="43" t="s">
        <v>7</v>
      </c>
      <c r="B371" s="45"/>
      <c r="C371" s="44"/>
      <c r="D371" s="45"/>
      <c r="E371" s="45"/>
      <c r="F371" s="45"/>
      <c r="G371" s="45"/>
      <c r="H371" s="45"/>
      <c r="I371" s="45"/>
    </row>
    <row r="372" spans="1:34">
      <c r="A372" s="43" t="s">
        <v>8</v>
      </c>
      <c r="B372" s="43" t="s">
        <v>4</v>
      </c>
      <c r="C372" s="49" t="s">
        <v>9</v>
      </c>
      <c r="D372" s="43" t="s">
        <v>6</v>
      </c>
      <c r="E372" s="43" t="s">
        <v>106</v>
      </c>
      <c r="F372" s="43" t="s">
        <v>10</v>
      </c>
      <c r="G372" s="43" t="s">
        <v>2</v>
      </c>
      <c r="H372" s="43" t="s">
        <v>5</v>
      </c>
      <c r="I372" s="43" t="s">
        <v>11</v>
      </c>
    </row>
    <row r="373" spans="1:34">
      <c r="A373" s="50" t="s">
        <v>208</v>
      </c>
      <c r="B373" s="50" t="s">
        <v>209</v>
      </c>
      <c r="C373" s="51">
        <v>1</v>
      </c>
      <c r="D373" s="45" t="s">
        <v>13</v>
      </c>
      <c r="E373" s="50" t="s">
        <v>198</v>
      </c>
      <c r="F373" s="50"/>
      <c r="G373" s="50" t="s">
        <v>29</v>
      </c>
      <c r="H373" s="50" t="s">
        <v>18</v>
      </c>
      <c r="I373" s="50"/>
    </row>
    <row r="374" spans="1:34">
      <c r="A374" s="50" t="s">
        <v>242</v>
      </c>
      <c r="B374" s="50" t="s">
        <v>243</v>
      </c>
      <c r="C374" s="51">
        <v>0.01</v>
      </c>
      <c r="D374" s="45" t="s">
        <v>244</v>
      </c>
      <c r="E374" s="50" t="s">
        <v>211</v>
      </c>
      <c r="F374" s="50"/>
      <c r="G374" s="50" t="s">
        <v>49</v>
      </c>
      <c r="H374" s="50" t="s">
        <v>12</v>
      </c>
      <c r="I374" s="50" t="s">
        <v>316</v>
      </c>
    </row>
    <row r="375" spans="1:34">
      <c r="A375" s="41"/>
      <c r="B375" s="41"/>
      <c r="C375" s="42"/>
      <c r="D375" s="41"/>
      <c r="E375" s="41"/>
      <c r="F375" s="41"/>
      <c r="G375" s="41"/>
      <c r="H375" s="41"/>
      <c r="I375" s="41"/>
      <c r="J375" s="41"/>
      <c r="K375" s="41"/>
      <c r="L375" s="41"/>
      <c r="M375" s="41"/>
      <c r="N375" s="41"/>
      <c r="O375" s="41"/>
      <c r="P375" s="41"/>
      <c r="Q375" s="41"/>
      <c r="R375" s="41"/>
      <c r="S375" s="41"/>
      <c r="T375" s="41"/>
      <c r="U375" s="41"/>
      <c r="V375" s="41"/>
      <c r="W375" s="41"/>
      <c r="X375" s="41"/>
      <c r="Y375" s="41"/>
      <c r="Z375" s="41"/>
      <c r="AA375" s="41"/>
      <c r="AB375" s="41"/>
      <c r="AC375" s="41"/>
      <c r="AD375" s="41"/>
      <c r="AE375" s="41"/>
      <c r="AF375" s="41"/>
      <c r="AG375" s="41"/>
      <c r="AH375" s="41"/>
    </row>
    <row r="376" spans="1:34">
      <c r="A376" s="43" t="s">
        <v>1</v>
      </c>
      <c r="B376" s="43" t="s">
        <v>226</v>
      </c>
      <c r="C376" s="44"/>
      <c r="D376" s="45"/>
      <c r="E376" s="45"/>
      <c r="F376" s="45"/>
      <c r="G376" s="45"/>
      <c r="H376" s="45"/>
      <c r="I376" s="45"/>
      <c r="J376" s="45"/>
      <c r="K376" s="45"/>
      <c r="L376" s="45"/>
      <c r="M376" s="45"/>
      <c r="N376" s="45"/>
      <c r="O376" s="45"/>
      <c r="P376" s="45"/>
      <c r="Q376" s="45"/>
      <c r="R376" s="45"/>
      <c r="S376" s="45"/>
      <c r="T376" s="45"/>
      <c r="U376" s="45"/>
      <c r="V376" s="45"/>
      <c r="W376" s="45"/>
      <c r="X376" s="45"/>
      <c r="Y376" s="45"/>
      <c r="Z376" s="45"/>
      <c r="AA376" s="45"/>
      <c r="AB376" s="45"/>
      <c r="AC376" s="45"/>
      <c r="AD376" s="45"/>
      <c r="AE376" s="45"/>
      <c r="AF376" s="45"/>
      <c r="AG376" s="45"/>
      <c r="AH376" s="45"/>
    </row>
    <row r="377" spans="1:34">
      <c r="A377" s="43" t="s">
        <v>11</v>
      </c>
      <c r="B377" s="45" t="s">
        <v>246</v>
      </c>
      <c r="C377" s="44"/>
      <c r="D377" s="45"/>
      <c r="E377" s="45"/>
      <c r="F377" s="45"/>
      <c r="G377" s="45"/>
      <c r="H377" s="45"/>
      <c r="I377" s="45"/>
      <c r="J377" s="45"/>
      <c r="K377" s="45"/>
      <c r="L377" s="45"/>
      <c r="M377" s="45"/>
      <c r="N377" s="45"/>
      <c r="O377" s="45"/>
      <c r="P377" s="45"/>
      <c r="Q377" s="45"/>
      <c r="R377" s="45"/>
      <c r="S377" s="45"/>
      <c r="T377" s="45"/>
      <c r="U377" s="45"/>
      <c r="V377" s="45"/>
      <c r="W377" s="45"/>
      <c r="X377" s="45"/>
      <c r="Y377" s="45"/>
      <c r="Z377" s="45"/>
      <c r="AA377" s="45"/>
      <c r="AB377" s="45"/>
      <c r="AC377" s="45"/>
      <c r="AD377" s="45"/>
      <c r="AE377" s="45"/>
      <c r="AF377" s="45"/>
      <c r="AG377" s="45"/>
      <c r="AH377" s="45"/>
    </row>
    <row r="378" spans="1:34">
      <c r="A378" s="43" t="s">
        <v>2</v>
      </c>
      <c r="B378" s="45" t="s">
        <v>29</v>
      </c>
      <c r="C378" s="44"/>
      <c r="D378" s="45"/>
      <c r="E378" s="45"/>
      <c r="F378" s="45"/>
      <c r="G378" s="45"/>
      <c r="H378" s="45"/>
      <c r="I378" s="45"/>
      <c r="J378" s="45"/>
      <c r="K378" s="45"/>
      <c r="L378" s="45"/>
      <c r="M378" s="45"/>
      <c r="N378" s="45"/>
      <c r="O378" s="45"/>
      <c r="P378" s="45"/>
      <c r="Q378" s="45"/>
      <c r="R378" s="45"/>
      <c r="S378" s="45"/>
      <c r="T378" s="45"/>
      <c r="U378" s="45"/>
      <c r="V378" s="45"/>
      <c r="W378" s="45"/>
      <c r="X378" s="45"/>
      <c r="Y378" s="45"/>
      <c r="Z378" s="45"/>
      <c r="AA378" s="45"/>
      <c r="AB378" s="45"/>
      <c r="AC378" s="45"/>
      <c r="AD378" s="45"/>
      <c r="AE378" s="45"/>
      <c r="AF378" s="45"/>
      <c r="AG378" s="45"/>
      <c r="AH378" s="45"/>
    </row>
    <row r="379" spans="1:34">
      <c r="A379" s="46" t="s">
        <v>4</v>
      </c>
      <c r="B379" s="45" t="s">
        <v>227</v>
      </c>
      <c r="C379" s="44"/>
      <c r="D379" s="45"/>
      <c r="E379" s="45"/>
      <c r="F379" s="45"/>
      <c r="G379" s="45"/>
      <c r="H379" s="45"/>
      <c r="I379" s="45"/>
      <c r="J379" s="45"/>
      <c r="K379" s="45"/>
      <c r="L379" s="45"/>
      <c r="M379" s="45"/>
      <c r="N379" s="45"/>
      <c r="O379" s="45"/>
      <c r="P379" s="45"/>
      <c r="Q379" s="45"/>
      <c r="R379" s="45"/>
      <c r="S379" s="45"/>
      <c r="T379" s="45"/>
      <c r="U379" s="45"/>
      <c r="V379" s="45"/>
      <c r="W379" s="45"/>
      <c r="X379" s="45"/>
      <c r="Y379" s="45"/>
      <c r="Z379" s="45"/>
      <c r="AA379" s="45"/>
      <c r="AB379" s="45"/>
      <c r="AC379" s="45"/>
      <c r="AD379" s="45"/>
      <c r="AE379" s="45"/>
      <c r="AF379" s="45"/>
      <c r="AG379" s="45"/>
      <c r="AH379" s="45"/>
    </row>
    <row r="380" spans="1:34">
      <c r="A380" s="43" t="s">
        <v>3</v>
      </c>
      <c r="B380" s="47">
        <v>1</v>
      </c>
      <c r="C380" s="44"/>
      <c r="D380" s="48"/>
      <c r="E380" s="45"/>
      <c r="F380" s="45"/>
      <c r="G380" s="45"/>
      <c r="H380" s="45"/>
      <c r="I380" s="45"/>
      <c r="J380" s="45"/>
      <c r="K380" s="45"/>
      <c r="L380" s="45"/>
      <c r="M380" s="45"/>
      <c r="N380" s="45"/>
      <c r="O380" s="45"/>
      <c r="P380" s="45"/>
      <c r="Q380" s="45"/>
      <c r="R380" s="45"/>
      <c r="S380" s="45"/>
      <c r="T380" s="45"/>
      <c r="U380" s="45"/>
      <c r="V380" s="45"/>
      <c r="W380" s="45"/>
      <c r="X380" s="45"/>
      <c r="Y380" s="45"/>
      <c r="Z380" s="45"/>
      <c r="AA380" s="45"/>
      <c r="AB380" s="45"/>
      <c r="AC380" s="45"/>
      <c r="AD380" s="45"/>
      <c r="AE380" s="45"/>
      <c r="AF380" s="45"/>
      <c r="AG380" s="45"/>
      <c r="AH380" s="45"/>
    </row>
    <row r="381" spans="1:34">
      <c r="A381" s="43" t="s">
        <v>6</v>
      </c>
      <c r="B381" s="45" t="s">
        <v>13</v>
      </c>
      <c r="C381" s="44"/>
      <c r="D381" s="48"/>
      <c r="E381" s="45"/>
      <c r="F381" s="45"/>
      <c r="G381" s="45"/>
      <c r="H381" s="45"/>
      <c r="I381" s="45"/>
      <c r="J381" s="45"/>
      <c r="K381" s="45"/>
      <c r="L381" s="45"/>
      <c r="M381" s="45"/>
      <c r="N381" s="45"/>
      <c r="O381" s="45"/>
      <c r="P381" s="45"/>
      <c r="Q381" s="45"/>
      <c r="R381" s="45"/>
      <c r="S381" s="45"/>
      <c r="T381" s="45"/>
      <c r="U381" s="45"/>
      <c r="V381" s="45"/>
      <c r="W381" s="45"/>
      <c r="X381" s="45"/>
      <c r="Y381" s="45"/>
      <c r="Z381" s="45"/>
      <c r="AA381" s="45"/>
      <c r="AB381" s="45"/>
      <c r="AC381" s="45"/>
      <c r="AD381" s="45"/>
      <c r="AE381" s="45"/>
      <c r="AF381" s="45"/>
      <c r="AG381" s="45"/>
      <c r="AH381" s="45"/>
    </row>
    <row r="382" spans="1:34">
      <c r="A382" s="43" t="s">
        <v>76</v>
      </c>
      <c r="B382" s="45" t="s">
        <v>289</v>
      </c>
      <c r="C382" s="44"/>
      <c r="D382" s="48"/>
      <c r="E382" s="45"/>
      <c r="F382" s="45"/>
      <c r="G382" s="45"/>
      <c r="H382" s="45"/>
      <c r="I382" s="45"/>
      <c r="J382" s="45"/>
      <c r="K382" s="45"/>
      <c r="L382" s="45"/>
      <c r="M382" s="45"/>
      <c r="N382" s="45"/>
      <c r="O382" s="45"/>
      <c r="P382" s="45"/>
      <c r="Q382" s="45"/>
      <c r="R382" s="45"/>
      <c r="S382" s="45"/>
      <c r="T382" s="45"/>
      <c r="U382" s="45"/>
      <c r="V382" s="45"/>
      <c r="W382" s="45"/>
      <c r="X382" s="45"/>
      <c r="Y382" s="45"/>
      <c r="Z382" s="45"/>
      <c r="AA382" s="45"/>
      <c r="AB382" s="45"/>
      <c r="AC382" s="45"/>
      <c r="AD382" s="45"/>
      <c r="AE382" s="45"/>
      <c r="AF382" s="45"/>
      <c r="AG382" s="45"/>
      <c r="AH382" s="45"/>
    </row>
    <row r="383" spans="1:34">
      <c r="A383" s="43" t="s">
        <v>7</v>
      </c>
      <c r="B383" s="45"/>
      <c r="C383" s="44"/>
      <c r="D383" s="45"/>
      <c r="E383" s="45"/>
      <c r="F383" s="45"/>
      <c r="G383" s="45"/>
      <c r="H383" s="45"/>
      <c r="I383" s="45"/>
      <c r="J383" s="45"/>
      <c r="K383" s="45"/>
      <c r="L383" s="45"/>
      <c r="M383" s="45"/>
      <c r="N383" s="45"/>
      <c r="O383" s="45"/>
      <c r="P383" s="45"/>
      <c r="Q383" s="45"/>
      <c r="R383" s="45"/>
      <c r="S383" s="45"/>
      <c r="T383" s="45"/>
      <c r="U383" s="45"/>
      <c r="V383" s="45"/>
      <c r="W383" s="45"/>
      <c r="X383" s="45"/>
      <c r="Y383" s="45"/>
      <c r="Z383" s="45"/>
      <c r="AA383" s="45"/>
      <c r="AB383" s="45"/>
      <c r="AC383" s="45"/>
      <c r="AD383" s="45"/>
      <c r="AE383" s="45"/>
      <c r="AF383" s="45"/>
      <c r="AG383" s="45"/>
      <c r="AH383" s="45"/>
    </row>
    <row r="384" spans="1:34">
      <c r="A384" s="43" t="s">
        <v>8</v>
      </c>
      <c r="B384" s="43" t="s">
        <v>4</v>
      </c>
      <c r="C384" s="49" t="s">
        <v>9</v>
      </c>
      <c r="D384" s="43" t="s">
        <v>6</v>
      </c>
      <c r="E384" s="43" t="s">
        <v>106</v>
      </c>
      <c r="F384" s="43" t="s">
        <v>10</v>
      </c>
      <c r="G384" s="43" t="s">
        <v>2</v>
      </c>
      <c r="H384" s="43" t="s">
        <v>5</v>
      </c>
      <c r="I384" s="43" t="s">
        <v>11</v>
      </c>
      <c r="J384" s="45"/>
      <c r="K384" s="45"/>
      <c r="L384" s="45"/>
      <c r="M384" s="45"/>
      <c r="N384" s="45"/>
      <c r="O384" s="45"/>
      <c r="P384" s="45"/>
      <c r="Q384" s="45"/>
      <c r="R384" s="45"/>
      <c r="S384" s="45"/>
      <c r="T384" s="45"/>
      <c r="U384" s="45"/>
      <c r="V384" s="45"/>
      <c r="W384" s="45"/>
      <c r="X384" s="45"/>
      <c r="Y384" s="45"/>
      <c r="Z384" s="45"/>
      <c r="AA384" s="45"/>
      <c r="AB384" s="45"/>
      <c r="AC384" s="45"/>
      <c r="AD384" s="45"/>
      <c r="AE384" s="45"/>
      <c r="AF384" s="45"/>
      <c r="AG384" s="45"/>
      <c r="AH384" s="45"/>
    </row>
    <row r="385" spans="1:34">
      <c r="A385" s="50" t="s">
        <v>226</v>
      </c>
      <c r="B385" s="50" t="s">
        <v>227</v>
      </c>
      <c r="C385" s="51">
        <v>1</v>
      </c>
      <c r="D385" s="45" t="s">
        <v>13</v>
      </c>
      <c r="E385" s="50" t="s">
        <v>198</v>
      </c>
      <c r="F385" s="50"/>
      <c r="G385" s="50" t="s">
        <v>29</v>
      </c>
      <c r="H385" s="50" t="s">
        <v>18</v>
      </c>
      <c r="I385" s="50"/>
      <c r="J385" s="50"/>
      <c r="K385" s="50"/>
      <c r="L385" s="45"/>
      <c r="M385" s="45"/>
      <c r="N385" s="45"/>
      <c r="O385" s="45"/>
      <c r="P385" s="45"/>
      <c r="Q385" s="45"/>
      <c r="R385" s="45"/>
      <c r="S385" s="45"/>
      <c r="T385" s="45"/>
      <c r="U385" s="45"/>
      <c r="V385" s="45"/>
      <c r="W385" s="45"/>
      <c r="X385" s="45"/>
      <c r="Y385" s="45"/>
      <c r="Z385" s="45"/>
      <c r="AA385" s="45"/>
      <c r="AB385" s="45"/>
      <c r="AC385" s="45"/>
      <c r="AD385" s="45"/>
      <c r="AE385" s="45"/>
      <c r="AF385" s="45"/>
      <c r="AG385" s="45"/>
      <c r="AH385" s="45"/>
    </row>
    <row r="386" spans="1:34">
      <c r="A386" s="50" t="s">
        <v>242</v>
      </c>
      <c r="B386" s="50" t="s">
        <v>243</v>
      </c>
      <c r="C386" s="51">
        <v>0.01</v>
      </c>
      <c r="D386" s="45" t="s">
        <v>244</v>
      </c>
      <c r="E386" s="50" t="s">
        <v>211</v>
      </c>
      <c r="F386" s="50"/>
      <c r="G386" s="50" t="s">
        <v>49</v>
      </c>
      <c r="H386" s="50" t="s">
        <v>12</v>
      </c>
      <c r="I386" s="50" t="s">
        <v>316</v>
      </c>
      <c r="J386" s="50"/>
      <c r="K386" s="50"/>
      <c r="L386" s="45"/>
      <c r="M386" s="45"/>
      <c r="N386" s="45"/>
      <c r="O386" s="45"/>
      <c r="P386" s="45"/>
      <c r="Q386" s="45"/>
      <c r="R386" s="45"/>
      <c r="S386" s="45"/>
      <c r="T386" s="45"/>
      <c r="U386" s="45"/>
      <c r="V386" s="45"/>
      <c r="W386" s="45"/>
      <c r="X386" s="45"/>
      <c r="Y386" s="45"/>
      <c r="Z386" s="45"/>
      <c r="AA386" s="45"/>
      <c r="AB386" s="45"/>
      <c r="AC386" s="45"/>
      <c r="AD386" s="45"/>
      <c r="AE386" s="45"/>
      <c r="AF386" s="45"/>
      <c r="AG386" s="45"/>
      <c r="AH386" s="45"/>
    </row>
    <row r="387" spans="1:34">
      <c r="A387" s="50" t="s">
        <v>45</v>
      </c>
      <c r="B387" s="50" t="s">
        <v>43</v>
      </c>
      <c r="C387" s="63">
        <v>3.7599999999999999E-3</v>
      </c>
      <c r="D387" s="45" t="s">
        <v>19</v>
      </c>
      <c r="E387" s="50" t="s">
        <v>211</v>
      </c>
      <c r="F387" s="50"/>
      <c r="G387" s="50" t="s">
        <v>29</v>
      </c>
      <c r="H387" s="50" t="s">
        <v>12</v>
      </c>
      <c r="I387" s="50" t="s">
        <v>296</v>
      </c>
      <c r="J387" s="50"/>
      <c r="K387" s="50"/>
      <c r="L387" s="45"/>
      <c r="M387" s="45"/>
      <c r="N387" s="45"/>
      <c r="O387" s="45"/>
      <c r="P387" s="45"/>
      <c r="Q387" s="45"/>
      <c r="R387" s="45"/>
      <c r="S387" s="45"/>
      <c r="T387" s="45"/>
      <c r="U387" s="45"/>
      <c r="V387" s="45"/>
      <c r="W387" s="45"/>
      <c r="X387" s="45"/>
      <c r="Y387" s="45"/>
      <c r="Z387" s="45"/>
      <c r="AA387" s="45"/>
      <c r="AB387" s="45"/>
      <c r="AC387" s="45"/>
      <c r="AD387" s="45"/>
      <c r="AE387" s="45"/>
      <c r="AF387" s="45"/>
      <c r="AG387" s="45"/>
      <c r="AH387" s="45"/>
    </row>
    <row r="388" spans="1:34">
      <c r="A388" t="s">
        <v>294</v>
      </c>
      <c r="B388" t="s">
        <v>293</v>
      </c>
      <c r="C388" s="63">
        <v>8.4999999999999995E-4</v>
      </c>
      <c r="D388" s="45" t="s">
        <v>13</v>
      </c>
      <c r="E388" s="50" t="s">
        <v>211</v>
      </c>
      <c r="F388" s="50"/>
      <c r="G388" s="50" t="s">
        <v>49</v>
      </c>
      <c r="H388" s="50" t="s">
        <v>12</v>
      </c>
      <c r="I388" s="50" t="s">
        <v>296</v>
      </c>
    </row>
    <row r="389" spans="1:34">
      <c r="A389" s="41"/>
      <c r="B389" s="41"/>
      <c r="C389" s="42"/>
      <c r="D389" s="41"/>
      <c r="E389" s="41"/>
      <c r="F389" s="41"/>
      <c r="G389" s="41"/>
      <c r="H389" s="41"/>
      <c r="I389" s="41"/>
      <c r="J389" s="41"/>
      <c r="K389" s="41"/>
      <c r="L389" s="41"/>
      <c r="M389" s="41"/>
      <c r="N389" s="41"/>
      <c r="O389" s="41"/>
      <c r="P389" s="41"/>
      <c r="Q389" s="41"/>
      <c r="R389" s="41"/>
      <c r="S389" s="41"/>
      <c r="T389" s="41"/>
      <c r="U389" s="41"/>
      <c r="V389" s="41"/>
      <c r="W389" s="41"/>
      <c r="X389" s="41"/>
      <c r="Y389" s="41"/>
      <c r="Z389" s="41"/>
      <c r="AA389" s="41"/>
      <c r="AB389" s="41"/>
      <c r="AC389" s="41"/>
      <c r="AD389" s="41"/>
      <c r="AE389" s="41"/>
      <c r="AF389" s="41"/>
      <c r="AG389" s="41"/>
      <c r="AH389" s="41"/>
    </row>
    <row r="390" spans="1:34">
      <c r="A390" s="43" t="s">
        <v>1</v>
      </c>
      <c r="B390" s="43" t="s">
        <v>290</v>
      </c>
      <c r="C390" s="44"/>
      <c r="D390" s="45"/>
      <c r="E390" s="45"/>
      <c r="F390" s="45"/>
      <c r="G390" s="45"/>
      <c r="H390" s="45"/>
      <c r="I390" s="45"/>
    </row>
    <row r="391" spans="1:34">
      <c r="A391" s="43" t="s">
        <v>11</v>
      </c>
      <c r="B391" s="45" t="s">
        <v>295</v>
      </c>
      <c r="C391" s="44"/>
      <c r="D391" s="45"/>
      <c r="E391" s="45"/>
      <c r="F391" s="45"/>
      <c r="G391" s="45"/>
      <c r="H391" s="45"/>
      <c r="I391" s="45"/>
    </row>
    <row r="392" spans="1:34">
      <c r="A392" s="43" t="s">
        <v>2</v>
      </c>
      <c r="B392" s="45" t="s">
        <v>29</v>
      </c>
      <c r="C392" s="44"/>
      <c r="D392" s="45"/>
      <c r="E392" s="45"/>
      <c r="F392" s="45"/>
      <c r="G392" s="45"/>
      <c r="H392" s="45"/>
      <c r="I392" s="45"/>
    </row>
    <row r="393" spans="1:34">
      <c r="A393" s="46" t="s">
        <v>4</v>
      </c>
      <c r="B393" s="50" t="s">
        <v>291</v>
      </c>
      <c r="C393" s="44"/>
      <c r="D393" s="48"/>
      <c r="E393" s="45"/>
      <c r="F393" s="45"/>
      <c r="G393" s="45"/>
      <c r="H393" s="45"/>
      <c r="I393" s="45"/>
    </row>
    <row r="394" spans="1:34">
      <c r="A394" s="43" t="s">
        <v>3</v>
      </c>
      <c r="B394" s="47">
        <v>1</v>
      </c>
      <c r="C394" s="44"/>
      <c r="D394" s="48"/>
      <c r="E394" s="45"/>
      <c r="F394" s="45"/>
      <c r="G394" s="45"/>
      <c r="H394" s="45"/>
      <c r="I394" s="45"/>
    </row>
    <row r="395" spans="1:34">
      <c r="A395" s="43" t="s">
        <v>6</v>
      </c>
      <c r="B395" s="45" t="s">
        <v>13</v>
      </c>
      <c r="C395" s="44"/>
      <c r="D395" s="48"/>
      <c r="E395" s="45"/>
      <c r="F395" s="45"/>
      <c r="G395" s="45"/>
      <c r="H395" s="45"/>
      <c r="I395" s="45"/>
    </row>
    <row r="396" spans="1:34">
      <c r="A396" s="43" t="s">
        <v>76</v>
      </c>
      <c r="B396" s="45" t="s">
        <v>289</v>
      </c>
      <c r="C396" s="44"/>
      <c r="D396" s="48"/>
      <c r="E396" s="45"/>
      <c r="F396" s="45"/>
      <c r="G396" s="45"/>
      <c r="H396" s="45"/>
      <c r="I396" s="45"/>
    </row>
    <row r="397" spans="1:34">
      <c r="A397" s="43" t="s">
        <v>7</v>
      </c>
      <c r="B397" s="45"/>
      <c r="C397" s="44"/>
      <c r="D397" s="45"/>
      <c r="E397" s="45"/>
      <c r="F397" s="45"/>
      <c r="G397" s="45"/>
      <c r="H397" s="45"/>
      <c r="I397" s="45"/>
    </row>
    <row r="398" spans="1:34">
      <c r="A398" s="43" t="s">
        <v>8</v>
      </c>
      <c r="B398" s="43" t="s">
        <v>4</v>
      </c>
      <c r="C398" s="49" t="s">
        <v>9</v>
      </c>
      <c r="D398" s="43" t="s">
        <v>6</v>
      </c>
      <c r="E398" s="43" t="s">
        <v>106</v>
      </c>
      <c r="F398" s="43" t="s">
        <v>10</v>
      </c>
      <c r="G398" s="43" t="s">
        <v>2</v>
      </c>
      <c r="H398" s="43" t="s">
        <v>5</v>
      </c>
      <c r="I398" s="43" t="s">
        <v>11</v>
      </c>
    </row>
    <row r="399" spans="1:34">
      <c r="A399" s="50" t="s">
        <v>290</v>
      </c>
      <c r="B399" s="50" t="s">
        <v>291</v>
      </c>
      <c r="C399" s="51">
        <v>1</v>
      </c>
      <c r="D399" s="45" t="s">
        <v>13</v>
      </c>
      <c r="E399" s="50" t="s">
        <v>198</v>
      </c>
      <c r="F399" s="50"/>
      <c r="G399" s="50" t="s">
        <v>29</v>
      </c>
      <c r="H399" s="50" t="s">
        <v>18</v>
      </c>
      <c r="I399" s="50"/>
    </row>
    <row r="400" spans="1:34">
      <c r="A400" s="50" t="s">
        <v>292</v>
      </c>
      <c r="B400" s="50" t="s">
        <v>292</v>
      </c>
      <c r="C400" s="63">
        <v>0.1</v>
      </c>
      <c r="D400" s="45" t="s">
        <v>244</v>
      </c>
      <c r="E400" s="50" t="s">
        <v>211</v>
      </c>
      <c r="F400" s="50"/>
      <c r="G400" s="50" t="s">
        <v>27</v>
      </c>
      <c r="H400" s="50" t="s">
        <v>12</v>
      </c>
      <c r="I400" s="50" t="s">
        <v>297</v>
      </c>
    </row>
    <row r="401" spans="1:34">
      <c r="A401" s="50" t="s">
        <v>45</v>
      </c>
      <c r="B401" s="50" t="s">
        <v>43</v>
      </c>
      <c r="C401" s="63">
        <v>3.7599999999999999E-3</v>
      </c>
      <c r="D401" s="45" t="s">
        <v>19</v>
      </c>
      <c r="E401" s="50" t="s">
        <v>211</v>
      </c>
      <c r="F401" s="50"/>
      <c r="G401" s="50" t="s">
        <v>29</v>
      </c>
      <c r="H401" s="50" t="s">
        <v>12</v>
      </c>
      <c r="I401" s="50" t="s">
        <v>296</v>
      </c>
    </row>
    <row r="402" spans="1:34">
      <c r="A402" t="s">
        <v>294</v>
      </c>
      <c r="B402" t="s">
        <v>293</v>
      </c>
      <c r="C402" s="63">
        <v>8.4999999999999995E-4</v>
      </c>
      <c r="D402" s="45" t="s">
        <v>13</v>
      </c>
      <c r="E402" s="50" t="s">
        <v>211</v>
      </c>
      <c r="F402" s="50"/>
      <c r="G402" s="50" t="s">
        <v>49</v>
      </c>
      <c r="H402" s="50" t="s">
        <v>12</v>
      </c>
      <c r="I402" s="50" t="s">
        <v>296</v>
      </c>
    </row>
    <row r="403" spans="1:34">
      <c r="A403" s="41"/>
      <c r="B403" s="41"/>
      <c r="C403" s="42"/>
      <c r="D403" s="41"/>
      <c r="E403" s="41"/>
      <c r="F403" s="41"/>
      <c r="G403" s="41"/>
      <c r="H403" s="41"/>
      <c r="I403" s="41"/>
      <c r="J403" s="41"/>
      <c r="K403" s="41"/>
      <c r="L403" s="41"/>
      <c r="M403" s="41"/>
      <c r="N403" s="41"/>
      <c r="O403" s="41"/>
      <c r="P403" s="41"/>
      <c r="Q403" s="41"/>
      <c r="R403" s="41"/>
      <c r="S403" s="41"/>
      <c r="T403" s="41"/>
      <c r="U403" s="41"/>
      <c r="V403" s="41"/>
      <c r="W403" s="41"/>
      <c r="X403" s="41"/>
      <c r="Y403" s="41"/>
      <c r="Z403" s="41"/>
      <c r="AA403" s="41"/>
      <c r="AB403" s="41"/>
      <c r="AC403" s="41"/>
      <c r="AD403" s="41"/>
      <c r="AE403" s="41"/>
      <c r="AF403" s="41"/>
      <c r="AG403" s="41"/>
      <c r="AH403" s="41"/>
    </row>
    <row r="404" spans="1:34">
      <c r="A404" s="43" t="s">
        <v>1</v>
      </c>
      <c r="B404" s="62" t="s">
        <v>315</v>
      </c>
      <c r="C404" s="44"/>
      <c r="D404" s="45"/>
      <c r="E404" s="45"/>
      <c r="F404" s="45"/>
      <c r="G404" s="45"/>
      <c r="H404" s="45"/>
      <c r="I404" s="45"/>
      <c r="J404" s="45"/>
      <c r="K404" s="45"/>
      <c r="L404" s="45"/>
      <c r="M404" s="45"/>
      <c r="N404" s="45"/>
      <c r="O404" s="45"/>
      <c r="P404" s="45"/>
      <c r="Q404" s="45"/>
      <c r="R404" s="45"/>
      <c r="S404" s="45"/>
      <c r="T404" s="45"/>
      <c r="U404" s="45"/>
      <c r="V404" s="45"/>
      <c r="W404" s="45"/>
      <c r="X404" s="45"/>
      <c r="Y404" s="45"/>
      <c r="Z404" s="45"/>
      <c r="AA404" s="45"/>
      <c r="AB404" s="45"/>
      <c r="AC404" s="45"/>
      <c r="AD404" s="45"/>
      <c r="AE404" s="45"/>
      <c r="AF404" s="45"/>
      <c r="AG404" s="45"/>
      <c r="AH404" s="45"/>
    </row>
    <row r="405" spans="1:34">
      <c r="A405" s="43" t="s">
        <v>11</v>
      </c>
      <c r="B405" s="45" t="s">
        <v>247</v>
      </c>
      <c r="C405" s="44"/>
      <c r="D405" s="45"/>
      <c r="E405" s="45"/>
      <c r="F405" s="45"/>
      <c r="G405" s="45"/>
      <c r="H405" s="45"/>
      <c r="I405" s="45"/>
      <c r="J405" s="45"/>
      <c r="K405" s="45"/>
      <c r="L405" s="45"/>
      <c r="M405" s="45"/>
      <c r="N405" s="45"/>
      <c r="O405" s="45"/>
      <c r="P405" s="45"/>
      <c r="Q405" s="45"/>
      <c r="R405" s="45"/>
      <c r="S405" s="45"/>
      <c r="T405" s="45"/>
      <c r="U405" s="45"/>
      <c r="V405" s="45"/>
      <c r="W405" s="45"/>
      <c r="X405" s="45"/>
      <c r="Y405" s="45"/>
      <c r="Z405" s="45"/>
      <c r="AA405" s="45"/>
      <c r="AB405" s="45"/>
      <c r="AC405" s="45"/>
      <c r="AD405" s="45"/>
      <c r="AE405" s="45"/>
      <c r="AF405" s="45"/>
      <c r="AG405" s="45"/>
      <c r="AH405" s="45"/>
    </row>
    <row r="406" spans="1:34">
      <c r="A406" s="43" t="s">
        <v>2</v>
      </c>
      <c r="B406" s="45" t="s">
        <v>29</v>
      </c>
      <c r="C406" s="44"/>
      <c r="D406" s="45"/>
      <c r="E406" s="45"/>
      <c r="F406" s="45"/>
      <c r="G406" s="45"/>
      <c r="H406" s="45"/>
      <c r="I406" s="45"/>
      <c r="J406" s="45"/>
      <c r="K406" s="45"/>
      <c r="L406" s="45"/>
      <c r="M406" s="45"/>
      <c r="N406" s="45"/>
      <c r="O406" s="45"/>
      <c r="P406" s="45"/>
      <c r="Q406" s="45"/>
      <c r="R406" s="45"/>
      <c r="S406" s="45"/>
      <c r="T406" s="45"/>
      <c r="U406" s="45"/>
      <c r="V406" s="45"/>
      <c r="W406" s="45"/>
      <c r="X406" s="45"/>
      <c r="Y406" s="45"/>
      <c r="Z406" s="45"/>
      <c r="AA406" s="45"/>
      <c r="AB406" s="45"/>
      <c r="AC406" s="45"/>
      <c r="AD406" s="45"/>
      <c r="AE406" s="45"/>
      <c r="AF406" s="45"/>
      <c r="AG406" s="45"/>
      <c r="AH406" s="45"/>
    </row>
    <row r="407" spans="1:34">
      <c r="A407" s="46" t="s">
        <v>4</v>
      </c>
      <c r="B407" s="45" t="s">
        <v>233</v>
      </c>
      <c r="C407" s="44"/>
      <c r="D407" s="45"/>
      <c r="E407" s="45"/>
      <c r="F407" s="45"/>
      <c r="G407" s="45"/>
      <c r="H407" s="45"/>
      <c r="I407" s="45"/>
      <c r="J407" s="45"/>
      <c r="K407" s="45"/>
      <c r="L407" s="45"/>
      <c r="M407" s="45"/>
      <c r="N407" s="45"/>
      <c r="O407" s="45"/>
      <c r="P407" s="45"/>
      <c r="Q407" s="45"/>
      <c r="R407" s="45"/>
      <c r="S407" s="45"/>
      <c r="T407" s="45"/>
      <c r="U407" s="45"/>
      <c r="V407" s="45"/>
      <c r="W407" s="45"/>
      <c r="X407" s="45"/>
      <c r="Y407" s="45"/>
      <c r="Z407" s="45"/>
      <c r="AA407" s="45"/>
      <c r="AB407" s="45"/>
      <c r="AC407" s="45"/>
      <c r="AD407" s="45"/>
      <c r="AE407" s="45"/>
      <c r="AF407" s="45"/>
      <c r="AG407" s="45"/>
      <c r="AH407" s="45"/>
    </row>
    <row r="408" spans="1:34">
      <c r="A408" s="43" t="s">
        <v>3</v>
      </c>
      <c r="B408" s="47">
        <v>1</v>
      </c>
      <c r="C408" s="44"/>
      <c r="D408" s="48"/>
      <c r="E408" s="45"/>
      <c r="F408" s="45"/>
      <c r="G408" s="45"/>
      <c r="H408" s="45"/>
      <c r="I408" s="45"/>
      <c r="J408" s="45"/>
      <c r="K408" s="45"/>
      <c r="L408" s="45"/>
      <c r="M408" s="45"/>
      <c r="N408" s="45"/>
      <c r="O408" s="45"/>
      <c r="P408" s="45"/>
      <c r="Q408" s="45"/>
      <c r="R408" s="45"/>
      <c r="S408" s="45"/>
      <c r="T408" s="45"/>
      <c r="U408" s="45"/>
      <c r="V408" s="45"/>
      <c r="W408" s="45"/>
      <c r="X408" s="45"/>
      <c r="Y408" s="45"/>
      <c r="Z408" s="45"/>
      <c r="AA408" s="45"/>
      <c r="AB408" s="45"/>
      <c r="AC408" s="45"/>
      <c r="AD408" s="45"/>
      <c r="AE408" s="45"/>
      <c r="AF408" s="45"/>
      <c r="AG408" s="45"/>
      <c r="AH408" s="45"/>
    </row>
    <row r="409" spans="1:34">
      <c r="A409" s="43" t="s">
        <v>6</v>
      </c>
      <c r="B409" s="45" t="s">
        <v>13</v>
      </c>
      <c r="C409" s="44"/>
      <c r="D409" s="48"/>
      <c r="E409" s="45"/>
      <c r="F409" s="45"/>
      <c r="G409" s="45"/>
      <c r="H409" s="45"/>
      <c r="I409" s="45"/>
      <c r="J409" s="45"/>
      <c r="K409" s="45"/>
      <c r="L409" s="45"/>
      <c r="M409" s="45"/>
      <c r="N409" s="45"/>
      <c r="O409" s="45"/>
      <c r="P409" s="45"/>
      <c r="Q409" s="45"/>
      <c r="R409" s="45"/>
      <c r="S409" s="45"/>
      <c r="T409" s="45"/>
      <c r="U409" s="45"/>
      <c r="V409" s="45"/>
      <c r="W409" s="45"/>
      <c r="X409" s="45"/>
      <c r="Y409" s="45"/>
      <c r="Z409" s="45"/>
      <c r="AA409" s="45"/>
      <c r="AB409" s="45"/>
      <c r="AC409" s="45"/>
      <c r="AD409" s="45"/>
      <c r="AE409" s="45"/>
      <c r="AF409" s="45"/>
      <c r="AG409" s="45"/>
      <c r="AH409" s="45"/>
    </row>
    <row r="410" spans="1:34">
      <c r="A410" s="43" t="s">
        <v>76</v>
      </c>
      <c r="B410" t="s">
        <v>248</v>
      </c>
      <c r="C410" s="44"/>
      <c r="D410" s="48"/>
      <c r="E410" s="45"/>
      <c r="F410" s="45"/>
      <c r="G410" s="45"/>
      <c r="H410" s="45"/>
      <c r="I410" s="45"/>
      <c r="J410" s="45"/>
      <c r="K410" s="45"/>
      <c r="L410" s="45"/>
      <c r="M410" s="45"/>
      <c r="N410" s="45"/>
      <c r="O410" s="45"/>
      <c r="P410" s="45"/>
      <c r="Q410" s="45"/>
      <c r="R410" s="45"/>
      <c r="S410" s="45"/>
      <c r="T410" s="45"/>
      <c r="U410" s="45"/>
      <c r="V410" s="45"/>
      <c r="W410" s="45"/>
      <c r="X410" s="45"/>
      <c r="Y410" s="45"/>
      <c r="Z410" s="45"/>
      <c r="AA410" s="45"/>
      <c r="AB410" s="45"/>
      <c r="AC410" s="45"/>
      <c r="AD410" s="45"/>
      <c r="AE410" s="45"/>
      <c r="AF410" s="45"/>
      <c r="AG410" s="45"/>
      <c r="AH410" s="45"/>
    </row>
    <row r="411" spans="1:34">
      <c r="A411" s="43" t="s">
        <v>7</v>
      </c>
      <c r="B411" s="45"/>
      <c r="C411" s="44"/>
      <c r="D411" s="45"/>
      <c r="E411" s="45"/>
      <c r="F411" s="45"/>
      <c r="G411" s="45"/>
      <c r="H411" s="45"/>
      <c r="I411" s="45"/>
      <c r="J411" s="45"/>
      <c r="K411" s="45"/>
      <c r="L411" s="45"/>
      <c r="M411" s="45"/>
      <c r="N411" s="45"/>
      <c r="O411" s="45"/>
      <c r="P411" s="45"/>
      <c r="Q411" s="45"/>
      <c r="R411" s="45"/>
      <c r="S411" s="45"/>
      <c r="T411" s="45"/>
      <c r="U411" s="45"/>
      <c r="V411" s="45"/>
      <c r="W411" s="45"/>
      <c r="X411" s="45"/>
      <c r="Y411" s="45"/>
      <c r="Z411" s="45"/>
      <c r="AA411" s="45"/>
      <c r="AB411" s="45"/>
      <c r="AC411" s="45"/>
      <c r="AD411" s="45"/>
      <c r="AE411" s="45"/>
      <c r="AF411" s="45"/>
      <c r="AG411" s="45"/>
      <c r="AH411" s="45"/>
    </row>
    <row r="412" spans="1:34">
      <c r="A412" s="43" t="s">
        <v>8</v>
      </c>
      <c r="B412" s="43" t="s">
        <v>4</v>
      </c>
      <c r="C412" s="49" t="s">
        <v>9</v>
      </c>
      <c r="D412" s="43" t="s">
        <v>6</v>
      </c>
      <c r="E412" s="43" t="s">
        <v>106</v>
      </c>
      <c r="F412" s="43" t="s">
        <v>10</v>
      </c>
      <c r="G412" s="43" t="s">
        <v>2</v>
      </c>
      <c r="H412" s="43" t="s">
        <v>5</v>
      </c>
      <c r="I412" s="43" t="s">
        <v>11</v>
      </c>
      <c r="J412" s="45"/>
      <c r="K412" s="45"/>
      <c r="L412" s="45"/>
      <c r="M412" s="45"/>
      <c r="N412" s="45"/>
      <c r="O412" s="45"/>
      <c r="P412" s="45"/>
      <c r="Q412" s="45"/>
      <c r="R412" s="45"/>
      <c r="S412" s="45"/>
      <c r="T412" s="45"/>
      <c r="U412" s="45"/>
      <c r="V412" s="45"/>
      <c r="W412" s="45"/>
      <c r="X412" s="45"/>
      <c r="Y412" s="45"/>
      <c r="Z412" s="45"/>
      <c r="AA412" s="45"/>
      <c r="AB412" s="45"/>
      <c r="AC412" s="45"/>
      <c r="AD412" s="45"/>
      <c r="AE412" s="45"/>
      <c r="AF412" s="45"/>
      <c r="AG412" s="45"/>
      <c r="AH412" s="45"/>
    </row>
    <row r="413" spans="1:34">
      <c r="A413" s="50" t="s">
        <v>232</v>
      </c>
      <c r="B413" s="50" t="s">
        <v>233</v>
      </c>
      <c r="C413" s="51">
        <v>1</v>
      </c>
      <c r="D413" s="45" t="s">
        <v>13</v>
      </c>
      <c r="E413" s="50" t="s">
        <v>198</v>
      </c>
      <c r="F413" s="50"/>
      <c r="G413" s="50" t="s">
        <v>29</v>
      </c>
      <c r="H413" s="50" t="s">
        <v>18</v>
      </c>
      <c r="I413" s="50"/>
      <c r="J413" s="50"/>
      <c r="K413" s="50"/>
      <c r="L413" s="45"/>
      <c r="M413" s="45"/>
      <c r="N413" s="45"/>
      <c r="O413" s="45"/>
      <c r="P413" s="45"/>
      <c r="Q413" s="45"/>
      <c r="R413" s="45"/>
      <c r="S413" s="45"/>
      <c r="T413" s="45"/>
      <c r="U413" s="45"/>
      <c r="V413" s="45"/>
      <c r="W413" s="45"/>
      <c r="X413" s="45"/>
      <c r="Y413" s="45"/>
      <c r="Z413" s="45"/>
      <c r="AA413" s="45"/>
      <c r="AB413" s="45"/>
      <c r="AC413" s="45"/>
      <c r="AD413" s="45"/>
      <c r="AE413" s="45"/>
      <c r="AF413" s="45"/>
      <c r="AG413" s="45"/>
      <c r="AH413" s="45"/>
    </row>
    <row r="414" spans="1:34">
      <c r="A414" s="50" t="s">
        <v>258</v>
      </c>
      <c r="B414" s="50" t="s">
        <v>249</v>
      </c>
      <c r="C414" s="44">
        <v>4.0000000000000001E-3</v>
      </c>
      <c r="D414" s="45" t="s">
        <v>13</v>
      </c>
      <c r="E414" s="50" t="s">
        <v>211</v>
      </c>
      <c r="F414" s="50"/>
      <c r="G414" s="50" t="s">
        <v>29</v>
      </c>
      <c r="H414" s="50" t="s">
        <v>12</v>
      </c>
      <c r="I414" s="50" t="s">
        <v>250</v>
      </c>
      <c r="J414" s="50"/>
      <c r="K414" s="50"/>
      <c r="L414" s="45"/>
      <c r="M414" s="45"/>
      <c r="N414" s="45"/>
      <c r="O414" s="45"/>
      <c r="P414" s="45"/>
      <c r="Q414" s="45"/>
      <c r="R414" s="45"/>
      <c r="S414" s="45"/>
      <c r="T414" s="45"/>
      <c r="U414" s="45"/>
      <c r="V414" s="45"/>
      <c r="W414" s="45"/>
      <c r="X414" s="45"/>
      <c r="Y414" s="45"/>
      <c r="Z414" s="45"/>
      <c r="AA414" s="45"/>
      <c r="AB414" s="45"/>
      <c r="AC414" s="45"/>
      <c r="AD414" s="45"/>
      <c r="AE414" s="45"/>
      <c r="AF414" s="45"/>
      <c r="AG414" s="45"/>
      <c r="AH414" s="45"/>
    </row>
    <row r="415" spans="1:34">
      <c r="A415" s="50" t="s">
        <v>251</v>
      </c>
      <c r="B415" s="50" t="s">
        <v>252</v>
      </c>
      <c r="C415" s="44">
        <v>5.0000000000000002E-5</v>
      </c>
      <c r="D415" s="45" t="s">
        <v>253</v>
      </c>
      <c r="E415" s="50" t="s">
        <v>211</v>
      </c>
      <c r="F415" s="50"/>
      <c r="G415" s="50" t="s">
        <v>140</v>
      </c>
      <c r="H415" s="50" t="s">
        <v>12</v>
      </c>
      <c r="I415" s="50" t="s">
        <v>254</v>
      </c>
      <c r="J415" s="50"/>
      <c r="K415" s="50"/>
      <c r="L415" s="45"/>
      <c r="M415" s="45"/>
      <c r="N415" s="45"/>
      <c r="O415" s="45"/>
      <c r="P415" s="45"/>
      <c r="Q415" s="45"/>
      <c r="R415" s="45"/>
      <c r="S415" s="45"/>
      <c r="T415" s="45"/>
      <c r="U415" s="45"/>
      <c r="V415" s="45"/>
      <c r="W415" s="45"/>
      <c r="X415" s="45"/>
      <c r="Y415" s="45"/>
      <c r="Z415" s="45"/>
      <c r="AA415" s="45"/>
      <c r="AB415" s="45"/>
      <c r="AC415" s="45"/>
      <c r="AD415" s="45"/>
      <c r="AE415" s="45"/>
      <c r="AF415" s="45"/>
      <c r="AG415" s="45"/>
      <c r="AH415" s="45"/>
    </row>
    <row r="416" spans="1:34">
      <c r="A416" s="50" t="s">
        <v>242</v>
      </c>
      <c r="B416" s="50" t="s">
        <v>243</v>
      </c>
      <c r="C416" s="51">
        <v>0.01</v>
      </c>
      <c r="D416" s="45" t="s">
        <v>244</v>
      </c>
      <c r="E416" s="50" t="s">
        <v>211</v>
      </c>
      <c r="F416" s="50"/>
      <c r="G416" s="50" t="s">
        <v>49</v>
      </c>
      <c r="H416" s="50" t="s">
        <v>12</v>
      </c>
      <c r="I416" s="50" t="s">
        <v>316</v>
      </c>
      <c r="J416" s="50"/>
      <c r="K416" s="50"/>
      <c r="L416" s="45"/>
      <c r="M416" s="45"/>
      <c r="N416" s="45"/>
      <c r="O416" s="45"/>
      <c r="P416" s="45"/>
      <c r="Q416" s="45"/>
      <c r="R416" s="45"/>
      <c r="S416" s="45"/>
      <c r="T416" s="45"/>
      <c r="U416" s="45"/>
      <c r="V416" s="45"/>
      <c r="W416" s="45"/>
      <c r="X416" s="45"/>
      <c r="Y416" s="45"/>
      <c r="Z416" s="45"/>
      <c r="AA416" s="45"/>
      <c r="AB416" s="45"/>
      <c r="AC416" s="45"/>
      <c r="AD416" s="45"/>
      <c r="AE416" s="45"/>
      <c r="AF416" s="45"/>
      <c r="AG416" s="45"/>
      <c r="AH416" s="45"/>
    </row>
    <row r="417" spans="1:34">
      <c r="A417" t="s">
        <v>255</v>
      </c>
      <c r="B417"/>
      <c r="C417" s="44">
        <v>4.4000000000000003E-3</v>
      </c>
      <c r="D417" s="45" t="s">
        <v>13</v>
      </c>
      <c r="E417" s="45" t="s">
        <v>109</v>
      </c>
      <c r="F417" s="45" t="s">
        <v>256</v>
      </c>
      <c r="H417" s="45" t="s">
        <v>15</v>
      </c>
      <c r="I417" s="45" t="s">
        <v>257</v>
      </c>
    </row>
    <row r="418" spans="1:34">
      <c r="A418" s="41"/>
      <c r="B418" s="41"/>
      <c r="C418" s="42"/>
      <c r="D418" s="41"/>
      <c r="E418" s="41"/>
      <c r="F418" s="41"/>
      <c r="G418" s="41"/>
      <c r="H418" s="41"/>
      <c r="I418" s="41"/>
      <c r="J418" s="41"/>
      <c r="K418" s="41"/>
      <c r="L418" s="41"/>
      <c r="M418" s="41"/>
      <c r="N418" s="41"/>
      <c r="O418" s="41"/>
      <c r="P418" s="41"/>
      <c r="Q418" s="41"/>
      <c r="R418" s="41"/>
      <c r="S418" s="41"/>
      <c r="T418" s="41"/>
      <c r="U418" s="41"/>
      <c r="V418" s="41"/>
      <c r="W418" s="41"/>
      <c r="X418" s="41"/>
      <c r="Y418" s="41"/>
      <c r="Z418" s="41"/>
      <c r="AA418" s="41"/>
      <c r="AB418" s="41"/>
      <c r="AC418" s="41"/>
      <c r="AD418" s="41"/>
      <c r="AE418" s="41"/>
      <c r="AF418" s="41"/>
      <c r="AG418" s="41"/>
      <c r="AH418" s="41"/>
    </row>
    <row r="419" spans="1:34">
      <c r="A419" s="46" t="s">
        <v>1</v>
      </c>
      <c r="B419" s="39" t="s">
        <v>400</v>
      </c>
      <c r="I419"/>
    </row>
    <row r="420" spans="1:34">
      <c r="A420" s="46" t="s">
        <v>2</v>
      </c>
      <c r="B420" s="19" t="s">
        <v>49</v>
      </c>
      <c r="I420"/>
    </row>
    <row r="421" spans="1:34">
      <c r="A421" s="46" t="s">
        <v>3</v>
      </c>
      <c r="B421" s="19">
        <v>1</v>
      </c>
      <c r="I421"/>
    </row>
    <row r="422" spans="1:34" ht="15.6">
      <c r="A422" s="46" t="s">
        <v>4</v>
      </c>
      <c r="B422" s="64" t="s">
        <v>317</v>
      </c>
      <c r="I422"/>
    </row>
    <row r="423" spans="1:34">
      <c r="A423" s="46" t="s">
        <v>76</v>
      </c>
      <c r="B423" s="19" t="s">
        <v>401</v>
      </c>
      <c r="I423"/>
    </row>
    <row r="424" spans="1:34">
      <c r="A424" s="46" t="s">
        <v>5</v>
      </c>
      <c r="B424" s="19" t="s">
        <v>78</v>
      </c>
      <c r="I424"/>
    </row>
    <row r="425" spans="1:34">
      <c r="A425" s="46" t="s">
        <v>6</v>
      </c>
      <c r="B425" s="19" t="s">
        <v>13</v>
      </c>
      <c r="I425"/>
    </row>
    <row r="426" spans="1:34">
      <c r="A426" s="46" t="s">
        <v>318</v>
      </c>
      <c r="B426" s="32">
        <f>14.9/(1-B427)</f>
        <v>17.325581395348838</v>
      </c>
      <c r="I426"/>
    </row>
    <row r="427" spans="1:34">
      <c r="A427" s="46" t="s">
        <v>319</v>
      </c>
      <c r="B427" s="65">
        <v>0.14000000000000001</v>
      </c>
      <c r="I427"/>
    </row>
    <row r="428" spans="1:34" ht="15.6">
      <c r="A428" s="30" t="s">
        <v>7</v>
      </c>
      <c r="I428"/>
    </row>
    <row r="429" spans="1:34" s="43" customFormat="1">
      <c r="A429" s="43" t="s">
        <v>8</v>
      </c>
      <c r="B429" s="43" t="s">
        <v>9</v>
      </c>
      <c r="C429" s="43" t="s">
        <v>2</v>
      </c>
      <c r="D429" s="43" t="s">
        <v>6</v>
      </c>
      <c r="E429" s="43" t="s">
        <v>10</v>
      </c>
      <c r="F429" s="43" t="s">
        <v>5</v>
      </c>
      <c r="G429" s="43" t="s">
        <v>11</v>
      </c>
      <c r="H429" s="43" t="s">
        <v>4</v>
      </c>
    </row>
    <row r="430" spans="1:34" ht="15.6">
      <c r="A430" t="s">
        <v>400</v>
      </c>
      <c r="B430" s="19">
        <v>1</v>
      </c>
      <c r="C430" t="s">
        <v>49</v>
      </c>
      <c r="D430" t="s">
        <v>13</v>
      </c>
      <c r="E430" t="s">
        <v>320</v>
      </c>
      <c r="F430" t="s">
        <v>18</v>
      </c>
      <c r="G430" t="s">
        <v>74</v>
      </c>
      <c r="H430" s="64" t="s">
        <v>317</v>
      </c>
      <c r="I430"/>
    </row>
    <row r="431" spans="1:34">
      <c r="A431" t="s">
        <v>115</v>
      </c>
      <c r="B431" s="19">
        <v>7.5716999999999994E-4</v>
      </c>
      <c r="D431" t="s">
        <v>13</v>
      </c>
      <c r="E431" t="s">
        <v>25</v>
      </c>
      <c r="F431" t="s">
        <v>15</v>
      </c>
      <c r="G431" t="s">
        <v>321</v>
      </c>
      <c r="I431"/>
    </row>
    <row r="432" spans="1:34">
      <c r="A432" t="s">
        <v>115</v>
      </c>
      <c r="B432" s="19">
        <v>1.7899999999999998E-6</v>
      </c>
      <c r="D432" t="s">
        <v>13</v>
      </c>
      <c r="E432" t="s">
        <v>25</v>
      </c>
      <c r="F432" t="s">
        <v>15</v>
      </c>
      <c r="G432" t="s">
        <v>322</v>
      </c>
      <c r="I432"/>
    </row>
    <row r="433" spans="1:9">
      <c r="A433" t="s">
        <v>323</v>
      </c>
      <c r="B433" s="19">
        <v>8.9499999999999996E-3</v>
      </c>
      <c r="C433" t="s">
        <v>140</v>
      </c>
      <c r="D433" t="s">
        <v>13</v>
      </c>
      <c r="E433" t="s">
        <v>324</v>
      </c>
      <c r="F433" t="s">
        <v>12</v>
      </c>
      <c r="G433" t="s">
        <v>325</v>
      </c>
      <c r="H433" t="s">
        <v>326</v>
      </c>
      <c r="I433"/>
    </row>
    <row r="434" spans="1:9">
      <c r="A434" t="s">
        <v>327</v>
      </c>
      <c r="B434" s="19">
        <v>3.382384E-3</v>
      </c>
      <c r="C434" t="s">
        <v>140</v>
      </c>
      <c r="D434" t="s">
        <v>13</v>
      </c>
      <c r="E434" t="s">
        <v>324</v>
      </c>
      <c r="F434" t="s">
        <v>12</v>
      </c>
      <c r="G434" t="s">
        <v>328</v>
      </c>
      <c r="H434" t="s">
        <v>329</v>
      </c>
      <c r="I434"/>
    </row>
    <row r="435" spans="1:9">
      <c r="A435" t="s">
        <v>258</v>
      </c>
      <c r="B435" s="19">
        <v>1.9689999999999999E-2</v>
      </c>
      <c r="C435" t="s">
        <v>27</v>
      </c>
      <c r="D435" t="s">
        <v>13</v>
      </c>
      <c r="E435" t="s">
        <v>324</v>
      </c>
      <c r="F435" t="s">
        <v>12</v>
      </c>
      <c r="G435" t="s">
        <v>330</v>
      </c>
      <c r="H435" t="s">
        <v>249</v>
      </c>
      <c r="I435"/>
    </row>
    <row r="436" spans="1:9">
      <c r="A436" t="s">
        <v>313</v>
      </c>
      <c r="B436" s="19">
        <f>0.00179/1000</f>
        <v>1.79E-6</v>
      </c>
      <c r="C436" t="s">
        <v>140</v>
      </c>
      <c r="D436" t="s">
        <v>13</v>
      </c>
      <c r="E436" t="s">
        <v>324</v>
      </c>
      <c r="F436" t="s">
        <v>12</v>
      </c>
      <c r="G436" t="s">
        <v>331</v>
      </c>
      <c r="H436" t="s">
        <v>314</v>
      </c>
      <c r="I436"/>
    </row>
    <row r="437" spans="1:9">
      <c r="A437" t="s">
        <v>332</v>
      </c>
      <c r="B437" s="19">
        <f>986/1000000</f>
        <v>9.859999999999999E-4</v>
      </c>
      <c r="C437" t="s">
        <v>140</v>
      </c>
      <c r="D437" t="s">
        <v>13</v>
      </c>
      <c r="F437" t="s">
        <v>12</v>
      </c>
      <c r="G437" t="s">
        <v>333</v>
      </c>
      <c r="H437" t="s">
        <v>334</v>
      </c>
      <c r="I437"/>
    </row>
    <row r="438" spans="1:9">
      <c r="A438" t="s">
        <v>311</v>
      </c>
      <c r="B438" s="19">
        <v>5.3699999999999989E-3</v>
      </c>
      <c r="C438" t="s">
        <v>27</v>
      </c>
      <c r="D438" t="s">
        <v>13</v>
      </c>
      <c r="E438" t="s">
        <v>324</v>
      </c>
      <c r="F438" t="s">
        <v>12</v>
      </c>
      <c r="G438" t="s">
        <v>335</v>
      </c>
      <c r="H438" t="s">
        <v>312</v>
      </c>
      <c r="I438"/>
    </row>
    <row r="439" spans="1:9">
      <c r="A439" t="s">
        <v>336</v>
      </c>
      <c r="B439" s="19">
        <v>5.3699999999999989E-3</v>
      </c>
      <c r="C439" t="s">
        <v>27</v>
      </c>
      <c r="D439" t="s">
        <v>13</v>
      </c>
      <c r="E439" t="s">
        <v>324</v>
      </c>
      <c r="F439" t="s">
        <v>12</v>
      </c>
      <c r="G439" t="s">
        <v>337</v>
      </c>
      <c r="H439" t="s">
        <v>338</v>
      </c>
      <c r="I439"/>
    </row>
    <row r="440" spans="1:9">
      <c r="A440" t="s">
        <v>339</v>
      </c>
      <c r="B440" s="19">
        <v>2.3269999999999996E-2</v>
      </c>
      <c r="C440" t="s">
        <v>140</v>
      </c>
      <c r="D440" t="s">
        <v>13</v>
      </c>
      <c r="E440" t="s">
        <v>324</v>
      </c>
      <c r="F440" t="s">
        <v>12</v>
      </c>
      <c r="G440" t="s">
        <v>330</v>
      </c>
      <c r="H440" t="s">
        <v>340</v>
      </c>
      <c r="I440"/>
    </row>
    <row r="441" spans="1:9">
      <c r="A441" t="s">
        <v>341</v>
      </c>
      <c r="B441" s="19">
        <f>0.01295781*43</f>
        <v>0.55718582999999999</v>
      </c>
      <c r="C441" t="s">
        <v>140</v>
      </c>
      <c r="D441" t="s">
        <v>46</v>
      </c>
      <c r="E441" t="s">
        <v>324</v>
      </c>
      <c r="F441" t="s">
        <v>12</v>
      </c>
      <c r="G441" t="s">
        <v>342</v>
      </c>
      <c r="H441" t="s">
        <v>343</v>
      </c>
      <c r="I441"/>
    </row>
    <row r="442" spans="1:9">
      <c r="A442" t="s">
        <v>344</v>
      </c>
      <c r="B442" s="19">
        <v>7.464300000000001E-3</v>
      </c>
      <c r="C442" t="s">
        <v>22</v>
      </c>
      <c r="D442" t="s">
        <v>19</v>
      </c>
      <c r="E442" t="s">
        <v>345</v>
      </c>
      <c r="F442" t="s">
        <v>12</v>
      </c>
      <c r="G442" t="s">
        <v>328</v>
      </c>
      <c r="H442" t="s">
        <v>43</v>
      </c>
      <c r="I442"/>
    </row>
    <row r="443" spans="1:9">
      <c r="A443" t="s">
        <v>344</v>
      </c>
      <c r="B443" s="19">
        <v>1.9407179999999997E-3</v>
      </c>
      <c r="C443" t="s">
        <v>22</v>
      </c>
      <c r="D443" t="s">
        <v>19</v>
      </c>
      <c r="E443" t="s">
        <v>345</v>
      </c>
      <c r="F443" t="s">
        <v>12</v>
      </c>
      <c r="G443" t="s">
        <v>346</v>
      </c>
      <c r="H443" t="s">
        <v>43</v>
      </c>
      <c r="I443"/>
    </row>
    <row r="444" spans="1:9">
      <c r="A444" t="s">
        <v>347</v>
      </c>
      <c r="B444" s="19">
        <v>3.923859E-3</v>
      </c>
      <c r="C444" t="s">
        <v>49</v>
      </c>
      <c r="D444" t="s">
        <v>13</v>
      </c>
      <c r="E444" t="s">
        <v>324</v>
      </c>
      <c r="F444" t="s">
        <v>12</v>
      </c>
      <c r="G444" t="s">
        <v>328</v>
      </c>
      <c r="H444" t="s">
        <v>348</v>
      </c>
      <c r="I444"/>
    </row>
    <row r="445" spans="1:9">
      <c r="A445" t="s">
        <v>303</v>
      </c>
      <c r="B445" s="19">
        <f>17.9*(1-B427)</f>
        <v>15.393999999999998</v>
      </c>
      <c r="D445" t="s">
        <v>46</v>
      </c>
      <c r="E445" t="s">
        <v>304</v>
      </c>
      <c r="F445" t="s">
        <v>15</v>
      </c>
      <c r="G445" t="s">
        <v>349</v>
      </c>
      <c r="I445"/>
    </row>
    <row r="446" spans="1:9">
      <c r="A446" t="s">
        <v>199</v>
      </c>
      <c r="B446" s="19">
        <v>0</v>
      </c>
      <c r="D446" t="s">
        <v>13</v>
      </c>
      <c r="E446" t="s">
        <v>200</v>
      </c>
      <c r="F446" t="s">
        <v>15</v>
      </c>
      <c r="G446" t="s">
        <v>399</v>
      </c>
      <c r="I446"/>
    </row>
    <row r="447" spans="1:9">
      <c r="A447" t="s">
        <v>307</v>
      </c>
      <c r="B447" s="19">
        <f>1/(7129/10000)</f>
        <v>1.4027212792818067</v>
      </c>
      <c r="D447" t="s">
        <v>17</v>
      </c>
      <c r="E447" t="s">
        <v>16</v>
      </c>
      <c r="F447" t="s">
        <v>15</v>
      </c>
      <c r="G447" t="s">
        <v>350</v>
      </c>
      <c r="I447"/>
    </row>
    <row r="448" spans="1:9">
      <c r="A448" t="s">
        <v>351</v>
      </c>
      <c r="B448" s="19">
        <f>1/(7129/10000)</f>
        <v>1.4027212792818067</v>
      </c>
      <c r="D448" t="s">
        <v>188</v>
      </c>
      <c r="E448" t="s">
        <v>16</v>
      </c>
      <c r="F448" t="s">
        <v>15</v>
      </c>
      <c r="G448" t="s">
        <v>352</v>
      </c>
      <c r="I448"/>
    </row>
    <row r="449" spans="1:9">
      <c r="A449" t="s">
        <v>310</v>
      </c>
      <c r="B449" s="19">
        <f>1/(7129/10000)</f>
        <v>1.4027212792818067</v>
      </c>
      <c r="D449" t="s">
        <v>188</v>
      </c>
      <c r="E449" t="s">
        <v>16</v>
      </c>
      <c r="F449" t="s">
        <v>15</v>
      </c>
      <c r="G449" t="s">
        <v>352</v>
      </c>
      <c r="I449"/>
    </row>
    <row r="450" spans="1:9">
      <c r="A450" t="s">
        <v>130</v>
      </c>
      <c r="B450" s="19">
        <v>0.17007192792102799</v>
      </c>
      <c r="D450" t="s">
        <v>128</v>
      </c>
      <c r="E450" t="s">
        <v>25</v>
      </c>
      <c r="F450" t="s">
        <v>15</v>
      </c>
      <c r="G450" t="s">
        <v>353</v>
      </c>
      <c r="I450"/>
    </row>
    <row r="451" spans="1:9">
      <c r="A451" t="s">
        <v>119</v>
      </c>
      <c r="B451" s="19">
        <v>8.3517419999999996E-5</v>
      </c>
      <c r="D451" t="s">
        <v>13</v>
      </c>
      <c r="E451" t="s">
        <v>184</v>
      </c>
      <c r="F451" t="s">
        <v>15</v>
      </c>
      <c r="G451" t="s">
        <v>353</v>
      </c>
      <c r="I451"/>
    </row>
    <row r="452" spans="1:9">
      <c r="A452" t="s">
        <v>284</v>
      </c>
      <c r="B452" s="19">
        <v>1.0182310000000001E-3</v>
      </c>
      <c r="D452" t="s">
        <v>13</v>
      </c>
      <c r="E452" t="s">
        <v>184</v>
      </c>
      <c r="F452" t="s">
        <v>15</v>
      </c>
      <c r="G452" t="s">
        <v>353</v>
      </c>
      <c r="I452"/>
    </row>
    <row r="453" spans="1:9">
      <c r="A453" t="s">
        <v>354</v>
      </c>
      <c r="B453" s="19">
        <f>B455/2</f>
        <v>0.47991081325301199</v>
      </c>
      <c r="D453" t="s">
        <v>188</v>
      </c>
      <c r="E453" t="s">
        <v>16</v>
      </c>
      <c r="F453" t="s">
        <v>15</v>
      </c>
      <c r="G453" t="s">
        <v>355</v>
      </c>
      <c r="I453"/>
    </row>
    <row r="454" spans="1:9">
      <c r="A454" t="s">
        <v>356</v>
      </c>
      <c r="B454" s="19">
        <f>B455/2</f>
        <v>0.47991081325301199</v>
      </c>
      <c r="D454" t="s">
        <v>188</v>
      </c>
      <c r="E454" t="s">
        <v>16</v>
      </c>
      <c r="F454" t="s">
        <v>15</v>
      </c>
      <c r="G454" t="s">
        <v>355</v>
      </c>
      <c r="I454"/>
    </row>
    <row r="455" spans="1:9">
      <c r="A455" t="s">
        <v>357</v>
      </c>
      <c r="B455" s="19">
        <v>0.95982162650602398</v>
      </c>
      <c r="D455" t="s">
        <v>17</v>
      </c>
      <c r="E455" t="s">
        <v>16</v>
      </c>
      <c r="F455" t="s">
        <v>15</v>
      </c>
      <c r="G455" t="s">
        <v>358</v>
      </c>
      <c r="I455"/>
    </row>
    <row r="456" spans="1:9">
      <c r="A456" t="s">
        <v>359</v>
      </c>
      <c r="B456" s="19">
        <v>1.0107999999999999E-6</v>
      </c>
      <c r="D456" t="s">
        <v>13</v>
      </c>
      <c r="E456" t="s">
        <v>301</v>
      </c>
      <c r="F456" t="s">
        <v>15</v>
      </c>
      <c r="G456" t="s">
        <v>353</v>
      </c>
      <c r="I456"/>
    </row>
    <row r="457" spans="1:9">
      <c r="A457" t="s">
        <v>360</v>
      </c>
      <c r="B457" s="19">
        <v>6.1366999999999996E-7</v>
      </c>
      <c r="D457" t="s">
        <v>13</v>
      </c>
      <c r="E457" t="s">
        <v>301</v>
      </c>
      <c r="F457" t="s">
        <v>15</v>
      </c>
      <c r="G457" t="s">
        <v>353</v>
      </c>
      <c r="I457"/>
    </row>
    <row r="458" spans="1:9">
      <c r="A458" t="s">
        <v>361</v>
      </c>
      <c r="B458" s="19">
        <v>4.8131000000000003E-9</v>
      </c>
      <c r="D458" t="s">
        <v>13</v>
      </c>
      <c r="E458" t="s">
        <v>301</v>
      </c>
      <c r="F458" t="s">
        <v>15</v>
      </c>
      <c r="G458" t="s">
        <v>353</v>
      </c>
      <c r="I458"/>
    </row>
    <row r="459" spans="1:9">
      <c r="A459" t="s">
        <v>362</v>
      </c>
      <c r="B459" s="19">
        <v>6.4977000000000003E-7</v>
      </c>
      <c r="D459" t="s">
        <v>13</v>
      </c>
      <c r="E459" t="s">
        <v>301</v>
      </c>
      <c r="F459" t="s">
        <v>15</v>
      </c>
      <c r="G459" t="s">
        <v>353</v>
      </c>
      <c r="I459"/>
    </row>
    <row r="460" spans="1:9">
      <c r="A460" t="s">
        <v>363</v>
      </c>
      <c r="B460" s="19">
        <v>-1.5040999999999999E-6</v>
      </c>
      <c r="D460" t="s">
        <v>13</v>
      </c>
      <c r="E460" t="s">
        <v>301</v>
      </c>
      <c r="F460" t="s">
        <v>15</v>
      </c>
      <c r="G460" t="s">
        <v>353</v>
      </c>
      <c r="I460"/>
    </row>
    <row r="461" spans="1:9">
      <c r="A461" t="s">
        <v>364</v>
      </c>
      <c r="B461" s="19">
        <v>1.2032999999999999E-7</v>
      </c>
      <c r="D461" t="s">
        <v>13</v>
      </c>
      <c r="E461" t="s">
        <v>301</v>
      </c>
      <c r="F461" t="s">
        <v>15</v>
      </c>
      <c r="G461" t="s">
        <v>353</v>
      </c>
      <c r="I461"/>
    </row>
    <row r="462" spans="1:9">
      <c r="A462" t="s">
        <v>365</v>
      </c>
      <c r="B462" s="19">
        <v>2.4787000000000001E-6</v>
      </c>
      <c r="D462" t="s">
        <v>13</v>
      </c>
      <c r="E462" t="s">
        <v>301</v>
      </c>
      <c r="F462" t="s">
        <v>15</v>
      </c>
      <c r="G462" t="s">
        <v>353</v>
      </c>
      <c r="I462"/>
    </row>
    <row r="463" spans="1:9">
      <c r="A463" t="s">
        <v>366</v>
      </c>
      <c r="B463" s="19">
        <v>1.0829E-7</v>
      </c>
      <c r="D463" t="s">
        <v>13</v>
      </c>
      <c r="E463" t="s">
        <v>301</v>
      </c>
      <c r="F463" t="s">
        <v>15</v>
      </c>
      <c r="G463" t="s">
        <v>353</v>
      </c>
      <c r="I463"/>
    </row>
    <row r="464" spans="1:9">
      <c r="A464" t="s">
        <v>367</v>
      </c>
      <c r="B464" s="19">
        <v>1.0107999999999999E-6</v>
      </c>
      <c r="D464" t="s">
        <v>13</v>
      </c>
      <c r="E464" t="s">
        <v>301</v>
      </c>
      <c r="F464" t="s">
        <v>15</v>
      </c>
      <c r="G464" t="s">
        <v>353</v>
      </c>
      <c r="I464"/>
    </row>
    <row r="465" spans="1:9">
      <c r="A465" t="s">
        <v>368</v>
      </c>
      <c r="B465" s="19">
        <v>2.4065000000000001E-8</v>
      </c>
      <c r="D465" t="s">
        <v>13</v>
      </c>
      <c r="E465" t="s">
        <v>301</v>
      </c>
      <c r="F465" t="s">
        <v>15</v>
      </c>
      <c r="G465" t="s">
        <v>353</v>
      </c>
      <c r="I465"/>
    </row>
    <row r="466" spans="1:9">
      <c r="A466" t="s">
        <v>369</v>
      </c>
      <c r="B466" s="19">
        <v>-3.2893999999999998E-7</v>
      </c>
      <c r="D466" t="s">
        <v>13</v>
      </c>
      <c r="E466" t="s">
        <v>301</v>
      </c>
      <c r="F466" t="s">
        <v>15</v>
      </c>
      <c r="G466" t="s">
        <v>353</v>
      </c>
      <c r="I466"/>
    </row>
    <row r="467" spans="1:9">
      <c r="A467" t="s">
        <v>370</v>
      </c>
      <c r="B467" s="19">
        <v>7.9416000000000001E-7</v>
      </c>
      <c r="D467" t="s">
        <v>13</v>
      </c>
      <c r="E467" t="s">
        <v>301</v>
      </c>
      <c r="F467" t="s">
        <v>15</v>
      </c>
      <c r="G467" t="s">
        <v>353</v>
      </c>
      <c r="I467"/>
    </row>
    <row r="468" spans="1:9">
      <c r="A468" t="s">
        <v>371</v>
      </c>
      <c r="B468" s="19">
        <v>4.1393000000000003E-6</v>
      </c>
      <c r="D468" t="s">
        <v>13</v>
      </c>
      <c r="E468" t="s">
        <v>301</v>
      </c>
      <c r="F468" t="s">
        <v>15</v>
      </c>
      <c r="G468" t="s">
        <v>353</v>
      </c>
      <c r="I468"/>
    </row>
    <row r="469" spans="1:9">
      <c r="A469" t="s">
        <v>372</v>
      </c>
      <c r="B469" s="19">
        <v>5.0537999999999999E-8</v>
      </c>
      <c r="D469" t="s">
        <v>13</v>
      </c>
      <c r="E469" t="s">
        <v>301</v>
      </c>
      <c r="F469" t="s">
        <v>15</v>
      </c>
      <c r="G469" t="s">
        <v>353</v>
      </c>
      <c r="I469"/>
    </row>
    <row r="470" spans="1:9">
      <c r="A470" t="s">
        <v>373</v>
      </c>
      <c r="B470" s="19">
        <v>-5.9000999999999996E-6</v>
      </c>
      <c r="D470" t="s">
        <v>13</v>
      </c>
      <c r="E470" t="s">
        <v>301</v>
      </c>
      <c r="F470" t="s">
        <v>15</v>
      </c>
      <c r="G470" t="s">
        <v>353</v>
      </c>
      <c r="I470"/>
    </row>
    <row r="471" spans="1:9">
      <c r="A471" t="s">
        <v>374</v>
      </c>
      <c r="B471" s="19">
        <v>1.5643E-6</v>
      </c>
      <c r="D471" t="s">
        <v>13</v>
      </c>
      <c r="E471" t="s">
        <v>301</v>
      </c>
      <c r="F471" t="s">
        <v>15</v>
      </c>
      <c r="G471" t="s">
        <v>353</v>
      </c>
      <c r="I471"/>
    </row>
    <row r="472" spans="1:9">
      <c r="A472" t="s">
        <v>375</v>
      </c>
      <c r="B472" s="19">
        <v>2.6952999999999998E-6</v>
      </c>
      <c r="D472" t="s">
        <v>13</v>
      </c>
      <c r="E472" t="s">
        <v>301</v>
      </c>
      <c r="F472" t="s">
        <v>15</v>
      </c>
      <c r="G472" t="s">
        <v>353</v>
      </c>
      <c r="I472"/>
    </row>
    <row r="473" spans="1:9">
      <c r="A473" t="s">
        <v>376</v>
      </c>
      <c r="B473" s="19">
        <v>4.4454999999999997E-8</v>
      </c>
      <c r="D473" t="s">
        <v>13</v>
      </c>
      <c r="E473" t="s">
        <v>301</v>
      </c>
      <c r="F473" t="s">
        <v>15</v>
      </c>
      <c r="G473" t="s">
        <v>353</v>
      </c>
      <c r="I473"/>
    </row>
    <row r="474" spans="1:9">
      <c r="A474" t="s">
        <v>377</v>
      </c>
      <c r="B474" s="19">
        <v>3.6097999999999997E-8</v>
      </c>
      <c r="D474" t="s">
        <v>13</v>
      </c>
      <c r="E474" t="s">
        <v>301</v>
      </c>
      <c r="F474" t="s">
        <v>15</v>
      </c>
      <c r="G474" t="s">
        <v>353</v>
      </c>
      <c r="I474"/>
    </row>
    <row r="475" spans="1:9">
      <c r="A475" t="s">
        <v>378</v>
      </c>
      <c r="B475" s="19">
        <v>2.1659000000000001E-7</v>
      </c>
      <c r="D475" t="s">
        <v>13</v>
      </c>
      <c r="E475" t="s">
        <v>301</v>
      </c>
      <c r="F475" t="s">
        <v>15</v>
      </c>
      <c r="G475" t="s">
        <v>353</v>
      </c>
      <c r="I475"/>
    </row>
    <row r="476" spans="1:9">
      <c r="A476" t="s">
        <v>379</v>
      </c>
      <c r="B476" s="19">
        <v>-1.8835E-8</v>
      </c>
      <c r="D476" t="s">
        <v>13</v>
      </c>
      <c r="E476" t="s">
        <v>301</v>
      </c>
      <c r="F476" t="s">
        <v>15</v>
      </c>
      <c r="G476" t="s">
        <v>353</v>
      </c>
      <c r="I476"/>
    </row>
    <row r="477" spans="1:9">
      <c r="A477" t="s">
        <v>306</v>
      </c>
      <c r="B477" s="19">
        <v>4.2885E-5</v>
      </c>
      <c r="D477" t="s">
        <v>13</v>
      </c>
      <c r="E477" t="s">
        <v>301</v>
      </c>
      <c r="F477" t="s">
        <v>15</v>
      </c>
      <c r="G477" t="s">
        <v>353</v>
      </c>
      <c r="I477"/>
    </row>
    <row r="478" spans="1:9">
      <c r="A478" t="s">
        <v>300</v>
      </c>
      <c r="B478" s="19">
        <v>9.2460000000000006E-5</v>
      </c>
      <c r="D478" t="s">
        <v>13</v>
      </c>
      <c r="E478" t="s">
        <v>301</v>
      </c>
      <c r="F478" t="s">
        <v>15</v>
      </c>
      <c r="G478" t="s">
        <v>353</v>
      </c>
      <c r="I478"/>
    </row>
    <row r="479" spans="1:9">
      <c r="A479" t="s">
        <v>380</v>
      </c>
      <c r="B479" s="19">
        <v>5.0297000000000003E-6</v>
      </c>
      <c r="D479" t="s">
        <v>13</v>
      </c>
      <c r="E479" t="s">
        <v>301</v>
      </c>
      <c r="F479" t="s">
        <v>15</v>
      </c>
      <c r="G479" t="s">
        <v>353</v>
      </c>
      <c r="I479"/>
    </row>
    <row r="480" spans="1:9">
      <c r="A480" t="s">
        <v>381</v>
      </c>
      <c r="B480" s="19">
        <v>2.4306000000000001E-6</v>
      </c>
      <c r="D480" t="s">
        <v>13</v>
      </c>
      <c r="E480" t="s">
        <v>301</v>
      </c>
      <c r="F480" t="s">
        <v>15</v>
      </c>
      <c r="G480" t="s">
        <v>353</v>
      </c>
      <c r="I480"/>
    </row>
    <row r="481" spans="1:9">
      <c r="A481" t="s">
        <v>382</v>
      </c>
      <c r="B481" s="19">
        <v>1.7326999999999999E-6</v>
      </c>
      <c r="D481" t="s">
        <v>13</v>
      </c>
      <c r="E481" t="s">
        <v>301</v>
      </c>
      <c r="F481" t="s">
        <v>15</v>
      </c>
      <c r="G481" t="s">
        <v>353</v>
      </c>
      <c r="I481"/>
    </row>
    <row r="482" spans="1:9">
      <c r="A482" t="s">
        <v>383</v>
      </c>
      <c r="B482" s="19">
        <v>2.8878999999999998E-7</v>
      </c>
      <c r="D482" t="s">
        <v>13</v>
      </c>
      <c r="E482" t="s">
        <v>301</v>
      </c>
      <c r="F482" t="s">
        <v>15</v>
      </c>
      <c r="G482" t="s">
        <v>353</v>
      </c>
      <c r="I482"/>
    </row>
    <row r="483" spans="1:9">
      <c r="A483" t="s">
        <v>305</v>
      </c>
      <c r="B483" s="19">
        <v>1.9661999999999999E-5</v>
      </c>
      <c r="D483" t="s">
        <v>13</v>
      </c>
      <c r="E483" t="s">
        <v>301</v>
      </c>
      <c r="F483" t="s">
        <v>15</v>
      </c>
      <c r="G483" t="s">
        <v>353</v>
      </c>
      <c r="I483"/>
    </row>
    <row r="484" spans="1:9">
      <c r="A484" t="s">
        <v>384</v>
      </c>
      <c r="B484" s="19">
        <v>1.1911999999999999E-6</v>
      </c>
      <c r="D484" t="s">
        <v>13</v>
      </c>
      <c r="E484" t="s">
        <v>301</v>
      </c>
      <c r="F484" t="s">
        <v>15</v>
      </c>
      <c r="G484" t="s">
        <v>353</v>
      </c>
      <c r="I484"/>
    </row>
    <row r="485" spans="1:9">
      <c r="A485" t="s">
        <v>385</v>
      </c>
      <c r="B485" s="19">
        <v>1.9252000000000001E-7</v>
      </c>
      <c r="D485" t="s">
        <v>13</v>
      </c>
      <c r="E485" t="s">
        <v>301</v>
      </c>
      <c r="F485" t="s">
        <v>15</v>
      </c>
      <c r="G485" t="s">
        <v>353</v>
      </c>
      <c r="I485"/>
    </row>
    <row r="486" spans="1:9">
      <c r="A486" t="s">
        <v>386</v>
      </c>
      <c r="B486" s="19">
        <v>3.0442999999999998E-6</v>
      </c>
      <c r="D486" t="s">
        <v>13</v>
      </c>
      <c r="E486" t="s">
        <v>301</v>
      </c>
      <c r="F486" t="s">
        <v>15</v>
      </c>
      <c r="G486" t="s">
        <v>353</v>
      </c>
      <c r="I486"/>
    </row>
    <row r="487" spans="1:9">
      <c r="A487" t="s">
        <v>387</v>
      </c>
      <c r="B487" s="19">
        <v>4.8130999999999997E-6</v>
      </c>
      <c r="D487" t="s">
        <v>13</v>
      </c>
      <c r="E487" t="s">
        <v>301</v>
      </c>
      <c r="F487" t="s">
        <v>15</v>
      </c>
      <c r="G487" t="s">
        <v>353</v>
      </c>
      <c r="I487"/>
    </row>
    <row r="488" spans="1:9">
      <c r="A488" t="s">
        <v>388</v>
      </c>
      <c r="B488" s="19">
        <v>5.9441999999999998E-5</v>
      </c>
      <c r="D488" t="s">
        <v>13</v>
      </c>
      <c r="E488" t="s">
        <v>301</v>
      </c>
      <c r="F488" t="s">
        <v>15</v>
      </c>
      <c r="G488" t="s">
        <v>353</v>
      </c>
      <c r="I488"/>
    </row>
    <row r="489" spans="1:9">
      <c r="A489" t="s">
        <v>389</v>
      </c>
      <c r="B489" s="19">
        <v>3.3691999999999998E-7</v>
      </c>
      <c r="D489" t="s">
        <v>13</v>
      </c>
      <c r="E489" t="s">
        <v>301</v>
      </c>
      <c r="F489" t="s">
        <v>15</v>
      </c>
      <c r="G489" t="s">
        <v>353</v>
      </c>
      <c r="I489"/>
    </row>
    <row r="490" spans="1:9">
      <c r="A490" t="s">
        <v>390</v>
      </c>
      <c r="B490" s="19">
        <v>1.6846000000000001E-8</v>
      </c>
      <c r="D490" t="s">
        <v>13</v>
      </c>
      <c r="E490" t="s">
        <v>301</v>
      </c>
      <c r="F490" t="s">
        <v>15</v>
      </c>
      <c r="G490" t="s">
        <v>353</v>
      </c>
      <c r="I490"/>
    </row>
    <row r="491" spans="1:9">
      <c r="A491" t="s">
        <v>391</v>
      </c>
      <c r="B491" s="19">
        <v>5.7757E-7</v>
      </c>
      <c r="D491" t="s">
        <v>13</v>
      </c>
      <c r="E491" t="s">
        <v>301</v>
      </c>
      <c r="F491" t="s">
        <v>15</v>
      </c>
      <c r="G491" t="s">
        <v>353</v>
      </c>
      <c r="I491"/>
    </row>
    <row r="492" spans="1:9">
      <c r="A492" t="s">
        <v>392</v>
      </c>
      <c r="B492" s="19">
        <v>2.1658999999999999E-8</v>
      </c>
      <c r="D492" t="s">
        <v>13</v>
      </c>
      <c r="E492" t="s">
        <v>301</v>
      </c>
      <c r="F492" t="s">
        <v>15</v>
      </c>
      <c r="G492" t="s">
        <v>353</v>
      </c>
      <c r="I492"/>
    </row>
    <row r="493" spans="1:9">
      <c r="A493" t="s">
        <v>393</v>
      </c>
      <c r="B493" s="19">
        <v>3.6097999999999997E-8</v>
      </c>
      <c r="D493" t="s">
        <v>13</v>
      </c>
      <c r="E493" t="s">
        <v>301</v>
      </c>
      <c r="F493" t="s">
        <v>15</v>
      </c>
      <c r="G493" t="s">
        <v>353</v>
      </c>
      <c r="I493"/>
    </row>
    <row r="494" spans="1:9">
      <c r="A494" t="s">
        <v>394</v>
      </c>
      <c r="B494" s="19">
        <v>2.6472E-7</v>
      </c>
      <c r="D494" t="s">
        <v>13</v>
      </c>
      <c r="E494" t="s">
        <v>301</v>
      </c>
      <c r="F494" t="s">
        <v>15</v>
      </c>
      <c r="G494" t="s">
        <v>353</v>
      </c>
      <c r="I494"/>
    </row>
    <row r="495" spans="1:9">
      <c r="A495" t="s">
        <v>395</v>
      </c>
      <c r="B495" s="19">
        <v>1.2032999999999999E-7</v>
      </c>
      <c r="D495" t="s">
        <v>13</v>
      </c>
      <c r="E495" t="s">
        <v>301</v>
      </c>
      <c r="F495" t="s">
        <v>15</v>
      </c>
      <c r="G495" t="s">
        <v>353</v>
      </c>
      <c r="I495"/>
    </row>
    <row r="496" spans="1:9">
      <c r="A496" t="s">
        <v>396</v>
      </c>
      <c r="B496" s="19">
        <v>2.6436999999999998E-7</v>
      </c>
      <c r="D496" t="s">
        <v>13</v>
      </c>
      <c r="E496" t="s">
        <v>301</v>
      </c>
      <c r="F496" t="s">
        <v>15</v>
      </c>
      <c r="G496" t="s">
        <v>353</v>
      </c>
      <c r="I496"/>
    </row>
    <row r="497" spans="1:9">
      <c r="A497" t="s">
        <v>130</v>
      </c>
      <c r="B497" s="19">
        <v>5.9736877488796199E-2</v>
      </c>
      <c r="D497" t="s">
        <v>128</v>
      </c>
      <c r="E497" t="s">
        <v>256</v>
      </c>
      <c r="F497" t="s">
        <v>15</v>
      </c>
      <c r="G497" t="s">
        <v>353</v>
      </c>
      <c r="I497"/>
    </row>
    <row r="498" spans="1:9">
      <c r="A498" t="s">
        <v>255</v>
      </c>
      <c r="B498" s="19">
        <v>1.1639108E-2</v>
      </c>
      <c r="D498" t="s">
        <v>13</v>
      </c>
      <c r="E498" t="s">
        <v>256</v>
      </c>
      <c r="F498" t="s">
        <v>15</v>
      </c>
      <c r="G498" t="s">
        <v>353</v>
      </c>
      <c r="I498"/>
    </row>
    <row r="499" spans="1:9">
      <c r="A499" t="s">
        <v>130</v>
      </c>
      <c r="B499" s="19">
        <v>1.4934219372198999E-2</v>
      </c>
      <c r="D499" t="s">
        <v>128</v>
      </c>
      <c r="E499" t="s">
        <v>302</v>
      </c>
      <c r="F499" t="s">
        <v>15</v>
      </c>
      <c r="G499" t="s">
        <v>353</v>
      </c>
      <c r="I499"/>
    </row>
    <row r="500" spans="1:9">
      <c r="A500" t="s">
        <v>309</v>
      </c>
      <c r="B500" s="19">
        <v>9.7541999999999995E-5</v>
      </c>
      <c r="D500" t="s">
        <v>13</v>
      </c>
      <c r="E500" t="s">
        <v>302</v>
      </c>
      <c r="F500" t="s">
        <v>15</v>
      </c>
      <c r="G500" t="s">
        <v>353</v>
      </c>
      <c r="I500"/>
    </row>
    <row r="501" spans="1:9">
      <c r="A501" t="s">
        <v>308</v>
      </c>
      <c r="B501" s="19">
        <v>7.5147999999999996E-6</v>
      </c>
      <c r="D501" t="s">
        <v>13</v>
      </c>
      <c r="E501" t="s">
        <v>302</v>
      </c>
      <c r="F501" t="s">
        <v>15</v>
      </c>
      <c r="G501" t="s">
        <v>353</v>
      </c>
      <c r="I501"/>
    </row>
    <row r="502" spans="1:9">
      <c r="A502" t="s">
        <v>397</v>
      </c>
      <c r="B502" s="19">
        <v>0</v>
      </c>
      <c r="D502" t="s">
        <v>128</v>
      </c>
      <c r="E502" t="s">
        <v>129</v>
      </c>
      <c r="F502" t="s">
        <v>15</v>
      </c>
      <c r="G502" s="66" t="s">
        <v>398</v>
      </c>
      <c r="I502"/>
    </row>
    <row r="503" spans="1:9" s="56" customFormat="1">
      <c r="B503" s="57"/>
      <c r="I503" s="58"/>
    </row>
    <row r="504" spans="1:9">
      <c r="A504" s="43" t="s">
        <v>1</v>
      </c>
      <c r="B504" s="43" t="s">
        <v>285</v>
      </c>
      <c r="I504"/>
    </row>
    <row r="505" spans="1:9">
      <c r="A505" s="46" t="s">
        <v>11</v>
      </c>
      <c r="B505" s="59"/>
      <c r="I505"/>
    </row>
    <row r="506" spans="1:9">
      <c r="A506" s="46" t="s">
        <v>2</v>
      </c>
      <c r="B506" t="s">
        <v>29</v>
      </c>
      <c r="I506"/>
    </row>
    <row r="507" spans="1:9">
      <c r="A507" s="46" t="s">
        <v>3</v>
      </c>
      <c r="B507" s="47">
        <v>1</v>
      </c>
      <c r="I507"/>
    </row>
    <row r="508" spans="1:9">
      <c r="A508" s="46" t="s">
        <v>4</v>
      </c>
      <c r="B508" t="s">
        <v>259</v>
      </c>
      <c r="I508"/>
    </row>
    <row r="509" spans="1:9">
      <c r="A509" s="46" t="s">
        <v>6</v>
      </c>
      <c r="B509" t="s">
        <v>128</v>
      </c>
      <c r="I509"/>
    </row>
    <row r="510" spans="1:9">
      <c r="A510" s="46" t="s">
        <v>76</v>
      </c>
      <c r="B510"/>
      <c r="I510"/>
    </row>
    <row r="511" spans="1:9" ht="15.6">
      <c r="A511" s="30" t="s">
        <v>7</v>
      </c>
      <c r="B511"/>
      <c r="I511"/>
    </row>
    <row r="512" spans="1:9" s="46" customFormat="1">
      <c r="A512" s="46" t="s">
        <v>8</v>
      </c>
      <c r="B512" s="46" t="s">
        <v>4</v>
      </c>
      <c r="C512" s="46" t="s">
        <v>9</v>
      </c>
      <c r="D512" s="46" t="s">
        <v>6</v>
      </c>
      <c r="E512" s="46" t="s">
        <v>106</v>
      </c>
      <c r="F512" s="46" t="s">
        <v>10</v>
      </c>
      <c r="G512" s="46" t="s">
        <v>2</v>
      </c>
      <c r="H512" s="46" t="s">
        <v>5</v>
      </c>
      <c r="I512" s="46" t="s">
        <v>11</v>
      </c>
    </row>
    <row r="513" spans="1:9">
      <c r="A513" t="s">
        <v>285</v>
      </c>
      <c r="B513" t="s">
        <v>259</v>
      </c>
      <c r="C513">
        <v>1</v>
      </c>
      <c r="D513" t="s">
        <v>128</v>
      </c>
      <c r="E513" s="50"/>
      <c r="G513" t="s">
        <v>29</v>
      </c>
      <c r="H513" t="s">
        <v>18</v>
      </c>
    </row>
    <row r="514" spans="1:9">
      <c r="A514" t="s">
        <v>264</v>
      </c>
      <c r="B514" t="s">
        <v>265</v>
      </c>
      <c r="C514">
        <v>1.5153830138359706E-4</v>
      </c>
      <c r="D514" t="s">
        <v>13</v>
      </c>
      <c r="E514" t="s">
        <v>211</v>
      </c>
      <c r="G514" t="s">
        <v>140</v>
      </c>
      <c r="H514" t="s">
        <v>12</v>
      </c>
    </row>
    <row r="515" spans="1:9">
      <c r="A515" t="s">
        <v>266</v>
      </c>
      <c r="B515" t="s">
        <v>135</v>
      </c>
      <c r="C515">
        <v>5.4000000000000001E-11</v>
      </c>
      <c r="D515" t="s">
        <v>6</v>
      </c>
      <c r="E515" t="s">
        <v>211</v>
      </c>
      <c r="G515" t="s">
        <v>140</v>
      </c>
      <c r="H515" t="s">
        <v>12</v>
      </c>
    </row>
    <row r="516" spans="1:9">
      <c r="A516" t="s">
        <v>28</v>
      </c>
      <c r="B516" t="s">
        <v>20</v>
      </c>
      <c r="C516">
        <v>0.9818888836474815</v>
      </c>
      <c r="D516" t="s">
        <v>19</v>
      </c>
      <c r="E516" t="s">
        <v>211</v>
      </c>
      <c r="G516" t="s">
        <v>29</v>
      </c>
      <c r="H516" t="s">
        <v>12</v>
      </c>
    </row>
    <row r="517" spans="1:9">
      <c r="A517" t="s">
        <v>180</v>
      </c>
      <c r="B517" t="s">
        <v>181</v>
      </c>
      <c r="C517">
        <v>1.1400000000000001E-4</v>
      </c>
      <c r="D517" t="s">
        <v>13</v>
      </c>
      <c r="E517" t="s">
        <v>211</v>
      </c>
      <c r="G517" t="s">
        <v>49</v>
      </c>
      <c r="H517" t="s">
        <v>12</v>
      </c>
    </row>
    <row r="518" spans="1:9">
      <c r="A518" t="s">
        <v>267</v>
      </c>
      <c r="B518" t="s">
        <v>268</v>
      </c>
      <c r="C518">
        <v>1.01E-4</v>
      </c>
      <c r="D518" t="s">
        <v>13</v>
      </c>
      <c r="E518" t="s">
        <v>211</v>
      </c>
      <c r="G518" t="s">
        <v>140</v>
      </c>
      <c r="H518" t="s">
        <v>12</v>
      </c>
    </row>
    <row r="519" spans="1:9">
      <c r="A519" t="s">
        <v>269</v>
      </c>
      <c r="B519" s="19" t="s">
        <v>197</v>
      </c>
      <c r="C519">
        <v>1.8942287672949629</v>
      </c>
      <c r="D519" s="45" t="s">
        <v>128</v>
      </c>
      <c r="G519" s="50" t="s">
        <v>29</v>
      </c>
      <c r="H519" t="s">
        <v>12</v>
      </c>
    </row>
    <row r="520" spans="1:9">
      <c r="A520" t="s">
        <v>218</v>
      </c>
      <c r="B520"/>
      <c r="C520">
        <v>1.7715245298393998</v>
      </c>
      <c r="D520" t="s">
        <v>13</v>
      </c>
      <c r="E520" t="s">
        <v>109</v>
      </c>
      <c r="F520" t="s">
        <v>184</v>
      </c>
      <c r="H520" t="s">
        <v>15</v>
      </c>
    </row>
    <row r="521" spans="1:9">
      <c r="A521" t="s">
        <v>260</v>
      </c>
      <c r="B521"/>
      <c r="C521">
        <v>1.28</v>
      </c>
      <c r="D521" t="s">
        <v>46</v>
      </c>
      <c r="E521" t="s">
        <v>109</v>
      </c>
      <c r="F521" t="s">
        <v>184</v>
      </c>
      <c r="H521" t="s">
        <v>15</v>
      </c>
    </row>
    <row r="522" spans="1:9">
      <c r="A522" t="s">
        <v>261</v>
      </c>
      <c r="B522"/>
      <c r="C522">
        <v>0</v>
      </c>
      <c r="D522" t="s">
        <v>13</v>
      </c>
      <c r="E522" t="s">
        <v>109</v>
      </c>
      <c r="F522" t="s">
        <v>184</v>
      </c>
      <c r="H522" t="s">
        <v>15</v>
      </c>
    </row>
    <row r="523" spans="1:9">
      <c r="A523" t="s">
        <v>185</v>
      </c>
      <c r="B523"/>
      <c r="C523">
        <v>7.0244489999999995E-3</v>
      </c>
      <c r="D523" t="s">
        <v>13</v>
      </c>
      <c r="E523" t="s">
        <v>109</v>
      </c>
      <c r="F523" t="s">
        <v>184</v>
      </c>
      <c r="H523" t="s">
        <v>15</v>
      </c>
    </row>
    <row r="524" spans="1:9">
      <c r="A524" t="s">
        <v>262</v>
      </c>
      <c r="B524"/>
      <c r="C524">
        <v>5.1560000000000002E-2</v>
      </c>
      <c r="D524" t="s">
        <v>13</v>
      </c>
      <c r="E524" t="s">
        <v>109</v>
      </c>
      <c r="F524" t="s">
        <v>25</v>
      </c>
      <c r="H524" t="s">
        <v>15</v>
      </c>
    </row>
    <row r="525" spans="1:9">
      <c r="A525" t="s">
        <v>125</v>
      </c>
      <c r="B525"/>
      <c r="C525">
        <v>6.5989999999999998E-6</v>
      </c>
      <c r="D525" t="s">
        <v>13</v>
      </c>
      <c r="E525" t="s">
        <v>109</v>
      </c>
      <c r="F525" t="s">
        <v>263</v>
      </c>
      <c r="H525" t="s">
        <v>15</v>
      </c>
    </row>
    <row r="526" spans="1:9" s="56" customFormat="1">
      <c r="B526" s="57"/>
      <c r="I526" s="58"/>
    </row>
    <row r="527" spans="1:9">
      <c r="A527" s="43" t="s">
        <v>1</v>
      </c>
      <c r="B527" s="43" t="s">
        <v>273</v>
      </c>
      <c r="I527"/>
    </row>
    <row r="528" spans="1:9">
      <c r="A528" s="46" t="s">
        <v>11</v>
      </c>
      <c r="B528" s="59"/>
      <c r="I528"/>
    </row>
    <row r="529" spans="1:9">
      <c r="A529" s="46" t="s">
        <v>2</v>
      </c>
      <c r="B529" t="s">
        <v>29</v>
      </c>
      <c r="I529"/>
    </row>
    <row r="530" spans="1:9">
      <c r="A530" s="46" t="s">
        <v>3</v>
      </c>
      <c r="B530" s="47">
        <v>1</v>
      </c>
      <c r="I530"/>
    </row>
    <row r="531" spans="1:9">
      <c r="A531" s="46" t="s">
        <v>4</v>
      </c>
      <c r="B531" t="s">
        <v>259</v>
      </c>
      <c r="I531"/>
    </row>
    <row r="532" spans="1:9">
      <c r="A532" s="46" t="s">
        <v>6</v>
      </c>
      <c r="B532" t="s">
        <v>128</v>
      </c>
      <c r="I532"/>
    </row>
    <row r="533" spans="1:9">
      <c r="A533" s="46" t="s">
        <v>76</v>
      </c>
      <c r="B533"/>
      <c r="I533"/>
    </row>
    <row r="534" spans="1:9" ht="15.6">
      <c r="A534" s="30" t="s">
        <v>7</v>
      </c>
      <c r="B534"/>
      <c r="I534"/>
    </row>
    <row r="535" spans="1:9" s="46" customFormat="1">
      <c r="A535" s="46" t="s">
        <v>8</v>
      </c>
      <c r="B535" s="46" t="s">
        <v>4</v>
      </c>
      <c r="C535" s="46" t="s">
        <v>9</v>
      </c>
      <c r="D535" s="46" t="s">
        <v>6</v>
      </c>
      <c r="E535" s="46" t="s">
        <v>106</v>
      </c>
      <c r="F535" s="46" t="s">
        <v>10</v>
      </c>
      <c r="G535" s="46" t="s">
        <v>2</v>
      </c>
      <c r="H535" s="46" t="s">
        <v>5</v>
      </c>
      <c r="I535" s="46" t="s">
        <v>11</v>
      </c>
    </row>
    <row r="536" spans="1:9">
      <c r="A536" t="s">
        <v>273</v>
      </c>
      <c r="B536" t="s">
        <v>259</v>
      </c>
      <c r="C536">
        <v>1</v>
      </c>
      <c r="D536" t="s">
        <v>128</v>
      </c>
      <c r="E536" s="50"/>
      <c r="G536" t="s">
        <v>29</v>
      </c>
      <c r="H536" t="s">
        <v>18</v>
      </c>
    </row>
    <row r="537" spans="1:9">
      <c r="A537" t="s">
        <v>264</v>
      </c>
      <c r="B537" t="s">
        <v>265</v>
      </c>
      <c r="C537">
        <v>1.5328461905494623E-4</v>
      </c>
      <c r="D537" t="s">
        <v>13</v>
      </c>
      <c r="E537" t="s">
        <v>211</v>
      </c>
      <c r="G537" t="s">
        <v>140</v>
      </c>
      <c r="H537" t="s">
        <v>12</v>
      </c>
    </row>
    <row r="538" spans="1:9">
      <c r="A538" t="s">
        <v>266</v>
      </c>
      <c r="B538" t="s">
        <v>135</v>
      </c>
      <c r="C538">
        <v>5.4000000000000001E-11</v>
      </c>
      <c r="D538" t="s">
        <v>6</v>
      </c>
      <c r="E538" t="s">
        <v>211</v>
      </c>
      <c r="G538" t="s">
        <v>140</v>
      </c>
      <c r="H538" t="s">
        <v>12</v>
      </c>
    </row>
    <row r="539" spans="1:9">
      <c r="A539" t="s">
        <v>28</v>
      </c>
      <c r="B539" t="s">
        <v>20</v>
      </c>
      <c r="C539">
        <v>0.76289810836538974</v>
      </c>
      <c r="D539" t="s">
        <v>19</v>
      </c>
      <c r="E539" t="s">
        <v>211</v>
      </c>
      <c r="G539" t="s">
        <v>29</v>
      </c>
      <c r="H539" t="s">
        <v>12</v>
      </c>
    </row>
    <row r="540" spans="1:9">
      <c r="A540" t="s">
        <v>180</v>
      </c>
      <c r="B540" t="s">
        <v>181</v>
      </c>
      <c r="C540">
        <v>1.1400000000000001E-4</v>
      </c>
      <c r="D540" t="s">
        <v>13</v>
      </c>
      <c r="E540" t="s">
        <v>211</v>
      </c>
      <c r="G540" t="s">
        <v>49</v>
      </c>
      <c r="H540" t="s">
        <v>12</v>
      </c>
    </row>
    <row r="541" spans="1:9">
      <c r="A541" t="s">
        <v>267</v>
      </c>
      <c r="B541" t="s">
        <v>268</v>
      </c>
      <c r="C541">
        <v>1.01E-4</v>
      </c>
      <c r="D541" t="s">
        <v>13</v>
      </c>
      <c r="E541" t="s">
        <v>211</v>
      </c>
      <c r="G541" t="s">
        <v>140</v>
      </c>
      <c r="H541" t="s">
        <v>12</v>
      </c>
    </row>
    <row r="542" spans="1:9">
      <c r="A542" t="s">
        <v>269</v>
      </c>
      <c r="B542" s="19" t="s">
        <v>197</v>
      </c>
      <c r="C542">
        <v>1.9160577381868278</v>
      </c>
      <c r="D542" s="45" t="s">
        <v>128</v>
      </c>
      <c r="G542" s="50" t="s">
        <v>29</v>
      </c>
      <c r="H542" t="s">
        <v>12</v>
      </c>
    </row>
    <row r="543" spans="1:9">
      <c r="A543" t="s">
        <v>218</v>
      </c>
      <c r="B543"/>
      <c r="C543">
        <v>1.8288866704275042</v>
      </c>
      <c r="D543" t="s">
        <v>13</v>
      </c>
      <c r="E543" t="s">
        <v>109</v>
      </c>
      <c r="F543" t="s">
        <v>184</v>
      </c>
      <c r="H543" t="s">
        <v>15</v>
      </c>
    </row>
    <row r="544" spans="1:9">
      <c r="A544" t="s">
        <v>260</v>
      </c>
      <c r="B544"/>
      <c r="C544">
        <v>1.28</v>
      </c>
      <c r="D544" t="s">
        <v>46</v>
      </c>
      <c r="E544" t="s">
        <v>109</v>
      </c>
      <c r="F544" t="s">
        <v>184</v>
      </c>
      <c r="H544" t="s">
        <v>15</v>
      </c>
    </row>
    <row r="545" spans="1:9">
      <c r="A545" t="s">
        <v>261</v>
      </c>
      <c r="B545"/>
      <c r="C545">
        <v>0</v>
      </c>
      <c r="D545" t="s">
        <v>13</v>
      </c>
      <c r="E545" t="s">
        <v>109</v>
      </c>
      <c r="F545" t="s">
        <v>184</v>
      </c>
      <c r="H545" t="s">
        <v>15</v>
      </c>
    </row>
    <row r="546" spans="1:9">
      <c r="A546" t="s">
        <v>185</v>
      </c>
      <c r="B546"/>
      <c r="C546">
        <v>7.1053982999999999E-4</v>
      </c>
      <c r="D546" t="s">
        <v>13</v>
      </c>
      <c r="E546" t="s">
        <v>109</v>
      </c>
      <c r="F546" t="s">
        <v>184</v>
      </c>
      <c r="H546" t="s">
        <v>15</v>
      </c>
    </row>
    <row r="547" spans="1:9">
      <c r="A547" t="s">
        <v>262</v>
      </c>
      <c r="B547"/>
      <c r="C547">
        <v>5.1560000000000002E-2</v>
      </c>
      <c r="D547" t="s">
        <v>13</v>
      </c>
      <c r="E547" t="s">
        <v>109</v>
      </c>
      <c r="F547" t="s">
        <v>25</v>
      </c>
      <c r="H547" t="s">
        <v>15</v>
      </c>
    </row>
    <row r="548" spans="1:9">
      <c r="A548" t="s">
        <v>125</v>
      </c>
      <c r="B548"/>
      <c r="C548">
        <v>6.5989999999999998E-6</v>
      </c>
      <c r="D548" t="s">
        <v>13</v>
      </c>
      <c r="E548" t="s">
        <v>109</v>
      </c>
      <c r="F548" t="s">
        <v>263</v>
      </c>
      <c r="H548" t="s">
        <v>15</v>
      </c>
    </row>
    <row r="549" spans="1:9">
      <c r="A549" s="50" t="s">
        <v>38</v>
      </c>
      <c r="B549" s="50" t="s">
        <v>39</v>
      </c>
      <c r="C549" s="60">
        <v>0</v>
      </c>
      <c r="D549" s="50" t="s">
        <v>13</v>
      </c>
      <c r="E549" t="s">
        <v>211</v>
      </c>
      <c r="G549" s="50" t="s">
        <v>22</v>
      </c>
      <c r="H549" t="s">
        <v>12</v>
      </c>
    </row>
    <row r="550" spans="1:9">
      <c r="A550" s="50" t="s">
        <v>274</v>
      </c>
      <c r="B550" s="50" t="s">
        <v>275</v>
      </c>
      <c r="C550">
        <v>1.2300000000000001E-4</v>
      </c>
      <c r="D550" s="50" t="s">
        <v>13</v>
      </c>
      <c r="E550" t="s">
        <v>211</v>
      </c>
      <c r="G550" s="50" t="s">
        <v>140</v>
      </c>
      <c r="H550" t="s">
        <v>12</v>
      </c>
    </row>
    <row r="551" spans="1:9">
      <c r="A551" s="50" t="s">
        <v>276</v>
      </c>
      <c r="B551" s="50" t="s">
        <v>277</v>
      </c>
      <c r="C551">
        <v>6.9700000000000003E-4</v>
      </c>
      <c r="D551" s="50" t="s">
        <v>13</v>
      </c>
      <c r="E551" t="s">
        <v>211</v>
      </c>
      <c r="G551" s="50" t="s">
        <v>140</v>
      </c>
      <c r="H551" t="s">
        <v>12</v>
      </c>
    </row>
    <row r="552" spans="1:9">
      <c r="A552" t="s">
        <v>278</v>
      </c>
      <c r="B552" t="s">
        <v>279</v>
      </c>
      <c r="C552">
        <v>2.6400000000000001E-5</v>
      </c>
      <c r="D552" s="50" t="s">
        <v>13</v>
      </c>
      <c r="E552" t="s">
        <v>211</v>
      </c>
      <c r="G552" s="50" t="s">
        <v>140</v>
      </c>
      <c r="H552" t="s">
        <v>12</v>
      </c>
    </row>
    <row r="553" spans="1:9">
      <c r="A553" s="50" t="s">
        <v>280</v>
      </c>
      <c r="B553" s="51" t="s">
        <v>281</v>
      </c>
      <c r="C553">
        <v>0</v>
      </c>
      <c r="D553" s="50" t="s">
        <v>13</v>
      </c>
      <c r="E553" t="s">
        <v>211</v>
      </c>
      <c r="G553" s="50" t="s">
        <v>140</v>
      </c>
      <c r="H553" t="s">
        <v>12</v>
      </c>
    </row>
    <row r="554" spans="1:9">
      <c r="A554" s="50" t="s">
        <v>282</v>
      </c>
      <c r="B554" s="51" t="s">
        <v>283</v>
      </c>
      <c r="C554">
        <v>9.2899999999999995E-5</v>
      </c>
      <c r="D554" s="50" t="s">
        <v>13</v>
      </c>
      <c r="E554" t="s">
        <v>211</v>
      </c>
      <c r="G554" s="50" t="s">
        <v>140</v>
      </c>
      <c r="H554" t="s">
        <v>12</v>
      </c>
    </row>
    <row r="555" spans="1:9">
      <c r="A555" s="15" t="s">
        <v>284</v>
      </c>
      <c r="B555" s="51"/>
      <c r="C555">
        <v>1.3412404167307795E-2</v>
      </c>
      <c r="D555" s="50" t="s">
        <v>13</v>
      </c>
      <c r="E555" s="50" t="s">
        <v>109</v>
      </c>
      <c r="F555" t="s">
        <v>184</v>
      </c>
      <c r="H555" t="s">
        <v>15</v>
      </c>
    </row>
    <row r="556" spans="1:9">
      <c r="A556" s="15" t="s">
        <v>108</v>
      </c>
      <c r="B556" s="50"/>
      <c r="C556">
        <v>0.35255462382637631</v>
      </c>
      <c r="D556" s="50" t="s">
        <v>13</v>
      </c>
      <c r="E556" s="50" t="s">
        <v>109</v>
      </c>
      <c r="F556" t="s">
        <v>184</v>
      </c>
      <c r="H556" t="s">
        <v>15</v>
      </c>
    </row>
    <row r="557" spans="1:9" s="56" customFormat="1">
      <c r="B557" s="57"/>
      <c r="I557" s="58"/>
    </row>
    <row r="558" spans="1:9">
      <c r="A558" s="43" t="s">
        <v>1</v>
      </c>
      <c r="B558" s="43" t="s">
        <v>286</v>
      </c>
      <c r="I558"/>
    </row>
    <row r="559" spans="1:9">
      <c r="A559" s="46" t="s">
        <v>11</v>
      </c>
      <c r="B559" s="59"/>
      <c r="I559"/>
    </row>
    <row r="560" spans="1:9">
      <c r="A560" s="46" t="s">
        <v>2</v>
      </c>
      <c r="B560" t="s">
        <v>29</v>
      </c>
      <c r="I560"/>
    </row>
    <row r="561" spans="1:9">
      <c r="A561" s="46" t="s">
        <v>3</v>
      </c>
      <c r="B561" s="47">
        <v>1</v>
      </c>
      <c r="I561"/>
    </row>
    <row r="562" spans="1:9">
      <c r="A562" s="46" t="s">
        <v>4</v>
      </c>
      <c r="B562" t="s">
        <v>259</v>
      </c>
      <c r="I562"/>
    </row>
    <row r="563" spans="1:9">
      <c r="A563" s="46" t="s">
        <v>6</v>
      </c>
      <c r="B563" t="s">
        <v>128</v>
      </c>
      <c r="I563"/>
    </row>
    <row r="564" spans="1:9">
      <c r="A564" s="46" t="s">
        <v>76</v>
      </c>
      <c r="B564"/>
      <c r="I564"/>
    </row>
    <row r="565" spans="1:9" ht="15.6">
      <c r="A565" s="30" t="s">
        <v>7</v>
      </c>
      <c r="B565"/>
      <c r="I565"/>
    </row>
    <row r="566" spans="1:9" s="46" customFormat="1">
      <c r="A566" s="46" t="s">
        <v>8</v>
      </c>
      <c r="B566" s="46" t="s">
        <v>4</v>
      </c>
      <c r="C566" s="46" t="s">
        <v>9</v>
      </c>
      <c r="D566" s="46" t="s">
        <v>6</v>
      </c>
      <c r="E566" s="46" t="s">
        <v>106</v>
      </c>
      <c r="F566" s="46" t="s">
        <v>10</v>
      </c>
      <c r="G566" s="46" t="s">
        <v>2</v>
      </c>
      <c r="H566" s="46" t="s">
        <v>5</v>
      </c>
      <c r="I566" s="46" t="s">
        <v>11</v>
      </c>
    </row>
    <row r="567" spans="1:9">
      <c r="A567" t="s">
        <v>286</v>
      </c>
      <c r="B567" t="s">
        <v>259</v>
      </c>
      <c r="C567">
        <v>1</v>
      </c>
      <c r="D567" t="s">
        <v>128</v>
      </c>
      <c r="E567" s="50"/>
      <c r="G567" t="s">
        <v>29</v>
      </c>
      <c r="H567" t="s">
        <v>18</v>
      </c>
    </row>
    <row r="568" spans="1:9">
      <c r="A568" t="s">
        <v>264</v>
      </c>
      <c r="B568" t="s">
        <v>265</v>
      </c>
      <c r="C568">
        <v>1.5303868060521681E-4</v>
      </c>
      <c r="D568" t="s">
        <v>13</v>
      </c>
      <c r="E568" t="s">
        <v>211</v>
      </c>
      <c r="G568" t="s">
        <v>140</v>
      </c>
      <c r="H568" t="s">
        <v>12</v>
      </c>
    </row>
    <row r="569" spans="1:9">
      <c r="A569" t="s">
        <v>266</v>
      </c>
      <c r="B569" t="s">
        <v>135</v>
      </c>
      <c r="C569">
        <v>5.4000000000000001E-11</v>
      </c>
      <c r="D569" t="s">
        <v>6</v>
      </c>
      <c r="E569" t="s">
        <v>211</v>
      </c>
      <c r="G569" t="s">
        <v>140</v>
      </c>
      <c r="H569" t="s">
        <v>12</v>
      </c>
    </row>
    <row r="570" spans="1:9">
      <c r="A570" t="s">
        <v>28</v>
      </c>
      <c r="B570" t="s">
        <v>20</v>
      </c>
      <c r="C570">
        <v>0.6343270522695631</v>
      </c>
      <c r="D570" t="s">
        <v>19</v>
      </c>
      <c r="E570" t="s">
        <v>211</v>
      </c>
      <c r="G570" t="s">
        <v>29</v>
      </c>
      <c r="H570" t="s">
        <v>12</v>
      </c>
    </row>
    <row r="571" spans="1:9">
      <c r="A571" t="s">
        <v>180</v>
      </c>
      <c r="B571" t="s">
        <v>181</v>
      </c>
      <c r="C571">
        <v>1.1400000000000001E-4</v>
      </c>
      <c r="D571" t="s">
        <v>13</v>
      </c>
      <c r="E571" t="s">
        <v>211</v>
      </c>
      <c r="G571" t="s">
        <v>49</v>
      </c>
      <c r="H571" t="s">
        <v>12</v>
      </c>
    </row>
    <row r="572" spans="1:9">
      <c r="A572" t="s">
        <v>267</v>
      </c>
      <c r="B572" t="s">
        <v>268</v>
      </c>
      <c r="C572">
        <v>1.01E-4</v>
      </c>
      <c r="D572" t="s">
        <v>13</v>
      </c>
      <c r="E572" t="s">
        <v>211</v>
      </c>
      <c r="G572" t="s">
        <v>140</v>
      </c>
      <c r="H572" t="s">
        <v>12</v>
      </c>
    </row>
    <row r="573" spans="1:9">
      <c r="A573" t="s">
        <v>269</v>
      </c>
      <c r="B573" s="19" t="s">
        <v>197</v>
      </c>
      <c r="C573">
        <v>1.91298350756521</v>
      </c>
      <c r="D573" s="45" t="s">
        <v>128</v>
      </c>
      <c r="G573" s="50" t="s">
        <v>29</v>
      </c>
      <c r="H573" t="s">
        <v>12</v>
      </c>
    </row>
    <row r="574" spans="1:9">
      <c r="A574" t="s">
        <v>218</v>
      </c>
      <c r="B574"/>
      <c r="C574">
        <v>1.7890643766694927</v>
      </c>
      <c r="D574" t="s">
        <v>13</v>
      </c>
      <c r="E574" t="s">
        <v>109</v>
      </c>
      <c r="F574" t="s">
        <v>184</v>
      </c>
      <c r="H574" t="s">
        <v>15</v>
      </c>
    </row>
    <row r="575" spans="1:9">
      <c r="A575" t="s">
        <v>260</v>
      </c>
      <c r="B575"/>
      <c r="C575">
        <v>1.28</v>
      </c>
      <c r="D575" t="s">
        <v>46</v>
      </c>
      <c r="E575" t="s">
        <v>109</v>
      </c>
      <c r="F575" t="s">
        <v>184</v>
      </c>
      <c r="H575" t="s">
        <v>15</v>
      </c>
    </row>
    <row r="576" spans="1:9">
      <c r="A576" t="s">
        <v>261</v>
      </c>
      <c r="B576"/>
      <c r="C576">
        <v>0</v>
      </c>
      <c r="D576" t="s">
        <v>13</v>
      </c>
      <c r="E576" t="s">
        <v>109</v>
      </c>
      <c r="F576" t="s">
        <v>184</v>
      </c>
      <c r="H576" t="s">
        <v>15</v>
      </c>
    </row>
    <row r="577" spans="1:9">
      <c r="A577" t="s">
        <v>185</v>
      </c>
      <c r="B577"/>
      <c r="C577">
        <v>1.4187996E-2</v>
      </c>
      <c r="D577" t="s">
        <v>13</v>
      </c>
      <c r="E577" t="s">
        <v>109</v>
      </c>
      <c r="F577" t="s">
        <v>184</v>
      </c>
      <c r="H577" t="s">
        <v>15</v>
      </c>
    </row>
    <row r="578" spans="1:9">
      <c r="A578" t="s">
        <v>262</v>
      </c>
      <c r="B578"/>
      <c r="C578">
        <v>5.1560000000000002E-2</v>
      </c>
      <c r="D578" t="s">
        <v>13</v>
      </c>
      <c r="E578" t="s">
        <v>109</v>
      </c>
      <c r="F578" t="s">
        <v>25</v>
      </c>
      <c r="H578" t="s">
        <v>15</v>
      </c>
    </row>
    <row r="579" spans="1:9">
      <c r="A579" t="s">
        <v>125</v>
      </c>
      <c r="B579"/>
      <c r="C579">
        <v>6.5989999999999998E-6</v>
      </c>
      <c r="D579" t="s">
        <v>13</v>
      </c>
      <c r="E579" t="s">
        <v>109</v>
      </c>
      <c r="F579" t="s">
        <v>263</v>
      </c>
      <c r="H579" t="s">
        <v>15</v>
      </c>
    </row>
    <row r="580" spans="1:9">
      <c r="A580" s="50" t="s">
        <v>38</v>
      </c>
      <c r="B580" s="50" t="s">
        <v>39</v>
      </c>
      <c r="C580" s="60">
        <v>0.19129835075652102</v>
      </c>
      <c r="D580" s="50" t="s">
        <v>13</v>
      </c>
      <c r="E580" t="s">
        <v>211</v>
      </c>
      <c r="G580" s="50" t="s">
        <v>22</v>
      </c>
      <c r="H580" t="s">
        <v>12</v>
      </c>
    </row>
    <row r="581" spans="1:9">
      <c r="A581" s="50" t="s">
        <v>274</v>
      </c>
      <c r="B581" s="50" t="s">
        <v>275</v>
      </c>
      <c r="C581">
        <v>0</v>
      </c>
      <c r="D581" s="50" t="s">
        <v>13</v>
      </c>
      <c r="E581" t="s">
        <v>211</v>
      </c>
      <c r="G581" s="50" t="s">
        <v>140</v>
      </c>
      <c r="H581" t="s">
        <v>12</v>
      </c>
    </row>
    <row r="582" spans="1:9">
      <c r="A582" s="50" t="s">
        <v>276</v>
      </c>
      <c r="B582" s="50" t="s">
        <v>277</v>
      </c>
      <c r="C582">
        <v>0</v>
      </c>
      <c r="D582" s="50" t="s">
        <v>13</v>
      </c>
      <c r="E582" t="s">
        <v>211</v>
      </c>
      <c r="G582" s="50" t="s">
        <v>140</v>
      </c>
      <c r="H582" t="s">
        <v>12</v>
      </c>
    </row>
    <row r="583" spans="1:9">
      <c r="A583" t="s">
        <v>278</v>
      </c>
      <c r="B583" t="s">
        <v>279</v>
      </c>
      <c r="C583">
        <v>0</v>
      </c>
      <c r="D583" s="50" t="s">
        <v>13</v>
      </c>
      <c r="E583" t="s">
        <v>211</v>
      </c>
      <c r="G583" s="50" t="s">
        <v>140</v>
      </c>
      <c r="H583" t="s">
        <v>12</v>
      </c>
    </row>
    <row r="584" spans="1:9">
      <c r="A584" s="50" t="s">
        <v>280</v>
      </c>
      <c r="B584" s="51" t="s">
        <v>281</v>
      </c>
      <c r="C584">
        <v>0</v>
      </c>
      <c r="D584" s="50" t="s">
        <v>13</v>
      </c>
      <c r="E584" t="s">
        <v>211</v>
      </c>
      <c r="G584" s="50" t="s">
        <v>140</v>
      </c>
      <c r="H584" t="s">
        <v>12</v>
      </c>
    </row>
    <row r="585" spans="1:9">
      <c r="A585" s="50" t="s">
        <v>282</v>
      </c>
      <c r="B585" s="51" t="s">
        <v>283</v>
      </c>
      <c r="C585">
        <v>0</v>
      </c>
      <c r="D585" s="50" t="s">
        <v>13</v>
      </c>
      <c r="E585" t="s">
        <v>211</v>
      </c>
      <c r="G585" s="50" t="s">
        <v>140</v>
      </c>
      <c r="H585" t="s">
        <v>12</v>
      </c>
    </row>
    <row r="586" spans="1:9">
      <c r="A586" s="15" t="s">
        <v>284</v>
      </c>
      <c r="B586" s="51"/>
      <c r="C586">
        <v>0</v>
      </c>
      <c r="D586" s="50" t="s">
        <v>13</v>
      </c>
      <c r="E586" s="50" t="s">
        <v>109</v>
      </c>
      <c r="F586" t="s">
        <v>184</v>
      </c>
      <c r="H586" t="s">
        <v>15</v>
      </c>
    </row>
    <row r="587" spans="1:9">
      <c r="A587" s="15" t="s">
        <v>108</v>
      </c>
      <c r="B587" s="50"/>
      <c r="C587">
        <v>0</v>
      </c>
      <c r="D587" s="50" t="s">
        <v>13</v>
      </c>
      <c r="E587" s="50" t="s">
        <v>109</v>
      </c>
      <c r="F587" t="s">
        <v>184</v>
      </c>
      <c r="H587" t="s">
        <v>15</v>
      </c>
    </row>
    <row r="588" spans="1:9" s="56" customFormat="1">
      <c r="B588" s="57"/>
      <c r="I588" s="58"/>
    </row>
    <row r="589" spans="1:9">
      <c r="A589" s="43" t="s">
        <v>1</v>
      </c>
      <c r="B589" s="43" t="s">
        <v>287</v>
      </c>
      <c r="I589"/>
    </row>
    <row r="590" spans="1:9">
      <c r="A590" s="46" t="s">
        <v>11</v>
      </c>
      <c r="B590" s="59"/>
      <c r="I590"/>
    </row>
    <row r="591" spans="1:9">
      <c r="A591" s="46" t="s">
        <v>2</v>
      </c>
      <c r="B591" t="s">
        <v>29</v>
      </c>
      <c r="I591"/>
    </row>
    <row r="592" spans="1:9">
      <c r="A592" s="46" t="s">
        <v>3</v>
      </c>
      <c r="B592" s="47">
        <v>1</v>
      </c>
      <c r="I592"/>
    </row>
    <row r="593" spans="1:9">
      <c r="A593" s="46" t="s">
        <v>4</v>
      </c>
      <c r="B593" t="s">
        <v>259</v>
      </c>
      <c r="I593"/>
    </row>
    <row r="594" spans="1:9">
      <c r="A594" s="46" t="s">
        <v>6</v>
      </c>
      <c r="B594" t="s">
        <v>128</v>
      </c>
      <c r="I594"/>
    </row>
    <row r="595" spans="1:9">
      <c r="A595" s="46" t="s">
        <v>76</v>
      </c>
      <c r="B595"/>
      <c r="I595"/>
    </row>
    <row r="596" spans="1:9" ht="15.6">
      <c r="A596" s="30" t="s">
        <v>7</v>
      </c>
      <c r="B596"/>
      <c r="I596"/>
    </row>
    <row r="597" spans="1:9" s="46" customFormat="1">
      <c r="A597" s="46" t="s">
        <v>8</v>
      </c>
      <c r="B597" s="46" t="s">
        <v>4</v>
      </c>
      <c r="C597" s="46" t="s">
        <v>9</v>
      </c>
      <c r="D597" s="46" t="s">
        <v>6</v>
      </c>
      <c r="E597" s="46" t="s">
        <v>106</v>
      </c>
      <c r="F597" s="46" t="s">
        <v>10</v>
      </c>
      <c r="G597" s="46" t="s">
        <v>2</v>
      </c>
      <c r="H597" s="46" t="s">
        <v>5</v>
      </c>
      <c r="I597" s="46" t="s">
        <v>11</v>
      </c>
    </row>
    <row r="598" spans="1:9">
      <c r="A598" t="s">
        <v>287</v>
      </c>
      <c r="B598" t="s">
        <v>259</v>
      </c>
      <c r="C598">
        <v>1</v>
      </c>
      <c r="D598" t="s">
        <v>128</v>
      </c>
      <c r="E598" s="50"/>
      <c r="G598" t="s">
        <v>29</v>
      </c>
      <c r="H598" t="s">
        <v>18</v>
      </c>
    </row>
    <row r="599" spans="1:9">
      <c r="A599" t="s">
        <v>264</v>
      </c>
      <c r="B599" t="s">
        <v>265</v>
      </c>
      <c r="C599">
        <v>1.5294587364305477E-4</v>
      </c>
      <c r="D599" t="s">
        <v>13</v>
      </c>
      <c r="E599" t="s">
        <v>211</v>
      </c>
      <c r="G599" t="s">
        <v>140</v>
      </c>
      <c r="H599" t="s">
        <v>12</v>
      </c>
    </row>
    <row r="600" spans="1:9">
      <c r="A600" t="s">
        <v>266</v>
      </c>
      <c r="B600" t="s">
        <v>135</v>
      </c>
      <c r="C600">
        <v>5.4000000000000001E-11</v>
      </c>
      <c r="D600" t="s">
        <v>6</v>
      </c>
      <c r="E600" t="s">
        <v>211</v>
      </c>
      <c r="G600" t="s">
        <v>140</v>
      </c>
      <c r="H600" t="s">
        <v>12</v>
      </c>
    </row>
    <row r="601" spans="1:9">
      <c r="A601" t="s">
        <v>28</v>
      </c>
      <c r="B601" t="s">
        <v>20</v>
      </c>
      <c r="C601">
        <v>0.67679502616145548</v>
      </c>
      <c r="D601" t="s">
        <v>19</v>
      </c>
      <c r="E601" t="s">
        <v>211</v>
      </c>
      <c r="G601" t="s">
        <v>29</v>
      </c>
      <c r="H601" t="s">
        <v>12</v>
      </c>
    </row>
    <row r="602" spans="1:9">
      <c r="A602" t="s">
        <v>180</v>
      </c>
      <c r="B602" t="s">
        <v>181</v>
      </c>
      <c r="C602">
        <v>1.1400000000000001E-4</v>
      </c>
      <c r="D602" t="s">
        <v>13</v>
      </c>
      <c r="E602" t="s">
        <v>211</v>
      </c>
      <c r="G602" t="s">
        <v>49</v>
      </c>
      <c r="H602" t="s">
        <v>12</v>
      </c>
    </row>
    <row r="603" spans="1:9">
      <c r="A603" t="s">
        <v>267</v>
      </c>
      <c r="B603" t="s">
        <v>268</v>
      </c>
      <c r="C603">
        <v>1.01E-4</v>
      </c>
      <c r="D603" t="s">
        <v>13</v>
      </c>
      <c r="E603" t="s">
        <v>211</v>
      </c>
      <c r="G603" t="s">
        <v>140</v>
      </c>
      <c r="H603" t="s">
        <v>12</v>
      </c>
    </row>
    <row r="604" spans="1:9">
      <c r="A604" t="s">
        <v>269</v>
      </c>
      <c r="B604" s="19" t="s">
        <v>197</v>
      </c>
      <c r="C604">
        <v>1.9118234205381845</v>
      </c>
      <c r="D604" s="45" t="s">
        <v>128</v>
      </c>
      <c r="G604" s="50" t="s">
        <v>29</v>
      </c>
      <c r="H604" t="s">
        <v>12</v>
      </c>
    </row>
    <row r="605" spans="1:9">
      <c r="A605" t="s">
        <v>218</v>
      </c>
      <c r="B605"/>
      <c r="C605">
        <v>1.7695466599821643</v>
      </c>
      <c r="D605" t="s">
        <v>13</v>
      </c>
      <c r="E605" t="s">
        <v>109</v>
      </c>
      <c r="F605" t="s">
        <v>184</v>
      </c>
      <c r="H605" t="s">
        <v>15</v>
      </c>
    </row>
    <row r="606" spans="1:9">
      <c r="A606" t="s">
        <v>260</v>
      </c>
      <c r="B606"/>
      <c r="C606">
        <v>1.28</v>
      </c>
      <c r="D606" t="s">
        <v>46</v>
      </c>
      <c r="E606" t="s">
        <v>109</v>
      </c>
      <c r="F606" t="s">
        <v>184</v>
      </c>
      <c r="H606" t="s">
        <v>15</v>
      </c>
    </row>
    <row r="607" spans="1:9">
      <c r="A607" t="s">
        <v>261</v>
      </c>
      <c r="B607"/>
      <c r="C607">
        <v>0</v>
      </c>
      <c r="D607" t="s">
        <v>13</v>
      </c>
      <c r="E607" t="s">
        <v>109</v>
      </c>
      <c r="F607" t="s">
        <v>184</v>
      </c>
      <c r="H607" t="s">
        <v>15</v>
      </c>
    </row>
    <row r="608" spans="1:9">
      <c r="A608" t="s">
        <v>185</v>
      </c>
      <c r="B608"/>
      <c r="C608">
        <v>2.1269088000000002E-2</v>
      </c>
      <c r="D608" t="s">
        <v>13</v>
      </c>
      <c r="E608" t="s">
        <v>109</v>
      </c>
      <c r="F608" t="s">
        <v>184</v>
      </c>
      <c r="H608" t="s">
        <v>15</v>
      </c>
    </row>
    <row r="609" spans="1:9">
      <c r="A609" t="s">
        <v>262</v>
      </c>
      <c r="B609"/>
      <c r="C609">
        <v>5.1560000000000002E-2</v>
      </c>
      <c r="D609" t="s">
        <v>13</v>
      </c>
      <c r="E609" t="s">
        <v>109</v>
      </c>
      <c r="F609" t="s">
        <v>25</v>
      </c>
      <c r="H609" t="s">
        <v>15</v>
      </c>
    </row>
    <row r="610" spans="1:9">
      <c r="A610" t="s">
        <v>125</v>
      </c>
      <c r="B610"/>
      <c r="C610">
        <v>6.5989999999999998E-6</v>
      </c>
      <c r="D610" t="s">
        <v>13</v>
      </c>
      <c r="E610" t="s">
        <v>109</v>
      </c>
      <c r="F610" t="s">
        <v>263</v>
      </c>
      <c r="H610" t="s">
        <v>15</v>
      </c>
    </row>
    <row r="611" spans="1:9">
      <c r="A611" s="50" t="s">
        <v>38</v>
      </c>
      <c r="B611" s="50" t="s">
        <v>39</v>
      </c>
      <c r="C611" s="61">
        <v>0</v>
      </c>
      <c r="D611" s="50" t="s">
        <v>13</v>
      </c>
      <c r="E611" t="s">
        <v>211</v>
      </c>
      <c r="G611" s="50" t="s">
        <v>22</v>
      </c>
      <c r="H611" t="s">
        <v>12</v>
      </c>
    </row>
    <row r="612" spans="1:9">
      <c r="A612" s="50" t="s">
        <v>274</v>
      </c>
      <c r="B612" s="50" t="s">
        <v>275</v>
      </c>
      <c r="C612">
        <v>2.0799999999999999E-4</v>
      </c>
      <c r="D612" s="50" t="s">
        <v>13</v>
      </c>
      <c r="E612" t="s">
        <v>211</v>
      </c>
      <c r="G612" s="50" t="s">
        <v>140</v>
      </c>
      <c r="H612" t="s">
        <v>12</v>
      </c>
    </row>
    <row r="613" spans="1:9">
      <c r="A613" s="50" t="s">
        <v>276</v>
      </c>
      <c r="B613" s="50" t="s">
        <v>277</v>
      </c>
      <c r="C613">
        <v>0</v>
      </c>
      <c r="D613" s="50" t="s">
        <v>13</v>
      </c>
      <c r="E613" t="s">
        <v>211</v>
      </c>
      <c r="G613" s="50" t="s">
        <v>140</v>
      </c>
      <c r="H613" t="s">
        <v>12</v>
      </c>
    </row>
    <row r="614" spans="1:9">
      <c r="A614" t="s">
        <v>278</v>
      </c>
      <c r="B614" t="s">
        <v>279</v>
      </c>
      <c r="C614">
        <v>3.98E-6</v>
      </c>
      <c r="D614" s="50" t="s">
        <v>13</v>
      </c>
      <c r="E614" t="s">
        <v>211</v>
      </c>
      <c r="G614" s="50" t="s">
        <v>140</v>
      </c>
      <c r="H614" t="s">
        <v>12</v>
      </c>
    </row>
    <row r="615" spans="1:9">
      <c r="A615" s="50" t="s">
        <v>280</v>
      </c>
      <c r="B615" s="51" t="s">
        <v>281</v>
      </c>
      <c r="C615">
        <v>0</v>
      </c>
      <c r="D615" s="50" t="s">
        <v>13</v>
      </c>
      <c r="E615" t="s">
        <v>211</v>
      </c>
      <c r="G615" s="50" t="s">
        <v>140</v>
      </c>
      <c r="H615" t="s">
        <v>12</v>
      </c>
    </row>
    <row r="616" spans="1:9">
      <c r="A616" s="50" t="s">
        <v>282</v>
      </c>
      <c r="B616" s="51" t="s">
        <v>283</v>
      </c>
      <c r="C616">
        <v>0</v>
      </c>
      <c r="D616" s="50" t="s">
        <v>13</v>
      </c>
      <c r="E616" t="s">
        <v>211</v>
      </c>
      <c r="G616" s="50" t="s">
        <v>140</v>
      </c>
      <c r="H616" t="s">
        <v>12</v>
      </c>
    </row>
    <row r="617" spans="1:9">
      <c r="A617" s="15" t="s">
        <v>284</v>
      </c>
      <c r="B617" s="51"/>
      <c r="C617">
        <v>0</v>
      </c>
      <c r="D617" s="50" t="s">
        <v>13</v>
      </c>
      <c r="E617" s="50" t="s">
        <v>109</v>
      </c>
      <c r="F617" t="s">
        <v>184</v>
      </c>
      <c r="H617" t="s">
        <v>15</v>
      </c>
    </row>
    <row r="618" spans="1:9">
      <c r="A618" s="15" t="s">
        <v>108</v>
      </c>
      <c r="B618" s="50"/>
      <c r="C618">
        <v>0</v>
      </c>
      <c r="D618" s="50" t="s">
        <v>13</v>
      </c>
      <c r="E618" s="50" t="s">
        <v>109</v>
      </c>
      <c r="F618" t="s">
        <v>184</v>
      </c>
      <c r="H618" t="s">
        <v>15</v>
      </c>
    </row>
    <row r="619" spans="1:9">
      <c r="A619" s="56"/>
      <c r="B619" s="57"/>
      <c r="C619" s="56"/>
      <c r="D619" s="56"/>
      <c r="E619" s="56"/>
      <c r="F619" s="56"/>
      <c r="G619" s="56"/>
      <c r="H619" s="56"/>
      <c r="I619" s="58"/>
    </row>
    <row r="620" spans="1:9">
      <c r="A620" s="43" t="s">
        <v>1</v>
      </c>
      <c r="B620" s="43" t="s">
        <v>288</v>
      </c>
      <c r="I620"/>
    </row>
    <row r="621" spans="1:9">
      <c r="A621" s="46" t="s">
        <v>11</v>
      </c>
      <c r="B621" s="59"/>
      <c r="I621"/>
    </row>
    <row r="622" spans="1:9">
      <c r="A622" s="46" t="s">
        <v>2</v>
      </c>
      <c r="B622" t="s">
        <v>29</v>
      </c>
      <c r="I622"/>
    </row>
    <row r="623" spans="1:9">
      <c r="A623" s="46" t="s">
        <v>3</v>
      </c>
      <c r="B623" s="47">
        <v>1</v>
      </c>
      <c r="I623"/>
    </row>
    <row r="624" spans="1:9">
      <c r="A624" s="46" t="s">
        <v>4</v>
      </c>
      <c r="B624" t="s">
        <v>259</v>
      </c>
      <c r="I624"/>
    </row>
    <row r="625" spans="1:9">
      <c r="A625" s="46" t="s">
        <v>6</v>
      </c>
      <c r="B625" t="s">
        <v>128</v>
      </c>
      <c r="I625"/>
    </row>
    <row r="626" spans="1:9">
      <c r="A626" s="46" t="s">
        <v>76</v>
      </c>
      <c r="B626"/>
      <c r="I626"/>
    </row>
    <row r="627" spans="1:9" ht="15.6">
      <c r="A627" s="30" t="s">
        <v>7</v>
      </c>
      <c r="B627"/>
      <c r="I627"/>
    </row>
    <row r="628" spans="1:9">
      <c r="A628" s="46" t="s">
        <v>8</v>
      </c>
      <c r="B628" s="46" t="s">
        <v>4</v>
      </c>
      <c r="C628" s="46" t="s">
        <v>9</v>
      </c>
      <c r="D628" s="46" t="s">
        <v>6</v>
      </c>
      <c r="E628" s="46" t="s">
        <v>106</v>
      </c>
      <c r="F628" s="46" t="s">
        <v>10</v>
      </c>
      <c r="G628" s="46" t="s">
        <v>2</v>
      </c>
      <c r="H628" s="46" t="s">
        <v>5</v>
      </c>
      <c r="I628" s="46" t="s">
        <v>11</v>
      </c>
    </row>
    <row r="629" spans="1:9">
      <c r="A629" t="s">
        <v>288</v>
      </c>
      <c r="B629" t="s">
        <v>259</v>
      </c>
      <c r="C629">
        <v>1</v>
      </c>
      <c r="D629" t="s">
        <v>128</v>
      </c>
      <c r="E629" s="50"/>
      <c r="G629" t="s">
        <v>29</v>
      </c>
      <c r="H629" t="s">
        <v>18</v>
      </c>
    </row>
    <row r="630" spans="1:9">
      <c r="A630" t="s">
        <v>264</v>
      </c>
      <c r="B630" t="s">
        <v>265</v>
      </c>
      <c r="C630">
        <v>1.5029864785434452E-4</v>
      </c>
      <c r="D630" t="s">
        <v>13</v>
      </c>
      <c r="E630" t="s">
        <v>211</v>
      </c>
      <c r="G630" t="s">
        <v>140</v>
      </c>
      <c r="H630" t="s">
        <v>12</v>
      </c>
    </row>
    <row r="631" spans="1:9">
      <c r="A631" t="s">
        <v>266</v>
      </c>
      <c r="B631" t="s">
        <v>135</v>
      </c>
      <c r="C631">
        <v>0</v>
      </c>
      <c r="D631" t="s">
        <v>6</v>
      </c>
      <c r="E631" t="s">
        <v>211</v>
      </c>
      <c r="G631" t="s">
        <v>140</v>
      </c>
      <c r="H631" t="s">
        <v>12</v>
      </c>
    </row>
    <row r="632" spans="1:9">
      <c r="A632" t="s">
        <v>28</v>
      </c>
      <c r="B632" t="s">
        <v>20</v>
      </c>
      <c r="C632">
        <v>0.6575565843627571</v>
      </c>
      <c r="D632" t="s">
        <v>19</v>
      </c>
      <c r="E632" t="s">
        <v>211</v>
      </c>
      <c r="G632" t="s">
        <v>29</v>
      </c>
      <c r="H632" t="s">
        <v>12</v>
      </c>
    </row>
    <row r="633" spans="1:9">
      <c r="A633" t="s">
        <v>180</v>
      </c>
      <c r="B633" t="s">
        <v>181</v>
      </c>
      <c r="C633">
        <v>0</v>
      </c>
      <c r="D633" t="s">
        <v>13</v>
      </c>
      <c r="E633" t="s">
        <v>211</v>
      </c>
      <c r="G633" t="s">
        <v>49</v>
      </c>
      <c r="H633" t="s">
        <v>12</v>
      </c>
    </row>
    <row r="634" spans="1:9">
      <c r="A634" t="s">
        <v>267</v>
      </c>
      <c r="B634" t="s">
        <v>268</v>
      </c>
      <c r="C634">
        <v>0</v>
      </c>
      <c r="D634" t="s">
        <v>13</v>
      </c>
      <c r="E634" t="s">
        <v>211</v>
      </c>
      <c r="G634" t="s">
        <v>140</v>
      </c>
      <c r="H634" t="s">
        <v>12</v>
      </c>
    </row>
    <row r="635" spans="1:9">
      <c r="A635" t="s">
        <v>269</v>
      </c>
      <c r="B635" s="19" t="s">
        <v>197</v>
      </c>
      <c r="C635">
        <v>1.8787330981793062</v>
      </c>
      <c r="D635" s="45" t="s">
        <v>128</v>
      </c>
      <c r="G635" s="50" t="s">
        <v>29</v>
      </c>
      <c r="H635" t="s">
        <v>12</v>
      </c>
    </row>
    <row r="636" spans="1:9">
      <c r="A636" t="s">
        <v>218</v>
      </c>
      <c r="B636"/>
      <c r="C636">
        <v>1.7592062868727893</v>
      </c>
      <c r="D636" t="s">
        <v>13</v>
      </c>
      <c r="E636" t="s">
        <v>109</v>
      </c>
      <c r="F636" t="s">
        <v>184</v>
      </c>
      <c r="H636" t="s">
        <v>15</v>
      </c>
    </row>
    <row r="637" spans="1:9">
      <c r="A637" t="s">
        <v>260</v>
      </c>
      <c r="B637"/>
      <c r="C637">
        <v>0</v>
      </c>
      <c r="D637" t="s">
        <v>46</v>
      </c>
      <c r="E637" t="s">
        <v>109</v>
      </c>
      <c r="F637" t="s">
        <v>184</v>
      </c>
      <c r="H637" t="s">
        <v>15</v>
      </c>
    </row>
    <row r="638" spans="1:9">
      <c r="A638" t="s">
        <v>261</v>
      </c>
      <c r="B638"/>
      <c r="C638">
        <v>0</v>
      </c>
      <c r="D638" t="s">
        <v>13</v>
      </c>
      <c r="E638" t="s">
        <v>109</v>
      </c>
      <c r="F638" t="s">
        <v>184</v>
      </c>
      <c r="H638" t="s">
        <v>15</v>
      </c>
    </row>
    <row r="639" spans="1:9">
      <c r="A639" t="s">
        <v>185</v>
      </c>
      <c r="B639"/>
      <c r="C639">
        <v>3.4834928759999994E-4</v>
      </c>
      <c r="D639" t="s">
        <v>13</v>
      </c>
      <c r="E639" t="s">
        <v>109</v>
      </c>
      <c r="F639" t="s">
        <v>184</v>
      </c>
      <c r="H639" t="s">
        <v>15</v>
      </c>
    </row>
    <row r="640" spans="1:9">
      <c r="A640" t="s">
        <v>262</v>
      </c>
      <c r="B640"/>
      <c r="C640">
        <v>0</v>
      </c>
      <c r="D640" t="s">
        <v>13</v>
      </c>
      <c r="E640" t="s">
        <v>109</v>
      </c>
      <c r="F640" t="s">
        <v>25</v>
      </c>
      <c r="H640" t="s">
        <v>15</v>
      </c>
    </row>
    <row r="641" spans="1:9">
      <c r="A641" t="s">
        <v>125</v>
      </c>
      <c r="B641"/>
      <c r="C641">
        <v>0</v>
      </c>
      <c r="D641" t="s">
        <v>13</v>
      </c>
      <c r="E641" t="s">
        <v>109</v>
      </c>
      <c r="F641" t="s">
        <v>263</v>
      </c>
      <c r="H641" t="s">
        <v>15</v>
      </c>
    </row>
    <row r="642" spans="1:9">
      <c r="A642" s="50" t="s">
        <v>38</v>
      </c>
      <c r="B642" s="50" t="s">
        <v>39</v>
      </c>
      <c r="C642" s="61">
        <v>0</v>
      </c>
      <c r="D642" s="50" t="s">
        <v>13</v>
      </c>
      <c r="E642" t="s">
        <v>211</v>
      </c>
      <c r="G642" s="50" t="s">
        <v>22</v>
      </c>
      <c r="H642" t="s">
        <v>12</v>
      </c>
    </row>
    <row r="643" spans="1:9">
      <c r="A643" s="50" t="s">
        <v>274</v>
      </c>
      <c r="B643" s="50" t="s">
        <v>275</v>
      </c>
      <c r="C643">
        <v>0</v>
      </c>
      <c r="D643" s="50" t="s">
        <v>13</v>
      </c>
      <c r="E643" t="s">
        <v>211</v>
      </c>
      <c r="G643" s="50" t="s">
        <v>140</v>
      </c>
      <c r="H643" t="s">
        <v>12</v>
      </c>
    </row>
    <row r="644" spans="1:9">
      <c r="A644" s="50" t="s">
        <v>276</v>
      </c>
      <c r="B644" s="50" t="s">
        <v>277</v>
      </c>
      <c r="C644">
        <v>0</v>
      </c>
      <c r="D644" s="50" t="s">
        <v>13</v>
      </c>
      <c r="E644" t="s">
        <v>211</v>
      </c>
      <c r="G644" s="50" t="s">
        <v>140</v>
      </c>
      <c r="H644" t="s">
        <v>12</v>
      </c>
    </row>
    <row r="645" spans="1:9">
      <c r="A645" t="s">
        <v>278</v>
      </c>
      <c r="B645" t="s">
        <v>279</v>
      </c>
      <c r="C645">
        <v>0</v>
      </c>
      <c r="D645" s="50" t="s">
        <v>13</v>
      </c>
      <c r="E645" t="s">
        <v>211</v>
      </c>
      <c r="G645" s="50" t="s">
        <v>140</v>
      </c>
      <c r="H645" t="s">
        <v>12</v>
      </c>
    </row>
    <row r="646" spans="1:9">
      <c r="A646" s="50" t="s">
        <v>280</v>
      </c>
      <c r="B646" s="51" t="s">
        <v>281</v>
      </c>
      <c r="C646">
        <v>0</v>
      </c>
      <c r="D646" s="50" t="s">
        <v>13</v>
      </c>
      <c r="E646" t="s">
        <v>211</v>
      </c>
      <c r="G646" s="50" t="s">
        <v>140</v>
      </c>
      <c r="H646" t="s">
        <v>12</v>
      </c>
    </row>
    <row r="647" spans="1:9">
      <c r="A647" s="50" t="s">
        <v>282</v>
      </c>
      <c r="B647" s="51" t="s">
        <v>283</v>
      </c>
      <c r="C647">
        <v>0</v>
      </c>
      <c r="D647" s="50" t="s">
        <v>13</v>
      </c>
      <c r="E647" t="s">
        <v>211</v>
      </c>
      <c r="G647" s="50" t="s">
        <v>140</v>
      </c>
      <c r="H647" t="s">
        <v>12</v>
      </c>
    </row>
    <row r="648" spans="1:9">
      <c r="A648" s="15" t="s">
        <v>284</v>
      </c>
      <c r="B648" s="51"/>
      <c r="C648">
        <v>0</v>
      </c>
      <c r="D648" s="50" t="s">
        <v>13</v>
      </c>
      <c r="E648" s="50" t="s">
        <v>109</v>
      </c>
      <c r="F648" t="s">
        <v>184</v>
      </c>
      <c r="H648" t="s">
        <v>15</v>
      </c>
    </row>
    <row r="649" spans="1:9">
      <c r="A649" s="15" t="s">
        <v>108</v>
      </c>
      <c r="B649" s="50"/>
      <c r="C649">
        <v>0</v>
      </c>
      <c r="D649" s="50" t="s">
        <v>13</v>
      </c>
      <c r="E649" s="50" t="s">
        <v>109</v>
      </c>
      <c r="F649" t="s">
        <v>184</v>
      </c>
      <c r="H649" t="s">
        <v>15</v>
      </c>
    </row>
    <row r="650" spans="1:9">
      <c r="A650" s="56"/>
      <c r="B650" s="57"/>
      <c r="C650" s="56"/>
      <c r="D650" s="56"/>
      <c r="E650" s="56"/>
      <c r="F650" s="56"/>
      <c r="G650" s="56"/>
      <c r="H650" s="56"/>
      <c r="I650" s="58"/>
    </row>
    <row r="651" spans="1:9">
      <c r="A651" s="46"/>
    </row>
    <row r="652" spans="1:9">
      <c r="A652" s="46"/>
    </row>
    <row r="653" spans="1:9">
      <c r="A653" s="46"/>
    </row>
    <row r="654" spans="1:9">
      <c r="A654" s="46"/>
    </row>
    <row r="655" spans="1:9">
      <c r="A655" s="46"/>
    </row>
    <row r="656" spans="1:9">
      <c r="A656" s="46"/>
    </row>
    <row r="657" spans="1:9">
      <c r="A657" s="46"/>
    </row>
    <row r="658" spans="1:9">
      <c r="A658" s="46"/>
    </row>
    <row r="659" spans="1:9">
      <c r="A659" s="46"/>
    </row>
    <row r="660" spans="1:9" s="46" customFormat="1">
      <c r="C660" s="39"/>
    </row>
    <row r="661" spans="1:9">
      <c r="A661" s="19"/>
      <c r="C661" s="19"/>
      <c r="I661"/>
    </row>
    <row r="662" spans="1:9">
      <c r="B662"/>
      <c r="C662" s="19"/>
      <c r="I662"/>
    </row>
    <row r="663" spans="1:9">
      <c r="B663"/>
      <c r="C663" s="19"/>
      <c r="I663"/>
    </row>
    <row r="664" spans="1:9">
      <c r="B664"/>
      <c r="C664" s="19"/>
      <c r="I664"/>
    </row>
    <row r="665" spans="1:9">
      <c r="B665"/>
      <c r="C665" s="19"/>
      <c r="I665"/>
    </row>
  </sheetData>
  <hyperlinks>
    <hyperlink ref="G502" r:id="rId1" display="https://doi.org/10.1016/j.jclepro.2017.02.032" xr:uid="{452A1D98-DB73-468C-B117-F061F357C33B}"/>
  </hyperlinks>
  <pageMargins left="0.7" right="0.7" top="0.75" bottom="0.75" header="0.3" footer="0.3"/>
  <pageSetup paperSize="9"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633916-1C4C-4A86-8A8C-AB33DBD5A2E2}">
  <dimension ref="A1:K57"/>
  <sheetViews>
    <sheetView topLeftCell="A4" workbookViewId="0">
      <selection activeCell="D28" sqref="D28"/>
    </sheetView>
  </sheetViews>
  <sheetFormatPr defaultColWidth="11.44140625" defaultRowHeight="14.4"/>
  <sheetData>
    <row r="1" spans="1:11">
      <c r="A1" t="s">
        <v>174</v>
      </c>
    </row>
    <row r="3" spans="1:11">
      <c r="A3" s="4" t="s">
        <v>1</v>
      </c>
      <c r="B3" s="12" t="s">
        <v>171</v>
      </c>
      <c r="C3" s="9"/>
      <c r="D3" s="9"/>
      <c r="E3" s="9"/>
      <c r="F3" s="9"/>
      <c r="G3" s="9"/>
      <c r="H3" s="9"/>
      <c r="I3" s="3"/>
      <c r="J3" s="21"/>
      <c r="K3" s="22"/>
    </row>
    <row r="4" spans="1:11">
      <c r="A4" s="6" t="s">
        <v>3</v>
      </c>
      <c r="B4" s="14">
        <v>1</v>
      </c>
      <c r="C4" s="9"/>
      <c r="D4" s="9"/>
      <c r="E4" s="9"/>
      <c r="F4" s="9"/>
      <c r="G4" s="9"/>
      <c r="H4" s="9"/>
      <c r="I4" s="3"/>
      <c r="J4" s="13"/>
      <c r="K4" s="22"/>
    </row>
    <row r="5" spans="1:11">
      <c r="A5" s="6" t="s">
        <v>11</v>
      </c>
      <c r="B5" s="23" t="s">
        <v>41</v>
      </c>
      <c r="C5" s="9"/>
      <c r="D5" s="9"/>
      <c r="E5" s="9"/>
      <c r="F5" s="9"/>
      <c r="G5" s="9"/>
      <c r="H5" s="9"/>
      <c r="I5" s="3"/>
      <c r="K5" s="22"/>
    </row>
    <row r="6" spans="1:11">
      <c r="A6" s="6" t="s">
        <v>4</v>
      </c>
      <c r="B6" s="10" t="s">
        <v>26</v>
      </c>
      <c r="C6" s="9"/>
      <c r="D6" s="9"/>
      <c r="E6" s="9"/>
      <c r="F6" s="9"/>
      <c r="G6" s="9"/>
      <c r="H6" s="9"/>
      <c r="I6" s="3"/>
    </row>
    <row r="7" spans="1:11" ht="16.350000000000001" customHeight="1">
      <c r="A7" s="6" t="s">
        <v>2</v>
      </c>
      <c r="B7" s="15" t="s">
        <v>29</v>
      </c>
      <c r="C7" s="9"/>
      <c r="D7" s="9"/>
      <c r="E7" s="9"/>
      <c r="F7" s="9"/>
      <c r="G7" s="9"/>
      <c r="H7" s="9"/>
      <c r="I7" s="3"/>
    </row>
    <row r="8" spans="1:11">
      <c r="A8" s="6" t="s">
        <v>6</v>
      </c>
      <c r="B8" s="10" t="s">
        <v>13</v>
      </c>
      <c r="C8" s="9"/>
      <c r="D8" s="9"/>
      <c r="E8" s="9"/>
      <c r="F8" s="9"/>
      <c r="G8" s="9"/>
      <c r="H8" s="16"/>
      <c r="I8" s="3"/>
    </row>
    <row r="9" spans="1:11">
      <c r="A9" s="16" t="s">
        <v>7</v>
      </c>
      <c r="B9" s="12"/>
      <c r="C9" s="16"/>
      <c r="D9" s="16"/>
      <c r="E9" s="16"/>
      <c r="F9" s="16"/>
      <c r="G9" s="16"/>
      <c r="H9" s="13"/>
      <c r="I9" s="3"/>
    </row>
    <row r="10" spans="1:11">
      <c r="A10" t="s">
        <v>8</v>
      </c>
      <c r="B10" s="19" t="s">
        <v>9</v>
      </c>
      <c r="C10" t="s">
        <v>2</v>
      </c>
      <c r="D10" t="s">
        <v>6</v>
      </c>
      <c r="E10" t="s">
        <v>5</v>
      </c>
      <c r="F10" t="s">
        <v>4</v>
      </c>
      <c r="G10" s="1" t="s">
        <v>10</v>
      </c>
      <c r="H10" s="20" t="s">
        <v>11</v>
      </c>
      <c r="I10" s="3"/>
    </row>
    <row r="11" spans="1:11">
      <c r="A11" t="s">
        <v>44</v>
      </c>
      <c r="B11" s="19">
        <v>1</v>
      </c>
      <c r="C11" t="s">
        <v>29</v>
      </c>
      <c r="D11" t="s">
        <v>13</v>
      </c>
      <c r="E11" t="s">
        <v>18</v>
      </c>
      <c r="F11" s="10" t="s">
        <v>26</v>
      </c>
      <c r="G11" s="13"/>
      <c r="I11" s="3"/>
    </row>
    <row r="12" spans="1:11">
      <c r="A12" t="s">
        <v>35</v>
      </c>
      <c r="B12" s="19">
        <f>4.3*28.6</f>
        <v>122.98</v>
      </c>
      <c r="C12" t="s">
        <v>42</v>
      </c>
      <c r="D12" t="s">
        <v>46</v>
      </c>
      <c r="E12" t="s">
        <v>12</v>
      </c>
      <c r="F12" t="s">
        <v>36</v>
      </c>
      <c r="I12" s="3"/>
    </row>
    <row r="13" spans="1:11">
      <c r="A13" t="s">
        <v>35</v>
      </c>
      <c r="B13" s="19">
        <v>1.34</v>
      </c>
      <c r="C13" t="s">
        <v>42</v>
      </c>
      <c r="D13" t="s">
        <v>13</v>
      </c>
      <c r="E13" t="s">
        <v>12</v>
      </c>
      <c r="F13" t="s">
        <v>37</v>
      </c>
      <c r="I13" s="3"/>
    </row>
    <row r="14" spans="1:11">
      <c r="A14" t="s">
        <v>38</v>
      </c>
      <c r="B14" s="19">
        <v>4.03</v>
      </c>
      <c r="C14" t="s">
        <v>22</v>
      </c>
      <c r="D14" t="s">
        <v>13</v>
      </c>
      <c r="E14" t="s">
        <v>12</v>
      </c>
      <c r="F14" t="s">
        <v>39</v>
      </c>
      <c r="I14" s="3"/>
    </row>
    <row r="15" spans="1:11">
      <c r="A15" t="s">
        <v>40</v>
      </c>
      <c r="B15" s="19">
        <v>8.34</v>
      </c>
      <c r="D15" t="s">
        <v>13</v>
      </c>
      <c r="E15" t="s">
        <v>15</v>
      </c>
      <c r="G15" t="s">
        <v>25</v>
      </c>
      <c r="I15" s="3"/>
    </row>
    <row r="16" spans="1:11">
      <c r="A16" t="s">
        <v>45</v>
      </c>
      <c r="B16" s="19">
        <v>4.6399999999999997</v>
      </c>
      <c r="C16" t="s">
        <v>29</v>
      </c>
      <c r="D16" t="s">
        <v>19</v>
      </c>
      <c r="E16" t="s">
        <v>12</v>
      </c>
      <c r="F16" t="s">
        <v>43</v>
      </c>
      <c r="I16" s="3"/>
    </row>
    <row r="17" spans="1:11">
      <c r="B17" s="19"/>
      <c r="I17" s="3"/>
    </row>
    <row r="18" spans="1:11">
      <c r="A18" s="4" t="s">
        <v>1</v>
      </c>
      <c r="B18" s="12" t="s">
        <v>170</v>
      </c>
      <c r="C18" s="9"/>
      <c r="D18" s="9"/>
      <c r="E18" s="9"/>
      <c r="F18" s="9"/>
      <c r="G18" s="9"/>
      <c r="H18" s="9"/>
      <c r="I18" s="3"/>
      <c r="J18" s="21"/>
      <c r="K18" s="22"/>
    </row>
    <row r="19" spans="1:11">
      <c r="A19" s="6" t="s">
        <v>3</v>
      </c>
      <c r="B19" s="14">
        <v>1</v>
      </c>
      <c r="C19" s="9"/>
      <c r="D19" s="9"/>
      <c r="E19" s="9"/>
      <c r="F19" s="9"/>
      <c r="G19" s="9"/>
      <c r="H19" s="9"/>
      <c r="I19" s="3"/>
      <c r="J19" s="13"/>
      <c r="K19" s="22"/>
    </row>
    <row r="20" spans="1:11">
      <c r="A20" s="6" t="s">
        <v>11</v>
      </c>
      <c r="B20" s="23" t="s">
        <v>48</v>
      </c>
      <c r="C20" s="9"/>
      <c r="D20" s="9"/>
      <c r="E20" s="9"/>
      <c r="F20" s="9"/>
      <c r="G20" s="9"/>
      <c r="H20" s="9"/>
      <c r="I20" s="3"/>
      <c r="K20" s="22"/>
    </row>
    <row r="21" spans="1:11">
      <c r="A21" s="6" t="s">
        <v>4</v>
      </c>
      <c r="B21" s="10" t="s">
        <v>26</v>
      </c>
      <c r="C21" s="9"/>
      <c r="D21" s="9"/>
      <c r="E21" s="9"/>
      <c r="F21" s="9"/>
      <c r="G21" s="9"/>
      <c r="H21" s="9"/>
      <c r="I21" s="3"/>
    </row>
    <row r="22" spans="1:11" ht="16.350000000000001" customHeight="1">
      <c r="A22" s="6" t="s">
        <v>2</v>
      </c>
      <c r="B22" s="15" t="s">
        <v>29</v>
      </c>
      <c r="C22" s="9"/>
      <c r="D22" s="9"/>
      <c r="E22" s="9"/>
      <c r="F22" s="9"/>
      <c r="G22" s="9"/>
      <c r="H22" s="9"/>
      <c r="I22" s="3"/>
    </row>
    <row r="23" spans="1:11">
      <c r="A23" s="6" t="s">
        <v>6</v>
      </c>
      <c r="B23" s="10" t="s">
        <v>13</v>
      </c>
      <c r="C23" s="9"/>
      <c r="D23" s="9"/>
      <c r="E23" s="9"/>
      <c r="F23" s="9"/>
      <c r="G23" s="9"/>
      <c r="H23" s="16"/>
      <c r="I23" s="3"/>
    </row>
    <row r="24" spans="1:11">
      <c r="A24" s="16" t="s">
        <v>7</v>
      </c>
      <c r="B24" s="12"/>
      <c r="C24" s="16"/>
      <c r="D24" s="16"/>
      <c r="E24" s="16"/>
      <c r="F24" s="16"/>
      <c r="G24" s="16"/>
      <c r="H24" s="13"/>
      <c r="I24" s="3"/>
    </row>
    <row r="25" spans="1:11">
      <c r="A25" t="s">
        <v>8</v>
      </c>
      <c r="B25" s="19" t="s">
        <v>9</v>
      </c>
      <c r="C25" t="s">
        <v>2</v>
      </c>
      <c r="D25" t="s">
        <v>6</v>
      </c>
      <c r="E25" t="s">
        <v>5</v>
      </c>
      <c r="F25" t="s">
        <v>4</v>
      </c>
      <c r="G25" s="1" t="s">
        <v>10</v>
      </c>
      <c r="H25" s="20" t="s">
        <v>11</v>
      </c>
      <c r="I25" s="3"/>
    </row>
    <row r="26" spans="1:11">
      <c r="A26" t="s">
        <v>47</v>
      </c>
      <c r="B26" s="19">
        <v>1</v>
      </c>
      <c r="C26" t="s">
        <v>29</v>
      </c>
      <c r="D26" t="s">
        <v>13</v>
      </c>
      <c r="E26" t="s">
        <v>18</v>
      </c>
      <c r="F26" s="10" t="s">
        <v>26</v>
      </c>
      <c r="G26" s="13"/>
      <c r="I26" s="3"/>
    </row>
    <row r="27" spans="1:11">
      <c r="A27" t="s">
        <v>35</v>
      </c>
      <c r="B27" s="19">
        <f>4.3*28.6</f>
        <v>122.98</v>
      </c>
      <c r="C27" t="s">
        <v>42</v>
      </c>
      <c r="D27" t="s">
        <v>46</v>
      </c>
      <c r="E27" t="s">
        <v>12</v>
      </c>
      <c r="F27" t="s">
        <v>36</v>
      </c>
      <c r="I27" s="3"/>
    </row>
    <row r="28" spans="1:11">
      <c r="A28" t="s">
        <v>35</v>
      </c>
      <c r="B28" s="19">
        <v>1.34</v>
      </c>
      <c r="C28" t="s">
        <v>42</v>
      </c>
      <c r="D28" t="s">
        <v>13</v>
      </c>
      <c r="E28" t="s">
        <v>12</v>
      </c>
      <c r="F28" t="s">
        <v>37</v>
      </c>
      <c r="I28" s="3"/>
    </row>
    <row r="29" spans="1:11">
      <c r="A29" t="s">
        <v>38</v>
      </c>
      <c r="B29" s="19">
        <v>4.03</v>
      </c>
      <c r="C29" t="s">
        <v>22</v>
      </c>
      <c r="D29" t="s">
        <v>13</v>
      </c>
      <c r="E29" t="s">
        <v>12</v>
      </c>
      <c r="F29" t="s">
        <v>39</v>
      </c>
      <c r="I29" s="3"/>
    </row>
    <row r="30" spans="1:11">
      <c r="A30" t="s">
        <v>45</v>
      </c>
      <c r="B30" s="19">
        <v>4.6399999999999997</v>
      </c>
      <c r="C30" t="s">
        <v>29</v>
      </c>
      <c r="D30" t="s">
        <v>19</v>
      </c>
      <c r="E30" t="s">
        <v>12</v>
      </c>
      <c r="F30" t="s">
        <v>43</v>
      </c>
      <c r="I30" s="3"/>
    </row>
    <row r="31" spans="1:11">
      <c r="A31" t="s">
        <v>45</v>
      </c>
      <c r="B31" s="19">
        <v>0.7</v>
      </c>
      <c r="C31" t="s">
        <v>29</v>
      </c>
      <c r="D31" t="s">
        <v>19</v>
      </c>
      <c r="E31" t="s">
        <v>12</v>
      </c>
      <c r="F31" t="s">
        <v>43</v>
      </c>
      <c r="I31" s="3"/>
    </row>
    <row r="33" spans="1:11">
      <c r="A33" s="4" t="s">
        <v>1</v>
      </c>
      <c r="B33" s="12" t="s">
        <v>99</v>
      </c>
      <c r="C33" s="13"/>
      <c r="D33" s="9"/>
      <c r="E33" s="9"/>
      <c r="F33" s="9"/>
      <c r="G33" s="9"/>
      <c r="H33" s="9"/>
      <c r="I33" s="11"/>
      <c r="K33" s="8"/>
    </row>
    <row r="34" spans="1:11">
      <c r="A34" s="6" t="s">
        <v>3</v>
      </c>
      <c r="B34" s="14">
        <v>1</v>
      </c>
      <c r="C34" s="9"/>
      <c r="D34" s="9"/>
      <c r="E34" s="9"/>
      <c r="F34" s="9"/>
      <c r="G34" s="9"/>
      <c r="H34" s="9"/>
      <c r="I34" s="11"/>
      <c r="K34" s="8"/>
    </row>
    <row r="35" spans="1:11">
      <c r="A35" s="6" t="s">
        <v>11</v>
      </c>
      <c r="B35" s="15" t="s">
        <v>50</v>
      </c>
      <c r="C35" s="9"/>
      <c r="D35" s="9"/>
      <c r="E35" s="9"/>
      <c r="F35" s="9"/>
      <c r="G35" s="9"/>
      <c r="H35" s="9"/>
      <c r="I35" s="11"/>
      <c r="K35" s="8"/>
    </row>
    <row r="36" spans="1:11">
      <c r="A36" s="6" t="s">
        <v>4</v>
      </c>
      <c r="B36" s="2" t="s">
        <v>31</v>
      </c>
      <c r="C36" s="9"/>
      <c r="D36" s="9"/>
      <c r="E36" s="9"/>
      <c r="F36" s="9"/>
      <c r="G36" s="9"/>
      <c r="H36" s="9"/>
      <c r="I36" s="11"/>
      <c r="K36" s="8"/>
    </row>
    <row r="37" spans="1:11">
      <c r="A37" s="6" t="s">
        <v>2</v>
      </c>
      <c r="B37" s="15" t="s">
        <v>29</v>
      </c>
      <c r="C37" s="9"/>
      <c r="D37" s="9"/>
      <c r="E37" s="9"/>
      <c r="F37" s="9"/>
      <c r="G37" s="9"/>
      <c r="H37" s="9"/>
      <c r="I37" s="11"/>
      <c r="K37" s="8"/>
    </row>
    <row r="38" spans="1:11">
      <c r="A38" s="6" t="s">
        <v>6</v>
      </c>
      <c r="B38" s="10" t="s">
        <v>19</v>
      </c>
      <c r="C38" s="9"/>
      <c r="D38" s="9"/>
      <c r="E38" s="9"/>
      <c r="F38" s="9"/>
      <c r="G38" s="9"/>
      <c r="H38" s="16"/>
      <c r="I38" s="17"/>
      <c r="K38" s="8"/>
    </row>
    <row r="39" spans="1:11">
      <c r="A39" s="16" t="s">
        <v>7</v>
      </c>
      <c r="B39" s="12"/>
      <c r="C39" s="16"/>
      <c r="D39" s="16"/>
      <c r="E39" s="16"/>
      <c r="F39" s="16"/>
      <c r="G39" s="16"/>
      <c r="H39" s="13"/>
      <c r="I39" s="18"/>
      <c r="K39" s="8"/>
    </row>
    <row r="40" spans="1:11">
      <c r="A40" t="s">
        <v>8</v>
      </c>
      <c r="B40" s="19" t="s">
        <v>9</v>
      </c>
      <c r="C40" t="s">
        <v>2</v>
      </c>
      <c r="D40" t="s">
        <v>6</v>
      </c>
      <c r="E40" t="s">
        <v>5</v>
      </c>
      <c r="F40" t="s">
        <v>4</v>
      </c>
      <c r="G40" t="s">
        <v>10</v>
      </c>
      <c r="H40" s="20" t="s">
        <v>11</v>
      </c>
      <c r="I40" s="3"/>
      <c r="J40" s="1"/>
      <c r="K40" s="8"/>
    </row>
    <row r="41" spans="1:11">
      <c r="A41" s="19" t="str">
        <f>B33</f>
        <v>electricity production, from stationary battery, Tr2050</v>
      </c>
      <c r="B41" s="19">
        <v>1</v>
      </c>
      <c r="C41" t="str">
        <f>B37</f>
        <v>FR</v>
      </c>
      <c r="D41" t="s">
        <v>19</v>
      </c>
      <c r="E41" t="s">
        <v>18</v>
      </c>
      <c r="F41" t="s">
        <v>31</v>
      </c>
      <c r="G41" s="13"/>
      <c r="H41" s="18"/>
      <c r="I41" s="3"/>
      <c r="K41" s="8"/>
    </row>
    <row r="42" spans="1:11">
      <c r="A42" s="6" t="s">
        <v>28</v>
      </c>
      <c r="B42" s="19">
        <f>1*1.19</f>
        <v>1.19</v>
      </c>
      <c r="C42" t="s">
        <v>29</v>
      </c>
      <c r="D42" t="s">
        <v>19</v>
      </c>
      <c r="E42" t="s">
        <v>12</v>
      </c>
      <c r="F42" t="s">
        <v>20</v>
      </c>
      <c r="G42" s="13"/>
      <c r="H42" s="20" t="s">
        <v>51</v>
      </c>
      <c r="I42" s="3"/>
    </row>
    <row r="43" spans="1:11">
      <c r="A43" s="6" t="s">
        <v>28</v>
      </c>
      <c r="B43" s="19">
        <f>((22/1000)*6000*13)/(2500*19.5*0.8)</f>
        <v>4.3999999999999997E-2</v>
      </c>
      <c r="C43" t="s">
        <v>29</v>
      </c>
      <c r="D43" t="s">
        <v>19</v>
      </c>
      <c r="E43" t="s">
        <v>12</v>
      </c>
      <c r="F43" t="s">
        <v>20</v>
      </c>
      <c r="G43" s="13"/>
      <c r="H43" s="20" t="s">
        <v>52</v>
      </c>
      <c r="I43" s="3"/>
    </row>
    <row r="44" spans="1:11">
      <c r="A44" s="6" t="s">
        <v>53</v>
      </c>
      <c r="B44" s="19">
        <f>1/(2500*80%*19.5)</f>
        <v>2.564102564102564E-5</v>
      </c>
      <c r="C44" t="s">
        <v>49</v>
      </c>
      <c r="D44" t="s">
        <v>6</v>
      </c>
      <c r="E44" t="s">
        <v>12</v>
      </c>
      <c r="F44" t="s">
        <v>54</v>
      </c>
      <c r="G44" s="13"/>
      <c r="H44" s="1" t="s">
        <v>55</v>
      </c>
      <c r="I44" s="3"/>
    </row>
    <row r="45" spans="1:11">
      <c r="A45" s="6"/>
      <c r="B45" s="19"/>
      <c r="G45" s="13"/>
      <c r="H45" s="1"/>
      <c r="I45" s="3"/>
    </row>
    <row r="46" spans="1:11">
      <c r="A46" s="19"/>
      <c r="B46" s="19"/>
      <c r="G46" s="13"/>
      <c r="H46" s="13"/>
      <c r="I46" s="3"/>
      <c r="K46" s="8"/>
    </row>
    <row r="47" spans="1:11">
      <c r="A47" s="4" t="s">
        <v>1</v>
      </c>
      <c r="B47" s="12" t="s">
        <v>101</v>
      </c>
      <c r="C47" s="13"/>
      <c r="D47" s="9"/>
      <c r="E47" s="9"/>
      <c r="F47" s="9"/>
      <c r="G47" s="9"/>
      <c r="H47" s="9"/>
      <c r="I47" s="11"/>
      <c r="K47" s="8"/>
    </row>
    <row r="48" spans="1:11">
      <c r="A48" s="6" t="s">
        <v>3</v>
      </c>
      <c r="B48" s="14">
        <v>1</v>
      </c>
      <c r="C48" s="9"/>
      <c r="D48" s="9"/>
      <c r="E48" s="9"/>
      <c r="F48" s="9"/>
      <c r="G48" s="9"/>
      <c r="H48" s="9"/>
      <c r="I48" s="11"/>
      <c r="K48" s="8"/>
    </row>
    <row r="49" spans="1:11">
      <c r="A49" s="6" t="s">
        <v>11</v>
      </c>
      <c r="B49" s="15" t="s">
        <v>34</v>
      </c>
      <c r="C49" s="9"/>
      <c r="D49" s="9"/>
      <c r="E49" s="9"/>
      <c r="F49" s="9"/>
      <c r="G49" s="9"/>
      <c r="H49" s="9"/>
      <c r="I49" s="11"/>
      <c r="K49" s="8"/>
    </row>
    <row r="50" spans="1:11">
      <c r="A50" s="6" t="s">
        <v>4</v>
      </c>
      <c r="B50" s="2" t="s">
        <v>31</v>
      </c>
      <c r="C50" s="9"/>
      <c r="D50" s="9"/>
      <c r="E50" s="9"/>
      <c r="F50" s="9"/>
      <c r="G50" s="9"/>
      <c r="H50" s="9"/>
      <c r="I50" s="11"/>
      <c r="K50" s="8"/>
    </row>
    <row r="51" spans="1:11">
      <c r="A51" s="6" t="s">
        <v>2</v>
      </c>
      <c r="B51" s="15" t="s">
        <v>29</v>
      </c>
      <c r="C51" s="9"/>
      <c r="D51" s="9"/>
      <c r="E51" s="9"/>
      <c r="F51" s="9"/>
      <c r="G51" s="9"/>
      <c r="H51" s="9"/>
      <c r="I51" s="11"/>
      <c r="K51" s="8"/>
    </row>
    <row r="52" spans="1:11">
      <c r="A52" s="6" t="s">
        <v>6</v>
      </c>
      <c r="B52" s="10" t="s">
        <v>19</v>
      </c>
      <c r="C52" s="9"/>
      <c r="D52" s="9"/>
      <c r="E52" s="9"/>
      <c r="F52" s="9"/>
      <c r="G52" s="9"/>
      <c r="H52" s="16"/>
      <c r="I52" s="17"/>
      <c r="K52" s="8"/>
    </row>
    <row r="53" spans="1:11">
      <c r="A53" s="16" t="s">
        <v>7</v>
      </c>
      <c r="B53" s="12"/>
      <c r="C53" s="16"/>
      <c r="D53" s="16"/>
      <c r="E53" s="16"/>
      <c r="F53" s="16"/>
      <c r="G53" s="16"/>
      <c r="H53" s="13"/>
      <c r="I53" s="18"/>
      <c r="K53" s="8"/>
    </row>
    <row r="54" spans="1:11">
      <c r="A54" t="s">
        <v>8</v>
      </c>
      <c r="B54" s="19" t="s">
        <v>9</v>
      </c>
      <c r="C54" t="s">
        <v>2</v>
      </c>
      <c r="D54" t="s">
        <v>6</v>
      </c>
      <c r="E54" t="s">
        <v>5</v>
      </c>
      <c r="F54" t="s">
        <v>4</v>
      </c>
      <c r="G54" t="s">
        <v>10</v>
      </c>
      <c r="H54" s="20" t="s">
        <v>11</v>
      </c>
      <c r="I54" s="3"/>
      <c r="J54" s="1"/>
      <c r="K54" s="8"/>
    </row>
    <row r="55" spans="1:11">
      <c r="A55" s="19" t="s">
        <v>30</v>
      </c>
      <c r="B55" s="19">
        <v>1</v>
      </c>
      <c r="C55" t="str">
        <f>B51</f>
        <v>FR</v>
      </c>
      <c r="D55" t="s">
        <v>19</v>
      </c>
      <c r="E55" t="s">
        <v>18</v>
      </c>
      <c r="F55" t="s">
        <v>31</v>
      </c>
      <c r="G55" s="13"/>
      <c r="H55" s="18"/>
      <c r="I55" s="3"/>
      <c r="K55" s="8"/>
    </row>
    <row r="56" spans="1:11">
      <c r="A56" s="19" t="s">
        <v>32</v>
      </c>
      <c r="B56" s="19">
        <f>1/30000*2</f>
        <v>6.666666666666667E-5</v>
      </c>
      <c r="C56" t="s">
        <v>27</v>
      </c>
      <c r="D56" t="s">
        <v>6</v>
      </c>
      <c r="E56" t="s">
        <v>12</v>
      </c>
      <c r="F56" t="s">
        <v>33</v>
      </c>
      <c r="G56" s="13"/>
      <c r="H56" s="18"/>
      <c r="I56" s="3"/>
      <c r="K56" s="8"/>
    </row>
    <row r="57" spans="1:11" ht="15.6">
      <c r="A57" s="28" t="s">
        <v>73</v>
      </c>
      <c r="B57" s="19">
        <f>3.6/0.5/120</f>
        <v>6.0000000000000005E-2</v>
      </c>
      <c r="C57" t="s">
        <v>29</v>
      </c>
      <c r="D57" t="s">
        <v>13</v>
      </c>
      <c r="E57" t="s">
        <v>12</v>
      </c>
      <c r="F57" s="27" t="s">
        <v>57</v>
      </c>
      <c r="H57" s="13"/>
      <c r="I57" s="18"/>
      <c r="K57" s="8"/>
    </row>
  </sheetData>
  <pageMargins left="0.7" right="0.7" top="0.75" bottom="0.75" header="0.3" footer="0.3"/>
</worksheet>
</file>

<file path=docMetadata/LabelInfo.xml><?xml version="1.0" encoding="utf-8"?>
<clbl:labelList xmlns:clbl="http://schemas.microsoft.com/office/2020/mipLabelMetadata">
  <clbl:label id="{0a9b9e15-83d2-4075-9282-a04e05c6580a}" enabled="1" method="Standard" siteId="{24139d14-c62c-4c47-8bdd-ce71ea1d50cf}" removed="0"/>
</clbl:labelLis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2</vt:i4>
      </vt:variant>
    </vt:vector>
  </HeadingPairs>
  <TitlesOfParts>
    <vt:vector size="2" baseType="lpstr">
      <vt:lpstr>lci</vt:lpstr>
      <vt:lpstr>Feuil1</vt:lpstr>
    </vt:vector>
  </TitlesOfParts>
  <Company>PSI - Paul Scherrer Institut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Terlouw Tom Mike</dc:creator>
  <cp:lastModifiedBy>PUIG-SAMPER Gonzalo (ENGIE SA)</cp:lastModifiedBy>
  <dcterms:created xsi:type="dcterms:W3CDTF">2020-12-17T11:52:00Z</dcterms:created>
  <dcterms:modified xsi:type="dcterms:W3CDTF">2025-03-31T12:55:45Z</dcterms:modified>
</cp:coreProperties>
</file>