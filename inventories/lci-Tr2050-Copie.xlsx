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511" documentId="13_ncr:1_{1521C391-BCF6-4923-B754-ECBD64DA2349}" xr6:coauthVersionLast="47" xr6:coauthVersionMax="47" xr10:uidLastSave="{8A179A91-8BC3-4719-BFAE-9B973199E214}"/>
  <bookViews>
    <workbookView xWindow="-120" yWindow="-16320" windowWidth="29040" windowHeight="1572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84" i="1" l="1"/>
  <c r="G178" i="1"/>
  <c r="D178" i="1"/>
  <c r="A178" i="1"/>
  <c r="C505" i="1" l="1"/>
  <c r="C33" i="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<sst xmlns="http://schemas.openxmlformats.org/spreadsheetml/2006/main" count="2909" uniqueCount="386">
  <si>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</si>
  <si>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</si>
  <si>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</si>
  <si>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</si>
  <si>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</si>
  <si>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</si>
  <si>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</si>
  <si>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</si>
  <si>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</si>
  <si>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</si>
  <si>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</si>
  <si>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</si>
  <si>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</si>
  <si>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</si>
  <si>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</si>
  <si>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</si>
  <si>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</si>
  <si>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</si>
  <si>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</si>
  <si>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</si>
  <si>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</si>
  <si>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</si>
  <si>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</si>
  <si>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</si>
  <si>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</si>
  <si>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</si>
  <si>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</si>
  <si>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</si>
  <si>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</si>
  <si>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</si>
  <si>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</si>
  <si>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</si>
  <si>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</si>
  <si>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</si>
  <si>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</si>
  <si>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</si>
  <si>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</si>
  <si>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</si>
  <si>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</si>
  <si>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</si>
  <si>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</si>
  <si>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</si>
  <si>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</si>
  <si>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</si>
  <si>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</si>
  <si>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</si>
  <si>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</si>
  <si>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</si>
  <si>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</si>
  <si>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</si>
  <si>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</si>
  <si>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</si>
  <si>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</si>
  <si>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</si>
  <si>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</si>
  <si>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</si>
  <si>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</si>
  <si>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</si>
  <si>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</si>
  <si>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</si>
  <si>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</si>
  <si>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</si>
  <si>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</si>
  <si>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</si>
  <si>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</si>
  <si>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</si>
  <si>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</si>
  <si>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</si>
  <si>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</si>
  <si>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</si>
  <si>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</si>
  <si>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</si>
  <si>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</si>
  <si>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</si>
  <si>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</si>
  <si>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</si>
  <si>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</si>
  <si>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</si>
  <si>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</si>
  <si>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</si>
  <si>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</si>
  <si>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</si>
  <si>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</si>
  <si>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</si>
  <si>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</si>
  <si>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</si>
  <si>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</si>
  <si>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</si>
  <si>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</si>
  <si>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</si>
  <si>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</si>
  <si>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</si>
  <si>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</si>
  <si>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</si>
  <si>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</si>
  <si>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</si>
  <si>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</si>
  <si>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</si>
  <si>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</si>
  <si>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</si>
  <si>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</si>
  <si>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</si>
  <si>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</si>
  <si>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</si>
  <si>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</si>
  <si>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</si>
  <si>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</si>
  <si>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</si>
  <si>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</si>
  <si>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</si>
  <si>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</si>
  <si>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</si>
  <si>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</si>
  <si>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</si>
  <si>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</si>
  <si>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</si>
  <si>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</si>
  <si>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</si>
  <si>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</si>
  <si>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</si>
  <si>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</si>
  <si>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</si>
  <si>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</si>
  <si>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</si>
  <si>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</si>
  <si>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</si>
  <si>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</si>
  <si>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</si>
  <si>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</si>
  <si>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</si>
  <si>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</si>
  <si>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</si>
  <si>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</si>
  <si>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</si>
  <si>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</si>
  <si>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</si>
  <si>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</si>
  <si>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</si>
  <si>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</si>
  <si>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</si>
  <si>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</si>
  <si>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</si>
  <si>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</si>
  <si>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</si>
  <si>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</si>
  <si>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</si>
  <si>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</si>
  <si>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</si>
  <si>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</si>
  <si>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</si>
  <si>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</si>
  <si>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</si>
  <si>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</si>
  <si>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</si>
  <si>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</si>
  <si>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</si>
  <si>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</si>
  <si>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</si>
  <si>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</si>
  <si>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</si>
  <si>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</si>
  <si>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</si>
  <si>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</si>
  <si>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</si>
  <si>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</si>
  <si>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</si>
  <si>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</si>
  <si>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</si>
  <si>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</si>
  <si>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</si>
  <si>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</si>
  <si>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</si>
  <si>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</si>
  <si>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</si>
  <si>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</si>
  <si>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</si>
  <si>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</si>
  <si>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</si>
  <si>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</si>
  <si>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</si>
  <si>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</si>
  <si>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</si>
  <si>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</si>
  <si>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</si>
  <si>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</si>
  <si>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</si>
  <si>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</si>
  <si>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</si>
  <si>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</si>
  <si>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</si>
  <si>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</si>
  <si>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</si>
  <si>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</si>
  <si>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</si>
  <si>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</si>
  <si>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</si>
  <si>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</si>
  <si>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</si>
  <si>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</si>
  <si>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</si>
  <si>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</si>
  <si>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</si>
  <si>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</si>
  <si>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</si>
  <si>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</si>
  <si>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</si>
  <si>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</si>
  <si>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</si>
  <si>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</si>
  <si>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</si>
  <si>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</si>
  <si>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</si>
  <si>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</si>
  <si>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</si>
  <si>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</si>
  <si>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</si>
  <si>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</si>
  <si>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</si>
  <si>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</si>
  <si>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</si>
  <si>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</si>
  <si>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</si>
  <si>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</si>
  <si>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</si>
  <si>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</si>
  <si>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</si>
  <si>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</si>
  <si>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</si>
  <si>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</si>
  <si>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</si>
  <si>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</si>
  <si>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</si>
  <si>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</si>
  <si>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</si>
  <si>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</si>
  <si>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</si>
  <si>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</si>
  <si>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</si>
  <si>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</si>
  <si>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</si>
  <si>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</si>
  <si>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</si>
  <si>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</si>
  <si>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</si>
  <si>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</si>
  <si>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</si>
  <si>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</si>
  <si>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</si>
  <si>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</si>
  <si>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</si>
  <si>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</si>
  <si>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</si>
  <si>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</si>
  <si>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</si>
  <si>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</si>
  <si>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transport of crop to the anaerobic digestion plant</t>
  </si>
  <si>
    <t>Nitrate</t>
  </si>
  <si>
    <t>water::ground-</t>
  </si>
  <si>
    <t>nitrate percolation of 88 kg NO3- per ha (Lodato et al., 2022)</t>
  </si>
  <si>
    <t>market for inorganic nitrogen fertiliser, as N</t>
  </si>
  <si>
    <t>The data presented is derived from information available from the manufacturer of biogas upgrading plants. The upgraded gas leaves the process with a pressure of 5 bar. For the composition of the product gas we assume a share of more than 96 Vol. % of methane.
[This dataset is meant to replace the following datasets:]
Geography:  Plants using the described technology are in operation in Switzerland.
Technology:  Membrane technology</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</si>
  <si>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</si>
  <si>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</si>
  <si>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</si>
  <si>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</si>
  <si>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</si>
  <si>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</si>
  <si>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</si>
  <si>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</si>
  <si>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</si>
  <si>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</si>
  <si>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</si>
  <si>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</si>
  <si>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</si>
  <si>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</si>
  <si>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</si>
  <si>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</si>
  <si>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</si>
  <si>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</si>
  <si>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</si>
  <si>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</si>
  <si>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</si>
  <si>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</si>
  <si>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</si>
  <si>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</si>
  <si>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</si>
  <si>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</si>
  <si>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</si>
  <si>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</si>
  <si>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</si>
  <si>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</si>
  <si>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</si>
  <si>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</si>
  <si>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</si>
  <si>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</si>
  <si>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</si>
  <si>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</si>
  <si>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This is the activity for the collection and supply of biowaste. The inventory includes a shreeding activity based on the inventory provided in Agribalyse for France.</t>
  </si>
  <si>
    <t>Shreeding operation based on inventory provided by Agribalyse</t>
  </si>
  <si>
    <t>Distance considered by Agribalyse</t>
  </si>
  <si>
    <t>Istrate et al. (2025) and Mano Esteves et al. (2019)</t>
  </si>
  <si>
    <t>This is the activity for the collection and supply of animal manure. Animal manure is transported over a short distance to the anaerobic digestion plant. No pretreatment is considered based on Mano Esteves et al. (2019)</t>
  </si>
  <si>
    <t>This dataset represents the production of 1 kg of maize grain (fresh matter). The yield is 9279 kg/ha at a moisture content at storage of 14%.
None
[This dataset was already contained in the ecoinvent database version 2. It was not individually updated during the transfer to ecoinvent version 3. Life Cycle Impact Assessment results may still have changed, as they are affected by changes in the supply chain, i.e. in other datasets. This dataset was generated following the ecoinvent quality guidelines for version 2. It may have been subject to central changes described in the ecoinvent version 3 change report (http://www.ecoinvent.org/database/ecoinvent-version-3/reports-of-changes/), and the results of the central updates were reviewed extensively. The changes added e.g. consistent water flows and other information throughout the database. The documentation of this dataset can be found in the ecoinvent reports of version 2, which are still available via the ecoinvent website. The change report linked above covers all central changes that were made during the conversion process.]
Geography:  Refers to an average production in the Swiss lowlands.
Technology:  Integrated production
Time period:  The yield data have been collected for the years 1996-2003.</t>
  </si>
  <si>
    <t>Modelled with the 'AGRAMMON model' described in '01_crop production_direct field emissions and natural resources_v1.0.pdf' - pdf-document on the dedicated talk page of ecoinvent (www.ecoinvent.org/documentation)</t>
  </si>
  <si>
    <t>Atrazine</t>
  </si>
  <si>
    <t>soil::agricultural</t>
  </si>
  <si>
    <t>Modelled, see chapter 'Emissions of pesticides to agricultural soil' in '01_crop production_direct field emissions and natural resources_v1.0.pdf' - pdf-document on the dedicated talk page of ecoinvent (www.ecoinvent.org/documentation)</t>
  </si>
  <si>
    <t>Cadmium II</t>
  </si>
  <si>
    <t>Modelled, see chapter 'Emissions of heavy metals to agricultural soil, surface water and ground water' in '01_crop production_direct field emissions and natural resources_v1.0.pdf' - pdf-document on the dedicated talk page of ecoinvent (www.ecoinvent.org/documentation)</t>
  </si>
  <si>
    <t>water::surface water</t>
  </si>
  <si>
    <t>Modelled, see chapter 'Release of fossil CO2 after urea applications' in '01_crop production_assessment methods of direct field emissions_v1.0.pdf' - pdf-document on the dedicated talk page of ecoinvent (www.ecoinvent.org/documentation)</t>
  </si>
  <si>
    <t>Chromium III</t>
  </si>
  <si>
    <t>Copper ion</t>
  </si>
  <si>
    <t>Modelled, see chapter 'Emissions of N2O to the air' in '01_crop production_direct field emissions and natural resources_v1.0.pdf' - pdf-document on the dedicated talk page of ecoinvent (www.ecoinvent.org/documentation)</t>
  </si>
  <si>
    <t>Energy, gross calorific value, in biomass</t>
  </si>
  <si>
    <t>natural resource::biotic</t>
  </si>
  <si>
    <t>Glyphosate</t>
  </si>
  <si>
    <t>Lead II</t>
  </si>
  <si>
    <t>Mercury II</t>
  </si>
  <si>
    <t>Metolachlor</t>
  </si>
  <si>
    <t>Nickel II</t>
  </si>
  <si>
    <t>Modelled with the 'SALCA-NO3 model' described in '01_crop production_direct field emissions and natural resources_v1.0.pdf' - pdf-document on the dedicated talk page of ecoinvent (www.ecoinvent.org/documentation)</t>
  </si>
  <si>
    <t>Modelled, see chapter 'Emissions of NOx to the air' in '01_crop production_direct field emissions and natural resources_v1.0.pdf' - pdf-document on the dedicated talk page of ecoinvent (www.ecoinvent.org/documentation)</t>
  </si>
  <si>
    <t>Occupation, annual crop, non-irrigated, intensive</t>
  </si>
  <si>
    <t>Modelled, see chapter 'Land use' in '01_crop production_direct field emissions and natural resources_v1.0.pdf' - pdf-document on the dedicated talk page of ecoinvent (www.ecoinvent.org/documentation)</t>
  </si>
  <si>
    <t>Phosphate</t>
  </si>
  <si>
    <t>Modelled, see chapter 'Emissions of phosphorous to the water' in '01_crop production_direct field emissions and natural resources_v1.0.pdf' - pdf-document on the dedicated talk page of ecoinvent (www.ecoinvent.org/documentation)</t>
  </si>
  <si>
    <t>Phosphorus</t>
  </si>
  <si>
    <t>Transformation, from annual crop, non-irrigated, intensive</t>
  </si>
  <si>
    <t>Transformation, to annual crop, non-irrigated, intensive</t>
  </si>
  <si>
    <t>Calculated value based on literature values and expert opinion. See comments in the parametres' comment field.</t>
  </si>
  <si>
    <t>Calculated value. See the parameters and their comments to understand the calculation.</t>
  </si>
  <si>
    <t>Zinc II</t>
  </si>
  <si>
    <t>application of plant protection product, by field sprayer</t>
  </si>
  <si>
    <t xml:space="preserve">See chapter 'Yields and Inputs of Arable Crop Production' in '01_crop production - yields &amp; inputs CH &amp; Europe_v1.0.pdf', section 'AGRICULTURAL PRODUCTION IN SWITZERLAND' - pdf-document on the dedicated talk page of ecoinvent (www.ecoinvent.org/documentation)
This exchange has an activity link directly to the producing activity because the product is primarily consumed in the same geographical area where it is produced. </t>
  </si>
  <si>
    <t>drying of maize straw and whole-plant</t>
  </si>
  <si>
    <t>litre</t>
  </si>
  <si>
    <t>fertilising, by broadcaster</t>
  </si>
  <si>
    <t>green manure growing, Swiss integrated production, until April</t>
  </si>
  <si>
    <t>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</si>
  <si>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green manure, Swiss integrated production, until April</t>
  </si>
  <si>
    <t>hoeing</t>
  </si>
  <si>
    <t>liquid manure spreading, by vacuum tanker</t>
  </si>
  <si>
    <t>market for ammonium nitrate</t>
  </si>
  <si>
    <t>The exchange has been updated from 'ammonium nitrate, as N' into 'ammonium nitrate' and therefore its amount has been scaled (multiplied) from 0.0043 kg by 2.8573 kg of 'ammonium nitrate' per kg of 'ammonium nitrate, as N'.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</si>
  <si>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ammonium nitrate</t>
  </si>
  <si>
    <t>market for ammonium sulfate</t>
  </si>
  <si>
    <t>ammonium sulfate</t>
  </si>
  <si>
    <t>market for atrazine</t>
  </si>
  <si>
    <t>atrazine</t>
  </si>
  <si>
    <t>This amount of electricity is used in the production of Trichogramma which are applied in biological control. No further details on the Trichogramma could be incorporated due to confidentiality of the data.</t>
  </si>
  <si>
    <t>market for glyphosate</t>
  </si>
  <si>
    <t>glyphosate</t>
  </si>
  <si>
    <t>market for inorganic phosphorus fertiliser, as P2O5</t>
  </si>
  <si>
    <t>inorganic phosphorus fertiliser, as P2O5</t>
  </si>
  <si>
    <t>market for irrigation</t>
  </si>
  <si>
    <t>Calculated based on literature values (Döll, 2010) and partially modelled at ETH (Pfister, S.).</t>
  </si>
  <si>
    <t>irrigation</t>
  </si>
  <si>
    <t>market for maize seed, Swiss integrated production, for sowing</t>
  </si>
  <si>
    <t>maize seed, Swiss integrated production, for sowing</t>
  </si>
  <si>
    <t>market for metolachlor</t>
  </si>
  <si>
    <t>metolachlor</t>
  </si>
  <si>
    <t>market for packaging, for fertilisers</t>
  </si>
  <si>
    <t>Total amount of active substance/s of fertilisers needed for the production of 'maize grain, Swiss integrated production' is calculated to be circa 1.18E-02 kg. Fertiliser/s used in this dataset is/are: 'ammonium nitrate, as N', 'ammonium sulfate, as N', 'nitrogen fertiliser, as N', 'phosphate fertiliser, as P2O5', 'phosphate rock, as P2O5, beneficiated, dry', 'urea, as N'. The total amount of active substance/s is doubled in order to account for the packaging of the dilluted product of fertiliser/s that is/are applied. Therefore, 2.36E-02 kg of packaging for fertilisers is justified with this exchange.</t>
  </si>
  <si>
    <t>packaging, for fertilisers</t>
  </si>
  <si>
    <t>market for packaging, for pesticides</t>
  </si>
  <si>
    <t>Total amount of active substance/s of pesticides needed for the production of maize grain, Swiss integrated production is calculated to be circa 1.68E-04 kg. Pesticide/s used in this dataset is/are: 'atrazine', 'glyphosate', 'metolachlor', 'pesticide, unspecified'. The total amount of active substance/s is doubled in order to account for the packaging of the dilluted product of pesticide/s that is/are applied. Therefore, 3.36E-04 kg of packaging for pesticides is justified with this exchange.</t>
  </si>
  <si>
    <t>packaging, for pesticides</t>
  </si>
  <si>
    <t>market for pesticide, unspecified</t>
  </si>
  <si>
    <t>pesticide, unspecified</t>
  </si>
  <si>
    <t>market for phosphate rock, beneficiated</t>
  </si>
  <si>
    <t>The exchange has been updated from 'phosphate rock, as P2O5, beneficiated, dry' into 'phosphate rock, beneficiated' and therefore its amount has been scaled (multiplied) from 0.0007 kg by 3.125 kg of 'phosphate rock, beneficiated' per kg of 'phosphate rock, as P2O5, beneficiated, dry'.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</si>
  <si>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phosphate rock, beneficiated</t>
  </si>
  <si>
    <t>market for transport, tractor and trailer, agricultural</t>
  </si>
  <si>
    <t>transport, tractor and trailer, agricultural</t>
  </si>
  <si>
    <t>market for urea</t>
  </si>
  <si>
    <t>The exchange has been updated from 'urea, as N' into 'urea' and therefore its amount has been scaled (multiplied) from 0.0015 kg by 2.1438 kg of 'urea' per kg of 'urea, as N'.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</si>
  <si>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urea</t>
  </si>
  <si>
    <t>solid manure loading and spreading, by hydraulic loader and spreader</t>
  </si>
  <si>
    <t>sowing</t>
  </si>
  <si>
    <t>tillage, harrowing, by spring tine harrow</t>
  </si>
  <si>
    <t>tillage, ploughing</t>
  </si>
  <si>
    <t>ecoinvent 3.9.1</t>
  </si>
  <si>
    <t>Set to zero because carbon uptake is considered in the anaerobic digestion inventory</t>
  </si>
  <si>
    <t>maize grain production</t>
  </si>
  <si>
    <t>maize grain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</si>
</sst>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E+00"/>
    <numFmt numFmtId="165" formatCode="0.000"/>
    <numFmt numFmtId="166" formatCode="0.0000000000"/>
  </numFmts>
  <fonts count="17">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64">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5" borderId="1" xfId="0" applyFill="1" applyBorder="1"/>
    <xf numFmtId="0" fontId="0" fillId="6" borderId="0" xfId="0" applyFill="1"/>
    <xf numFmtId="166" fontId="0" fillId="0" borderId="0" xfId="0" applyNumberFormat="1"/>
    <xf numFmtId="1" fontId="0" fillId="0" borderId="0" xfId="0" applyNumberFormat="1"/>
    <xf numFmtId="165" fontId="14" fillId="0" borderId="0" xfId="0" applyNumberFormat="1" applyFont="1" applyAlignment="1">
      <alignment horizontal="right"/>
    </xf>
    <xf numFmtId="0" fontId="15" fillId="3" borderId="0" xfId="0" applyFont="1" applyFill="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56"/>
  <sheetViews>
    <sheetView tabSelected="1" topLeftCell="A333" zoomScaleNormal="100" workbookViewId="0">
      <selection activeCell="G348" sqref="G348"/>
    </sheetView>
  </sheetViews>
  <sheetFormatPr defaultColWidth="8.88671875" defaultRowHeight="14.4"/>
  <cols>
    <col min="1" max="1" width="73.109375" customWidth="1"/>
    <col min="2" max="2" width="18.5546875" style="19" customWidth="1"/>
    <col min="3" max="3" width="17.109375" customWidth="1"/>
    <col min="4" max="4" width="24.44140625" bestFit="1" customWidth="1"/>
    <col min="5" max="5" width="26.44140625" customWidth="1"/>
    <col min="6" max="6" width="14.88671875" bestFit="1" customWidth="1"/>
    <col min="7" max="7" width="33.44140625" bestFit="1" customWidth="1"/>
    <col min="8" max="8" width="19.5546875" bestFit="1" customWidth="1"/>
    <col min="9" max="9" width="99.109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6">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6">
      <c r="A13" s="30" t="s">
        <v>7</v>
      </c>
      <c r="B13"/>
      <c r="I13"/>
      <c r="M13" t="s">
        <v>74</v>
      </c>
    </row>
    <row r="14" spans="1:14" ht="15.6">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6">
      <c r="A50" s="4" t="s">
        <v>1</v>
      </c>
      <c r="B50" s="39" t="s">
        <v>172</v>
      </c>
      <c r="C50" s="4"/>
      <c r="D50" s="39"/>
      <c r="E50" s="4"/>
      <c r="F50" s="39"/>
      <c r="G50" s="4"/>
      <c r="H50" s="39"/>
      <c r="K50" s="26"/>
      <c r="L50" s="26"/>
      <c r="M50" s="26"/>
      <c r="N50" s="26"/>
      <c r="O50" s="26"/>
      <c r="P50" s="26"/>
    </row>
    <row r="51" spans="1:20" s="25" customFormat="1" ht="15.6">
      <c r="A51" s="4" t="s">
        <v>3</v>
      </c>
      <c r="B51">
        <v>1</v>
      </c>
      <c r="C51" s="4"/>
      <c r="D51" s="39"/>
      <c r="E51" s="4"/>
      <c r="F51" s="39"/>
      <c r="G51" s="4"/>
      <c r="H51" s="39"/>
      <c r="K51" s="26"/>
      <c r="L51" s="26"/>
      <c r="M51" s="26"/>
      <c r="N51" s="26"/>
      <c r="O51" s="26"/>
      <c r="P51" s="26"/>
    </row>
    <row r="52" spans="1:20" s="25" customFormat="1" ht="15.6">
      <c r="A52" s="4" t="s">
        <v>11</v>
      </c>
      <c r="B52" t="s">
        <v>56</v>
      </c>
      <c r="C52" s="4"/>
      <c r="D52" s="39"/>
      <c r="E52" s="4"/>
      <c r="F52" s="39"/>
      <c r="G52" s="4"/>
      <c r="H52" s="39"/>
      <c r="K52" s="26"/>
      <c r="L52" s="26"/>
      <c r="M52" s="26"/>
      <c r="N52" s="26"/>
      <c r="O52" s="26"/>
      <c r="P52" s="26"/>
    </row>
    <row r="53" spans="1:20" s="25" customFormat="1" ht="15.6">
      <c r="A53" s="4" t="s">
        <v>4</v>
      </c>
      <c r="B53" t="s">
        <v>57</v>
      </c>
      <c r="C53" s="4"/>
      <c r="D53" s="39"/>
      <c r="E53" s="4"/>
      <c r="F53" s="39"/>
      <c r="G53" s="4"/>
      <c r="H53" s="39"/>
      <c r="K53" s="26"/>
      <c r="L53" s="26"/>
      <c r="M53" s="26"/>
      <c r="N53" s="26"/>
      <c r="O53" s="26"/>
      <c r="P53" s="26"/>
    </row>
    <row r="54" spans="1:20" s="25" customFormat="1" ht="15.6">
      <c r="A54" s="4" t="s">
        <v>2</v>
      </c>
      <c r="B54" t="s">
        <v>29</v>
      </c>
      <c r="C54" s="4"/>
      <c r="D54" s="39"/>
      <c r="E54" s="4"/>
      <c r="F54" s="39"/>
      <c r="G54" s="4"/>
      <c r="H54" s="39"/>
      <c r="K54" s="26"/>
      <c r="L54" s="26"/>
      <c r="M54" s="26"/>
      <c r="N54" s="26"/>
      <c r="O54" s="26"/>
      <c r="P54" s="26"/>
    </row>
    <row r="55" spans="1:20" s="25" customFormat="1" ht="15.6">
      <c r="A55" s="4" t="s">
        <v>6</v>
      </c>
      <c r="B55" t="s">
        <v>13</v>
      </c>
      <c r="C55" s="4"/>
      <c r="D55" s="39"/>
      <c r="E55" s="4"/>
      <c r="F55" s="39"/>
      <c r="G55" s="4"/>
      <c r="H55" s="39"/>
      <c r="I55" s="29"/>
      <c r="J55" s="29"/>
      <c r="K55" s="26"/>
      <c r="L55" s="26"/>
      <c r="M55" s="26"/>
      <c r="N55" s="26"/>
      <c r="O55" s="26"/>
      <c r="P55" s="26"/>
    </row>
    <row r="56" spans="1:20" s="25" customFormat="1" ht="15.6">
      <c r="A56" s="4" t="s">
        <v>7</v>
      </c>
      <c r="B56" s="39"/>
      <c r="C56" s="4"/>
      <c r="D56" s="39"/>
      <c r="E56" s="4"/>
      <c r="F56" s="39"/>
      <c r="G56" s="4"/>
      <c r="H56" s="39"/>
      <c r="I56" s="24"/>
      <c r="J56" s="24"/>
      <c r="K56" s="26"/>
      <c r="L56" s="26"/>
      <c r="M56" s="26"/>
      <c r="N56" s="26"/>
      <c r="O56" s="26"/>
      <c r="P56" s="26"/>
    </row>
    <row r="57" spans="1:20" s="25" customFormat="1" ht="15.6">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6">
      <c r="A58" t="s">
        <v>73</v>
      </c>
      <c r="B58">
        <v>1</v>
      </c>
      <c r="C58" t="str">
        <f>B54</f>
        <v>FR</v>
      </c>
      <c r="D58" t="str">
        <f>B55</f>
        <v>kilogram</v>
      </c>
      <c r="E58"/>
      <c r="F58" t="s">
        <v>18</v>
      </c>
      <c r="G58" t="s">
        <v>57</v>
      </c>
      <c r="H58"/>
      <c r="I58" s="24"/>
      <c r="K58" s="26"/>
      <c r="L58" s="26"/>
      <c r="M58" s="26"/>
      <c r="N58" s="26"/>
      <c r="O58" s="26"/>
      <c r="P58" s="26"/>
      <c r="T58"/>
    </row>
    <row r="59" spans="1:20" s="25" customFormat="1" ht="15.6">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6">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6">
      <c r="A61" t="s">
        <v>62</v>
      </c>
      <c r="B61">
        <f>B59*-1</f>
        <v>-1.3498920086393089E-6</v>
      </c>
      <c r="C61" t="s">
        <v>49</v>
      </c>
      <c r="D61" t="s">
        <v>6</v>
      </c>
      <c r="E61"/>
      <c r="F61" t="s">
        <v>12</v>
      </c>
      <c r="G61" t="s">
        <v>63</v>
      </c>
      <c r="H61" t="s">
        <v>64</v>
      </c>
      <c r="J61"/>
      <c r="K61" s="32"/>
      <c r="L61" s="32"/>
      <c r="M61" s="32"/>
      <c r="N61" s="32"/>
      <c r="O61" s="32"/>
      <c r="P61" s="32"/>
      <c r="Q61"/>
      <c r="R61"/>
    </row>
    <row r="62" spans="1:20" s="25" customFormat="1" ht="15.6">
      <c r="A62" t="s">
        <v>65</v>
      </c>
      <c r="B62">
        <f>-1*B60</f>
        <v>-3.3747300215982723E-7</v>
      </c>
      <c r="C62" t="s">
        <v>49</v>
      </c>
      <c r="D62" t="s">
        <v>6</v>
      </c>
      <c r="E62"/>
      <c r="F62" t="s">
        <v>12</v>
      </c>
      <c r="G62" t="s">
        <v>66</v>
      </c>
      <c r="H62" t="s">
        <v>67</v>
      </c>
      <c r="J62"/>
      <c r="K62" s="32"/>
      <c r="L62" s="32"/>
      <c r="M62" s="32"/>
      <c r="N62" s="32"/>
      <c r="O62" s="32"/>
      <c r="P62" s="32"/>
      <c r="Q62"/>
      <c r="R62"/>
    </row>
    <row r="63" spans="1:20" s="25" customFormat="1" ht="15.6">
      <c r="A63" t="s">
        <v>28</v>
      </c>
      <c r="B63">
        <v>54</v>
      </c>
      <c r="C63" t="s">
        <v>29</v>
      </c>
      <c r="D63" t="s">
        <v>19</v>
      </c>
      <c r="E63"/>
      <c r="F63" t="s">
        <v>12</v>
      </c>
      <c r="G63" t="s">
        <v>20</v>
      </c>
      <c r="H63" t="s">
        <v>68</v>
      </c>
      <c r="J63"/>
      <c r="K63" s="32"/>
      <c r="L63" s="32"/>
      <c r="M63" s="32"/>
      <c r="N63" s="32"/>
      <c r="O63" s="32"/>
      <c r="P63" s="32"/>
      <c r="Q63"/>
      <c r="R63"/>
    </row>
    <row r="64" spans="1:20" s="25" customFormat="1" ht="15.6">
      <c r="A64" t="s">
        <v>21</v>
      </c>
      <c r="B64">
        <v>14</v>
      </c>
      <c r="C64" t="s">
        <v>22</v>
      </c>
      <c r="D64" t="s">
        <v>13</v>
      </c>
      <c r="E64"/>
      <c r="F64" t="s">
        <v>12</v>
      </c>
      <c r="G64" t="s">
        <v>23</v>
      </c>
      <c r="H64" t="s">
        <v>69</v>
      </c>
      <c r="J64"/>
      <c r="K64" s="32"/>
      <c r="L64" s="32"/>
      <c r="M64" s="32"/>
      <c r="N64" s="32"/>
      <c r="O64" s="32"/>
      <c r="P64" s="32"/>
      <c r="Q64"/>
      <c r="R64"/>
    </row>
    <row r="65" spans="1:18" s="25" customFormat="1" ht="15.6">
      <c r="A65" t="s">
        <v>24</v>
      </c>
      <c r="B65">
        <v>8</v>
      </c>
      <c r="C65"/>
      <c r="D65" t="s">
        <v>13</v>
      </c>
      <c r="E65" t="s">
        <v>25</v>
      </c>
      <c r="F65" t="s">
        <v>15</v>
      </c>
      <c r="G65"/>
      <c r="H65"/>
      <c r="J65"/>
      <c r="K65" s="32"/>
      <c r="L65" s="32"/>
      <c r="M65" s="32"/>
      <c r="N65" s="32"/>
      <c r="O65" s="32"/>
      <c r="P65" s="32"/>
      <c r="Q65" s="32"/>
      <c r="R65"/>
    </row>
    <row r="66" spans="1:18" s="25" customFormat="1" ht="15.6">
      <c r="A66" t="s">
        <v>70</v>
      </c>
      <c r="B66">
        <f>(0.09*1000*20)/2963200</f>
        <v>6.0745140388768898E-4</v>
      </c>
      <c r="C66"/>
      <c r="D66" t="s">
        <v>17</v>
      </c>
      <c r="E66" t="s">
        <v>16</v>
      </c>
      <c r="F66" t="s">
        <v>15</v>
      </c>
      <c r="G66"/>
      <c r="H66"/>
      <c r="J66"/>
      <c r="K66" s="32"/>
      <c r="L66" s="32"/>
      <c r="M66" s="32"/>
      <c r="N66" s="32"/>
      <c r="O66" s="32"/>
      <c r="P66" s="32"/>
      <c r="Q66" s="32"/>
      <c r="R66"/>
    </row>
    <row r="67" spans="1:18" s="25" customFormat="1" ht="15">
      <c r="K67" s="26"/>
      <c r="L67" s="26"/>
      <c r="M67" s="26"/>
      <c r="N67" s="26"/>
      <c r="O67" s="26"/>
      <c r="P67" s="26"/>
    </row>
    <row r="70" spans="1:18" ht="15.6">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6">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9">
      <c r="A161" s="36" t="s">
        <v>156</v>
      </c>
      <c r="B161" s="36">
        <v>1.1592E-5</v>
      </c>
      <c r="C161" s="36" t="s">
        <v>167</v>
      </c>
      <c r="D161" s="36" t="s">
        <v>140</v>
      </c>
      <c r="E161" s="36" t="s">
        <v>13</v>
      </c>
      <c r="F161" s="36"/>
      <c r="G161" s="36" t="s">
        <v>12</v>
      </c>
      <c r="H161" s="36" t="s">
        <v>157</v>
      </c>
      <c r="I161" s="36"/>
    </row>
    <row r="162" spans="1:9">
      <c r="A162" s="36" t="s">
        <v>21</v>
      </c>
      <c r="B162" s="36">
        <v>7.5375498600000004</v>
      </c>
      <c r="C162" s="36" t="s">
        <v>167</v>
      </c>
      <c r="D162" s="36" t="s">
        <v>22</v>
      </c>
      <c r="E162" s="36" t="s">
        <v>13</v>
      </c>
      <c r="F162" s="36"/>
      <c r="G162" s="36" t="s">
        <v>12</v>
      </c>
      <c r="H162" s="36" t="s">
        <v>23</v>
      </c>
      <c r="I162" s="36"/>
    </row>
    <row r="163" spans="1:9">
      <c r="A163" s="36" t="s">
        <v>158</v>
      </c>
      <c r="B163" s="36">
        <v>8.8290199999999997E-4</v>
      </c>
      <c r="C163" s="36" t="s">
        <v>167</v>
      </c>
      <c r="D163" s="36" t="s">
        <v>140</v>
      </c>
      <c r="E163" s="36" t="s">
        <v>13</v>
      </c>
      <c r="F163" s="36"/>
      <c r="G163" s="36" t="s">
        <v>12</v>
      </c>
      <c r="H163" s="36" t="s">
        <v>159</v>
      </c>
      <c r="I163" s="36"/>
    </row>
    <row r="164" spans="1:9">
      <c r="A164" s="36" t="s">
        <v>160</v>
      </c>
      <c r="B164" s="36">
        <v>3.7139999999999997E-4</v>
      </c>
      <c r="C164" s="36" t="s">
        <v>167</v>
      </c>
      <c r="D164" s="36" t="s">
        <v>140</v>
      </c>
      <c r="E164" s="36" t="s">
        <v>13</v>
      </c>
      <c r="F164" s="36"/>
      <c r="G164" s="36" t="s">
        <v>12</v>
      </c>
      <c r="H164" s="36" t="s">
        <v>161</v>
      </c>
      <c r="I164" s="36"/>
    </row>
    <row r="165" spans="1:9">
      <c r="A165" s="36" t="s">
        <v>98</v>
      </c>
      <c r="B165" s="36">
        <v>0</v>
      </c>
      <c r="C165" s="36" t="s">
        <v>167</v>
      </c>
      <c r="D165" s="36" t="s">
        <v>29</v>
      </c>
      <c r="E165" s="36" t="s">
        <v>19</v>
      </c>
      <c r="F165" s="36"/>
      <c r="G165" s="36" t="s">
        <v>12</v>
      </c>
      <c r="H165" s="36" t="s">
        <v>31</v>
      </c>
      <c r="I165" s="36"/>
    </row>
    <row r="166" spans="1:9">
      <c r="A166" s="38" t="s">
        <v>162</v>
      </c>
      <c r="B166" s="36">
        <v>4.3011681309999998</v>
      </c>
      <c r="C166" s="36" t="s">
        <v>167</v>
      </c>
      <c r="D166" s="36" t="s">
        <v>22</v>
      </c>
      <c r="E166" s="36" t="s">
        <v>128</v>
      </c>
      <c r="F166" s="36"/>
      <c r="G166" s="36" t="s">
        <v>12</v>
      </c>
      <c r="H166" s="36" t="s">
        <v>163</v>
      </c>
      <c r="I166" s="36"/>
    </row>
    <row r="167" spans="1:9">
      <c r="A167" s="36"/>
      <c r="B167" s="36"/>
      <c r="C167" s="36"/>
      <c r="D167" s="36"/>
      <c r="E167" s="36"/>
      <c r="F167" s="36"/>
      <c r="G167" s="36"/>
      <c r="H167" s="36"/>
      <c r="I167" s="36"/>
    </row>
    <row r="168" spans="1:9" ht="15.6">
      <c r="A168" s="30" t="s">
        <v>1</v>
      </c>
      <c r="B168" s="30" t="s">
        <v>272</v>
      </c>
    </row>
    <row r="169" spans="1:9">
      <c r="A169" t="s">
        <v>2</v>
      </c>
      <c r="B169" t="s">
        <v>29</v>
      </c>
    </row>
    <row r="170" spans="1:9">
      <c r="A170" t="s">
        <v>11</v>
      </c>
      <c r="B170" t="s">
        <v>273</v>
      </c>
    </row>
    <row r="171" spans="1:9">
      <c r="A171" t="s">
        <v>3</v>
      </c>
      <c r="B171">
        <v>1</v>
      </c>
    </row>
    <row r="172" spans="1:9">
      <c r="A172" t="s">
        <v>76</v>
      </c>
      <c r="B172"/>
    </row>
    <row r="173" spans="1:9">
      <c r="A173" t="s">
        <v>4</v>
      </c>
      <c r="B173" t="s">
        <v>274</v>
      </c>
    </row>
    <row r="174" spans="1:9">
      <c r="A174" t="s">
        <v>5</v>
      </c>
      <c r="B174" t="s">
        <v>78</v>
      </c>
    </row>
    <row r="175" spans="1:9">
      <c r="A175" t="s">
        <v>6</v>
      </c>
      <c r="B175" s="36" t="s">
        <v>13</v>
      </c>
    </row>
    <row r="176" spans="1:9" ht="15.6">
      <c r="A176" s="30" t="s">
        <v>7</v>
      </c>
      <c r="B176"/>
    </row>
    <row r="177" spans="1:34" ht="15.6">
      <c r="A177" s="30" t="s">
        <v>8</v>
      </c>
      <c r="B177" s="30" t="s">
        <v>9</v>
      </c>
      <c r="C177" s="30" t="s">
        <v>2</v>
      </c>
      <c r="D177" s="30" t="s">
        <v>6</v>
      </c>
      <c r="E177" s="30" t="s">
        <v>10</v>
      </c>
      <c r="F177" s="30" t="s">
        <v>5</v>
      </c>
      <c r="G177" s="30" t="s">
        <v>4</v>
      </c>
      <c r="H177" s="30" t="s">
        <v>11</v>
      </c>
    </row>
    <row r="178" spans="1:34">
      <c r="A178" t="str">
        <f>B168</f>
        <v>empty activity, for market that does not exist any more in 2050, Tr2050</v>
      </c>
      <c r="B178">
        <v>1</v>
      </c>
      <c r="C178" t="s">
        <v>29</v>
      </c>
      <c r="D178" t="str">
        <f>B175</f>
        <v>kilogram</v>
      </c>
      <c r="F178" t="s">
        <v>18</v>
      </c>
      <c r="G178" t="str">
        <f>B173</f>
        <v>nothing</v>
      </c>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195</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196</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50"/>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195</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50" t="s">
        <v>292</v>
      </c>
      <c r="B190" s="50" t="s">
        <v>293</v>
      </c>
      <c r="C190" s="51">
        <v>1</v>
      </c>
      <c r="D190" s="45" t="s">
        <v>13</v>
      </c>
      <c r="E190" s="50" t="s">
        <v>211</v>
      </c>
      <c r="F190" s="50"/>
      <c r="G190" s="50" t="s">
        <v>29</v>
      </c>
      <c r="H190" s="50" t="s">
        <v>12</v>
      </c>
      <c r="I190" s="50"/>
      <c r="J190" s="50"/>
      <c r="K190" s="50"/>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4" t="s">
        <v>199</v>
      </c>
      <c r="B191" s="45"/>
      <c r="C191" s="51">
        <v>2.4324509555475786</v>
      </c>
      <c r="D191" s="45" t="s">
        <v>13</v>
      </c>
      <c r="E191" s="45" t="s">
        <v>109</v>
      </c>
      <c r="F191" s="45" t="s">
        <v>200</v>
      </c>
      <c r="G191" s="45"/>
      <c r="H191" s="45" t="s">
        <v>15</v>
      </c>
      <c r="I191" s="45" t="s">
        <v>201</v>
      </c>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row>
    <row r="192" spans="1:34">
      <c r="A192" s="41"/>
      <c r="B192" s="41"/>
      <c r="C192" s="42"/>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3" t="s">
        <v>1</v>
      </c>
      <c r="B193" s="43" t="s">
        <v>202</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11</v>
      </c>
      <c r="B194" s="45" t="s">
        <v>203</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3" t="s">
        <v>2</v>
      </c>
      <c r="B195" s="45" t="s">
        <v>29</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6" t="s">
        <v>4</v>
      </c>
      <c r="B196" s="45" t="s">
        <v>197</v>
      </c>
      <c r="C196" s="44"/>
      <c r="D196" s="45"/>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3</v>
      </c>
      <c r="B197" s="47">
        <v>1</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6</v>
      </c>
      <c r="B198" s="45" t="s">
        <v>128</v>
      </c>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76</v>
      </c>
      <c r="B199" s="45"/>
      <c r="C199" s="44"/>
      <c r="D199" s="48"/>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7</v>
      </c>
      <c r="B200" s="45"/>
      <c r="C200" s="44"/>
      <c r="D200" s="45"/>
      <c r="E200" s="45"/>
      <c r="F200" s="45"/>
      <c r="G200" s="45"/>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43" t="s">
        <v>8</v>
      </c>
      <c r="B201" s="43" t="s">
        <v>4</v>
      </c>
      <c r="C201" s="49" t="s">
        <v>9</v>
      </c>
      <c r="D201" s="43" t="s">
        <v>6</v>
      </c>
      <c r="E201" s="43" t="s">
        <v>106</v>
      </c>
      <c r="F201" s="43" t="s">
        <v>10</v>
      </c>
      <c r="G201" s="43" t="s">
        <v>2</v>
      </c>
      <c r="H201" s="43" t="s">
        <v>5</v>
      </c>
      <c r="I201" s="43" t="s">
        <v>11</v>
      </c>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50" t="s">
        <v>202</v>
      </c>
      <c r="B202" s="50" t="s">
        <v>197</v>
      </c>
      <c r="C202" s="51">
        <v>1</v>
      </c>
      <c r="D202" s="45" t="s">
        <v>128</v>
      </c>
      <c r="E202" s="50" t="s">
        <v>198</v>
      </c>
      <c r="F202" s="50"/>
      <c r="G202" s="50" t="s">
        <v>29</v>
      </c>
      <c r="H202" s="50" t="s">
        <v>18</v>
      </c>
      <c r="I202" s="50"/>
      <c r="J202" s="50"/>
      <c r="K202" s="50"/>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4" t="s">
        <v>199</v>
      </c>
      <c r="B203" s="45"/>
      <c r="C203" s="51">
        <v>2.4411239472074011</v>
      </c>
      <c r="D203" s="45" t="s">
        <v>13</v>
      </c>
      <c r="E203" s="45" t="s">
        <v>109</v>
      </c>
      <c r="F203" s="45" t="s">
        <v>200</v>
      </c>
      <c r="G203" s="45"/>
      <c r="H203" s="45" t="s">
        <v>15</v>
      </c>
      <c r="I203" s="45" t="s">
        <v>201</v>
      </c>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row>
    <row r="204" spans="1:34">
      <c r="A204" s="41"/>
      <c r="B204" s="41"/>
      <c r="C204" s="42"/>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43" t="s">
        <v>1</v>
      </c>
      <c r="B205" s="43" t="s">
        <v>204</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11</v>
      </c>
      <c r="B206" s="45" t="s">
        <v>205</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3" t="s">
        <v>2</v>
      </c>
      <c r="B207" s="45" t="s">
        <v>29</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6" t="s">
        <v>4</v>
      </c>
      <c r="B208" s="45" t="s">
        <v>197</v>
      </c>
      <c r="C208" s="44"/>
      <c r="D208" s="45"/>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3</v>
      </c>
      <c r="B209" s="47">
        <v>1</v>
      </c>
      <c r="C209" s="44"/>
      <c r="D209" s="48"/>
      <c r="E209" s="45"/>
      <c r="F209" s="45"/>
      <c r="G209" s="45"/>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6</v>
      </c>
      <c r="B210" s="45" t="s">
        <v>128</v>
      </c>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76</v>
      </c>
      <c r="B211" s="45"/>
      <c r="C211" s="44"/>
      <c r="D211" s="48"/>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7</v>
      </c>
      <c r="B212" s="45"/>
      <c r="C212" s="44"/>
      <c r="D212" s="45"/>
      <c r="E212" s="45"/>
      <c r="F212" s="45"/>
      <c r="G212" s="45"/>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43" t="s">
        <v>8</v>
      </c>
      <c r="B213" s="43" t="s">
        <v>4</v>
      </c>
      <c r="C213" s="49" t="s">
        <v>9</v>
      </c>
      <c r="D213" s="43" t="s">
        <v>6</v>
      </c>
      <c r="E213" s="43" t="s">
        <v>106</v>
      </c>
      <c r="F213" s="43" t="s">
        <v>10</v>
      </c>
      <c r="G213" s="43" t="s">
        <v>2</v>
      </c>
      <c r="H213" s="43" t="s">
        <v>5</v>
      </c>
      <c r="I213" s="43" t="s">
        <v>11</v>
      </c>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50" t="s">
        <v>204</v>
      </c>
      <c r="B214" s="50" t="s">
        <v>197</v>
      </c>
      <c r="C214" s="51">
        <v>1</v>
      </c>
      <c r="D214" s="45" t="s">
        <v>128</v>
      </c>
      <c r="E214" s="50" t="s">
        <v>198</v>
      </c>
      <c r="F214" s="50"/>
      <c r="G214" s="50" t="s">
        <v>29</v>
      </c>
      <c r="H214" s="50" t="s">
        <v>18</v>
      </c>
      <c r="I214" s="50"/>
      <c r="J214" s="50"/>
      <c r="K214" s="50"/>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44" t="s">
        <v>199</v>
      </c>
      <c r="B215" s="45"/>
      <c r="C215" s="51">
        <v>2.4264812291656459</v>
      </c>
      <c r="D215" s="45" t="s">
        <v>13</v>
      </c>
      <c r="E215" s="45" t="s">
        <v>109</v>
      </c>
      <c r="F215" s="45" t="s">
        <v>200</v>
      </c>
      <c r="G215" s="45"/>
      <c r="H215" s="45" t="s">
        <v>15</v>
      </c>
      <c r="I215" s="45" t="s">
        <v>201</v>
      </c>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row>
    <row r="216" spans="1:34">
      <c r="A216" s="41"/>
      <c r="B216" s="41"/>
      <c r="C216" s="42"/>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3" t="s">
        <v>1</v>
      </c>
      <c r="B217" s="43" t="s">
        <v>206</v>
      </c>
      <c r="C217" s="44"/>
      <c r="D217" s="45"/>
      <c r="E217" s="45"/>
      <c r="F217" s="45"/>
      <c r="G217" s="45"/>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3" t="s">
        <v>11</v>
      </c>
      <c r="B218" s="45" t="s">
        <v>207</v>
      </c>
      <c r="C218" s="44"/>
      <c r="D218" s="45"/>
      <c r="E218" s="45"/>
      <c r="F218" s="45"/>
      <c r="G218" s="45"/>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43" t="s">
        <v>2</v>
      </c>
      <c r="B219" s="45" t="s">
        <v>29</v>
      </c>
      <c r="C219" s="44"/>
      <c r="D219" s="45"/>
      <c r="E219" s="45"/>
      <c r="F219" s="45"/>
      <c r="G219" s="45"/>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46" t="s">
        <v>4</v>
      </c>
      <c r="B220" s="45" t="s">
        <v>197</v>
      </c>
      <c r="C220" s="44"/>
      <c r="D220" s="45"/>
      <c r="E220" s="45"/>
      <c r="F220" s="45"/>
      <c r="G220" s="45"/>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43" t="s">
        <v>3</v>
      </c>
      <c r="B221" s="47">
        <v>1</v>
      </c>
      <c r="C221" s="47"/>
      <c r="D221" s="48"/>
      <c r="E221" s="45"/>
      <c r="F221" s="45"/>
      <c r="G221" s="45"/>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43" t="s">
        <v>6</v>
      </c>
      <c r="B222" s="45" t="s">
        <v>128</v>
      </c>
      <c r="C222" s="44"/>
      <c r="D222" s="48"/>
      <c r="E222" s="45"/>
      <c r="F222" s="45"/>
      <c r="G222" s="45"/>
      <c r="H222" s="45"/>
      <c r="I222" s="45"/>
      <c r="J222" s="45"/>
      <c r="K222" s="52"/>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43" t="s">
        <v>76</v>
      </c>
      <c r="B223" s="45"/>
      <c r="C223" s="44"/>
      <c r="D223" s="48"/>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43" t="s">
        <v>7</v>
      </c>
      <c r="B224" s="45"/>
      <c r="C224" s="44"/>
      <c r="D224" s="45"/>
      <c r="E224" s="45"/>
      <c r="F224" s="45"/>
      <c r="G224" s="45"/>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43" t="s">
        <v>8</v>
      </c>
      <c r="B225" s="43" t="s">
        <v>4</v>
      </c>
      <c r="C225" s="49" t="s">
        <v>9</v>
      </c>
      <c r="D225" s="43" t="s">
        <v>6</v>
      </c>
      <c r="E225" s="43" t="s">
        <v>106</v>
      </c>
      <c r="F225" s="43" t="s">
        <v>10</v>
      </c>
      <c r="G225" s="43" t="s">
        <v>2</v>
      </c>
      <c r="H225" s="43" t="s">
        <v>5</v>
      </c>
      <c r="I225" s="43" t="s">
        <v>11</v>
      </c>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206</v>
      </c>
      <c r="B226" s="50" t="s">
        <v>197</v>
      </c>
      <c r="C226" s="44">
        <v>1</v>
      </c>
      <c r="D226" s="45" t="s">
        <v>128</v>
      </c>
      <c r="E226" s="50" t="s">
        <v>198</v>
      </c>
      <c r="F226" s="50"/>
      <c r="G226" s="50" t="s">
        <v>29</v>
      </c>
      <c r="H226" s="50" t="s">
        <v>18</v>
      </c>
      <c r="I226" s="50"/>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50" t="s">
        <v>208</v>
      </c>
      <c r="B227" s="50" t="s">
        <v>209</v>
      </c>
      <c r="C227" s="44">
        <v>17.038721711591588</v>
      </c>
      <c r="D227" s="45" t="s">
        <v>13</v>
      </c>
      <c r="E227" s="50" t="s">
        <v>198</v>
      </c>
      <c r="F227" s="50"/>
      <c r="G227" s="50" t="s">
        <v>29</v>
      </c>
      <c r="H227" s="50" t="s">
        <v>12</v>
      </c>
      <c r="I227" s="50" t="s">
        <v>210</v>
      </c>
      <c r="J227" s="50"/>
      <c r="K227" s="50"/>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row>
    <row r="228" spans="1:34">
      <c r="A228" s="50" t="s">
        <v>28</v>
      </c>
      <c r="B228" s="50" t="s">
        <v>20</v>
      </c>
      <c r="C228" s="44">
        <v>0.14860015447290678</v>
      </c>
      <c r="D228" s="45" t="s">
        <v>19</v>
      </c>
      <c r="E228" s="50" t="s">
        <v>211</v>
      </c>
      <c r="F228" s="50"/>
      <c r="G228" s="50" t="s">
        <v>29</v>
      </c>
      <c r="H228" s="50" t="s">
        <v>12</v>
      </c>
      <c r="I228" s="50"/>
      <c r="J228" s="50"/>
      <c r="K228" s="50"/>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row>
    <row r="229" spans="1:34">
      <c r="A229" s="45" t="s">
        <v>212</v>
      </c>
      <c r="B229" s="50" t="s">
        <v>213</v>
      </c>
      <c r="C229" s="44">
        <v>3.5263836979497925E-7</v>
      </c>
      <c r="D229" s="45" t="s">
        <v>6</v>
      </c>
      <c r="E229" s="50" t="s">
        <v>211</v>
      </c>
      <c r="F229" s="50"/>
      <c r="G229" s="50" t="s">
        <v>214</v>
      </c>
      <c r="H229" s="50" t="s">
        <v>12</v>
      </c>
      <c r="I229" s="53"/>
      <c r="J229" s="50"/>
      <c r="K229" s="50"/>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row>
    <row r="230" spans="1:34">
      <c r="A230" s="50" t="s">
        <v>215</v>
      </c>
      <c r="B230" s="50" t="s">
        <v>216</v>
      </c>
      <c r="C230" s="44">
        <v>0</v>
      </c>
      <c r="D230" s="45" t="s">
        <v>6</v>
      </c>
      <c r="E230" s="50" t="s">
        <v>211</v>
      </c>
      <c r="F230" s="50"/>
      <c r="G230" s="50" t="s">
        <v>140</v>
      </c>
      <c r="H230" s="50" t="s">
        <v>12</v>
      </c>
      <c r="I230" s="45"/>
      <c r="J230" s="50"/>
      <c r="K230" s="50"/>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row>
    <row r="231" spans="1:34">
      <c r="A231" s="44" t="s">
        <v>199</v>
      </c>
      <c r="B231" s="45"/>
      <c r="C231" s="44">
        <v>2.4151762731261179</v>
      </c>
      <c r="D231" s="45" t="s">
        <v>13</v>
      </c>
      <c r="E231" s="45" t="s">
        <v>109</v>
      </c>
      <c r="F231" s="45" t="s">
        <v>200</v>
      </c>
      <c r="G231" s="45"/>
      <c r="H231" s="45" t="s">
        <v>15</v>
      </c>
      <c r="I231" s="45" t="s">
        <v>217</v>
      </c>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row>
    <row r="232" spans="1:34">
      <c r="A232" s="50" t="s">
        <v>218</v>
      </c>
      <c r="B232" s="50"/>
      <c r="C232" s="44">
        <v>0.52422840672193516</v>
      </c>
      <c r="D232" s="45" t="s">
        <v>13</v>
      </c>
      <c r="E232" s="45" t="s">
        <v>109</v>
      </c>
      <c r="F232" s="50" t="s">
        <v>184</v>
      </c>
      <c r="G232" s="50"/>
      <c r="H232" s="45" t="s">
        <v>15</v>
      </c>
      <c r="I232" s="45" t="s">
        <v>219</v>
      </c>
      <c r="J232" s="50"/>
      <c r="K232" s="50"/>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row>
    <row r="233" spans="1:34">
      <c r="A233" s="50" t="s">
        <v>185</v>
      </c>
      <c r="B233" s="50"/>
      <c r="C233" s="44">
        <v>1.4002787242345601E-2</v>
      </c>
      <c r="D233" s="45" t="s">
        <v>13</v>
      </c>
      <c r="E233" s="45" t="s">
        <v>109</v>
      </c>
      <c r="F233" s="50" t="s">
        <v>184</v>
      </c>
      <c r="G233" s="50"/>
      <c r="H233" s="45" t="s">
        <v>15</v>
      </c>
      <c r="I233" s="45" t="s">
        <v>219</v>
      </c>
      <c r="J233" s="50"/>
      <c r="K233" s="50"/>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row>
    <row r="234" spans="1:34">
      <c r="A234" s="50" t="s">
        <v>220</v>
      </c>
      <c r="B234" s="50"/>
      <c r="C234" s="44">
        <v>2.704353696000001E-4</v>
      </c>
      <c r="D234" s="45" t="s">
        <v>13</v>
      </c>
      <c r="E234" s="45" t="s">
        <v>109</v>
      </c>
      <c r="F234" s="50" t="s">
        <v>184</v>
      </c>
      <c r="G234" s="50"/>
      <c r="H234" s="45" t="s">
        <v>15</v>
      </c>
      <c r="I234" s="45" t="s">
        <v>221</v>
      </c>
      <c r="J234" s="50"/>
      <c r="K234" s="50"/>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row>
    <row r="235" spans="1:34">
      <c r="A235" s="50" t="s">
        <v>115</v>
      </c>
      <c r="B235" s="50"/>
      <c r="C235" s="44">
        <v>1.4084597223000001E-5</v>
      </c>
      <c r="D235" s="45" t="s">
        <v>13</v>
      </c>
      <c r="E235" s="45" t="s">
        <v>109</v>
      </c>
      <c r="F235" s="50" t="s">
        <v>184</v>
      </c>
      <c r="G235" s="50"/>
      <c r="H235" s="45" t="s">
        <v>15</v>
      </c>
      <c r="I235" s="45" t="s">
        <v>221</v>
      </c>
      <c r="J235" s="50"/>
      <c r="K235" s="50"/>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row>
    <row r="236" spans="1:34">
      <c r="A236" s="50" t="s">
        <v>119</v>
      </c>
      <c r="B236" s="50"/>
      <c r="C236" s="44">
        <v>8.4506096340000004E-5</v>
      </c>
      <c r="D236" s="45" t="s">
        <v>13</v>
      </c>
      <c r="E236" s="45" t="s">
        <v>109</v>
      </c>
      <c r="F236" s="50" t="s">
        <v>184</v>
      </c>
      <c r="G236" s="50"/>
      <c r="H236" s="45" t="s">
        <v>15</v>
      </c>
      <c r="I236" s="45" t="s">
        <v>221</v>
      </c>
      <c r="J236" s="50"/>
      <c r="K236" s="50"/>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row>
    <row r="237" spans="1:34">
      <c r="A237" s="50" t="s">
        <v>125</v>
      </c>
      <c r="B237" s="50"/>
      <c r="C237" s="44">
        <v>1.4084597223000002E-4</v>
      </c>
      <c r="D237" s="45" t="s">
        <v>13</v>
      </c>
      <c r="E237" s="45" t="s">
        <v>109</v>
      </c>
      <c r="F237" s="50" t="s">
        <v>184</v>
      </c>
      <c r="G237" s="50"/>
      <c r="H237" s="45" t="s">
        <v>15</v>
      </c>
      <c r="I237" s="45" t="s">
        <v>221</v>
      </c>
      <c r="J237" s="50"/>
      <c r="K237" s="50"/>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row>
    <row r="238" spans="1:34">
      <c r="A238" s="50" t="s">
        <v>222</v>
      </c>
      <c r="B238" s="50"/>
      <c r="C238" s="44">
        <v>1.1267727345000002E-5</v>
      </c>
      <c r="D238" s="45" t="s">
        <v>13</v>
      </c>
      <c r="E238" s="45" t="s">
        <v>109</v>
      </c>
      <c r="F238" s="50" t="s">
        <v>184</v>
      </c>
      <c r="G238" s="50"/>
      <c r="H238" s="45" t="s">
        <v>15</v>
      </c>
      <c r="I238" s="45" t="s">
        <v>221</v>
      </c>
      <c r="J238" s="50"/>
      <c r="K238" s="50"/>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row>
    <row r="239" spans="1:34">
      <c r="A239" s="50" t="s">
        <v>223</v>
      </c>
      <c r="B239" s="50"/>
      <c r="C239" s="44">
        <v>3.9437665290000002E-11</v>
      </c>
      <c r="D239" s="45" t="s">
        <v>13</v>
      </c>
      <c r="E239" s="45" t="s">
        <v>109</v>
      </c>
      <c r="F239" s="50" t="s">
        <v>184</v>
      </c>
      <c r="G239" s="50"/>
      <c r="H239" s="45" t="s">
        <v>15</v>
      </c>
      <c r="I239" s="45" t="s">
        <v>221</v>
      </c>
      <c r="J239" s="50"/>
      <c r="K239" s="50"/>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row>
    <row r="240" spans="1:34">
      <c r="A240" s="41"/>
      <c r="B240" s="41"/>
      <c r="C240" s="42"/>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3" t="s">
        <v>1</v>
      </c>
      <c r="B241" s="43" t="s">
        <v>224</v>
      </c>
      <c r="C241" s="44"/>
      <c r="D241" s="45"/>
      <c r="E241" s="45"/>
      <c r="F241" s="45"/>
      <c r="G241" s="45"/>
      <c r="H241" s="45"/>
      <c r="I241" s="45"/>
      <c r="J241" s="45"/>
    </row>
    <row r="242" spans="1:34">
      <c r="A242" s="43" t="s">
        <v>11</v>
      </c>
      <c r="B242" s="45" t="s">
        <v>225</v>
      </c>
      <c r="C242" s="44"/>
      <c r="D242" s="45"/>
      <c r="E242" s="45"/>
      <c r="F242" s="45"/>
      <c r="G242" s="45"/>
      <c r="H242" s="45"/>
      <c r="I242" s="45"/>
      <c r="J242" s="45"/>
    </row>
    <row r="243" spans="1:34">
      <c r="A243" s="43" t="s">
        <v>2</v>
      </c>
      <c r="B243" s="45" t="s">
        <v>29</v>
      </c>
      <c r="C243" s="44"/>
      <c r="D243" s="45"/>
      <c r="E243" s="45"/>
      <c r="F243" s="45"/>
      <c r="G243" s="45"/>
      <c r="H243" s="45"/>
      <c r="I243" s="45"/>
      <c r="J243" s="45"/>
    </row>
    <row r="244" spans="1:34">
      <c r="A244" s="46" t="s">
        <v>4</v>
      </c>
      <c r="B244" s="45" t="s">
        <v>197</v>
      </c>
      <c r="D244" s="45"/>
      <c r="E244" s="45"/>
      <c r="F244" s="45"/>
      <c r="G244" s="45"/>
      <c r="H244" s="45"/>
      <c r="I244" s="45"/>
      <c r="J244" s="45"/>
    </row>
    <row r="245" spans="1:34">
      <c r="A245" s="43" t="s">
        <v>3</v>
      </c>
      <c r="B245" s="47">
        <v>1</v>
      </c>
      <c r="C245" s="44"/>
      <c r="D245" s="45"/>
      <c r="E245" s="45"/>
      <c r="F245" s="45"/>
      <c r="G245" s="45"/>
      <c r="H245" s="45"/>
      <c r="I245" s="45"/>
      <c r="J245" s="45"/>
    </row>
    <row r="246" spans="1:34">
      <c r="A246" s="43" t="s">
        <v>6</v>
      </c>
      <c r="B246" s="45" t="s">
        <v>128</v>
      </c>
      <c r="C246" s="44"/>
      <c r="D246" s="45"/>
      <c r="E246" s="45"/>
      <c r="F246" s="45"/>
      <c r="G246" s="45"/>
      <c r="H246" s="45"/>
      <c r="I246" s="45"/>
      <c r="J246" s="45"/>
    </row>
    <row r="247" spans="1:34">
      <c r="A247" s="43" t="s">
        <v>76</v>
      </c>
      <c r="B247" s="45"/>
      <c r="C247" s="44"/>
      <c r="D247" s="48"/>
      <c r="E247" s="45"/>
      <c r="F247" s="45"/>
      <c r="G247" s="45"/>
      <c r="H247" s="45"/>
      <c r="I247" s="45"/>
      <c r="J247" s="45"/>
    </row>
    <row r="248" spans="1:34">
      <c r="A248" s="43" t="s">
        <v>7</v>
      </c>
      <c r="B248" s="45"/>
      <c r="C248" s="44"/>
      <c r="D248" s="45"/>
      <c r="E248" s="45"/>
      <c r="F248" s="45"/>
      <c r="G248" s="45"/>
      <c r="H248" s="45"/>
      <c r="I248" s="45"/>
      <c r="J248" s="45"/>
    </row>
    <row r="249" spans="1:34">
      <c r="A249" s="43" t="s">
        <v>8</v>
      </c>
      <c r="B249" s="43" t="s">
        <v>4</v>
      </c>
      <c r="C249" s="49" t="s">
        <v>9</v>
      </c>
      <c r="D249" s="43" t="s">
        <v>6</v>
      </c>
      <c r="E249" s="43" t="s">
        <v>106</v>
      </c>
      <c r="F249" s="43" t="s">
        <v>10</v>
      </c>
      <c r="G249" s="43" t="s">
        <v>2</v>
      </c>
      <c r="H249" s="43" t="s">
        <v>5</v>
      </c>
      <c r="I249" s="43" t="s">
        <v>11</v>
      </c>
      <c r="J249" s="45"/>
    </row>
    <row r="250" spans="1:34">
      <c r="A250" s="50" t="s">
        <v>224</v>
      </c>
      <c r="B250" s="50" t="s">
        <v>197</v>
      </c>
      <c r="C250" s="51">
        <v>1</v>
      </c>
      <c r="D250" s="45" t="s">
        <v>128</v>
      </c>
      <c r="E250" s="50" t="s">
        <v>198</v>
      </c>
      <c r="F250" s="50"/>
      <c r="G250" s="50" t="s">
        <v>29</v>
      </c>
      <c r="H250" s="50" t="s">
        <v>18</v>
      </c>
      <c r="I250" s="50"/>
      <c r="J250" s="50"/>
    </row>
    <row r="251" spans="1:34">
      <c r="A251" s="50" t="s">
        <v>226</v>
      </c>
      <c r="B251" s="50" t="s">
        <v>227</v>
      </c>
      <c r="C251" s="51">
        <v>6.796920887871722</v>
      </c>
      <c r="D251" s="45" t="s">
        <v>13</v>
      </c>
      <c r="E251" s="50" t="s">
        <v>198</v>
      </c>
      <c r="F251" s="50"/>
      <c r="G251" s="50" t="s">
        <v>29</v>
      </c>
      <c r="H251" s="50" t="s">
        <v>12</v>
      </c>
      <c r="I251" s="50" t="s">
        <v>228</v>
      </c>
      <c r="J251" s="50"/>
    </row>
    <row r="252" spans="1:34">
      <c r="A252" s="50" t="s">
        <v>28</v>
      </c>
      <c r="B252" s="50" t="s">
        <v>20</v>
      </c>
      <c r="C252" s="51">
        <v>0.15362660223230262</v>
      </c>
      <c r="D252" s="45" t="s">
        <v>19</v>
      </c>
      <c r="E252" s="50" t="s">
        <v>211</v>
      </c>
      <c r="F252" s="50"/>
      <c r="G252" s="50" t="s">
        <v>29</v>
      </c>
      <c r="H252" s="50" t="s">
        <v>12</v>
      </c>
      <c r="I252" s="50"/>
      <c r="J252" s="50"/>
      <c r="K252" s="50"/>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45" t="s">
        <v>212</v>
      </c>
      <c r="B253" s="50" t="s">
        <v>213</v>
      </c>
      <c r="C253" s="44">
        <v>3.5263836979497925E-7</v>
      </c>
      <c r="D253" s="45" t="s">
        <v>6</v>
      </c>
      <c r="E253" s="50" t="s">
        <v>211</v>
      </c>
      <c r="F253" s="50"/>
      <c r="G253" s="50" t="s">
        <v>214</v>
      </c>
      <c r="H253" s="50" t="s">
        <v>12</v>
      </c>
      <c r="I253" s="53"/>
      <c r="J253" s="50"/>
      <c r="K253" s="50"/>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50" t="s">
        <v>215</v>
      </c>
      <c r="B254" s="50" t="s">
        <v>216</v>
      </c>
      <c r="C254" s="51">
        <v>0</v>
      </c>
      <c r="D254" s="45" t="s">
        <v>6</v>
      </c>
      <c r="E254" s="50" t="s">
        <v>211</v>
      </c>
      <c r="F254" s="50"/>
      <c r="G254" s="50" t="s">
        <v>140</v>
      </c>
      <c r="H254" s="50" t="s">
        <v>12</v>
      </c>
      <c r="I254" s="50" t="s">
        <v>229</v>
      </c>
      <c r="J254" s="50"/>
      <c r="K254" s="50"/>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44" t="s">
        <v>199</v>
      </c>
      <c r="B255" s="45"/>
      <c r="C255" s="51">
        <v>2.4436123668001293</v>
      </c>
      <c r="D255" s="45" t="s">
        <v>13</v>
      </c>
      <c r="E255" s="45" t="s">
        <v>109</v>
      </c>
      <c r="F255" s="45" t="s">
        <v>200</v>
      </c>
      <c r="G255" s="45"/>
      <c r="H255" s="45" t="s">
        <v>15</v>
      </c>
      <c r="I255" s="45" t="s">
        <v>217</v>
      </c>
      <c r="J255" s="45"/>
      <c r="K255" s="45"/>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50" t="s">
        <v>218</v>
      </c>
      <c r="B256" s="50"/>
      <c r="C256" s="51">
        <v>0.52955148246431472</v>
      </c>
      <c r="D256" s="45" t="s">
        <v>13</v>
      </c>
      <c r="E256" s="45" t="s">
        <v>109</v>
      </c>
      <c r="F256" s="50" t="s">
        <v>184</v>
      </c>
      <c r="G256" s="50"/>
      <c r="H256" s="45" t="s">
        <v>15</v>
      </c>
      <c r="I256" s="45" t="s">
        <v>219</v>
      </c>
      <c r="J256" s="50"/>
      <c r="K256" s="50"/>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50" t="s">
        <v>185</v>
      </c>
      <c r="B257" s="50"/>
      <c r="C257" s="51">
        <v>1.4476436000041995E-2</v>
      </c>
      <c r="D257" s="45" t="s">
        <v>13</v>
      </c>
      <c r="E257" s="45" t="s">
        <v>109</v>
      </c>
      <c r="F257" s="50" t="s">
        <v>184</v>
      </c>
      <c r="G257" s="50"/>
      <c r="H257" s="45" t="s">
        <v>15</v>
      </c>
      <c r="I257" s="45" t="s">
        <v>219</v>
      </c>
      <c r="J257" s="50"/>
      <c r="K257" s="50"/>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50" t="s">
        <v>220</v>
      </c>
      <c r="B258" s="50"/>
      <c r="C258" s="44">
        <v>2.704353696000001E-4</v>
      </c>
      <c r="D258" s="45" t="s">
        <v>13</v>
      </c>
      <c r="E258" s="45" t="s">
        <v>109</v>
      </c>
      <c r="F258" s="50" t="s">
        <v>184</v>
      </c>
      <c r="G258" s="50"/>
      <c r="H258" s="45" t="s">
        <v>15</v>
      </c>
      <c r="I258" s="45" t="s">
        <v>221</v>
      </c>
      <c r="J258" s="50"/>
      <c r="K258" s="50"/>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50" t="s">
        <v>115</v>
      </c>
      <c r="B259" s="50"/>
      <c r="C259" s="44">
        <v>1.4084597223000001E-5</v>
      </c>
      <c r="D259" s="45" t="s">
        <v>13</v>
      </c>
      <c r="E259" s="45" t="s">
        <v>109</v>
      </c>
      <c r="F259" s="50" t="s">
        <v>184</v>
      </c>
      <c r="G259" s="50"/>
      <c r="H259" s="45" t="s">
        <v>15</v>
      </c>
      <c r="I259" s="45" t="s">
        <v>221</v>
      </c>
      <c r="J259" s="50"/>
      <c r="K259" s="50"/>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50" t="s">
        <v>119</v>
      </c>
      <c r="B260" s="50"/>
      <c r="C260" s="44">
        <v>8.4506096340000004E-5</v>
      </c>
      <c r="D260" s="45" t="s">
        <v>13</v>
      </c>
      <c r="E260" s="45" t="s">
        <v>109</v>
      </c>
      <c r="F260" s="50" t="s">
        <v>184</v>
      </c>
      <c r="G260" s="50"/>
      <c r="H260" s="45" t="s">
        <v>15</v>
      </c>
      <c r="I260" s="45" t="s">
        <v>221</v>
      </c>
      <c r="J260" s="50"/>
      <c r="K260" s="50"/>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125</v>
      </c>
      <c r="B261" s="50"/>
      <c r="C261" s="44">
        <v>1.4084597223000002E-4</v>
      </c>
      <c r="D261" s="45" t="s">
        <v>13</v>
      </c>
      <c r="E261" s="45" t="s">
        <v>109</v>
      </c>
      <c r="F261" s="50" t="s">
        <v>184</v>
      </c>
      <c r="G261" s="50"/>
      <c r="H261" s="45" t="s">
        <v>15</v>
      </c>
      <c r="I261" s="45" t="s">
        <v>221</v>
      </c>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50" t="s">
        <v>222</v>
      </c>
      <c r="B262" s="50"/>
      <c r="C262" s="44">
        <v>1.1267727345000002E-5</v>
      </c>
      <c r="D262" s="45" t="s">
        <v>13</v>
      </c>
      <c r="E262" s="45" t="s">
        <v>109</v>
      </c>
      <c r="F262" s="50" t="s">
        <v>184</v>
      </c>
      <c r="G262" s="50"/>
      <c r="H262" s="45" t="s">
        <v>15</v>
      </c>
      <c r="I262" s="45" t="s">
        <v>221</v>
      </c>
      <c r="J262" s="50"/>
      <c r="K262" s="50"/>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50" t="s">
        <v>223</v>
      </c>
      <c r="B263" s="50"/>
      <c r="C263" s="44">
        <v>3.9437665290000002E-11</v>
      </c>
      <c r="D263" s="45" t="s">
        <v>13</v>
      </c>
      <c r="E263" s="45" t="s">
        <v>109</v>
      </c>
      <c r="F263" s="50" t="s">
        <v>184</v>
      </c>
      <c r="G263" s="50"/>
      <c r="H263" s="45" t="s">
        <v>15</v>
      </c>
      <c r="I263" s="45" t="s">
        <v>221</v>
      </c>
      <c r="J263" s="50"/>
      <c r="K263" s="50"/>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row>
    <row r="264" spans="1:34">
      <c r="A264" s="41"/>
      <c r="B264" s="41"/>
      <c r="C264" s="42"/>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3" t="s">
        <v>1</v>
      </c>
      <c r="B265" s="43" t="s">
        <v>230</v>
      </c>
      <c r="C265" s="44"/>
      <c r="D265" s="45"/>
      <c r="E265" s="45"/>
      <c r="F265" s="45"/>
      <c r="G265" s="45"/>
      <c r="H265" s="45"/>
      <c r="I265" s="45"/>
      <c r="J265" s="45"/>
      <c r="K265" s="45"/>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3" t="s">
        <v>11</v>
      </c>
      <c r="B266" s="45" t="s">
        <v>231</v>
      </c>
      <c r="C266" s="44"/>
      <c r="D266" s="45"/>
      <c r="E266" s="45"/>
      <c r="F266" s="45"/>
      <c r="G266" s="45"/>
      <c r="H266" s="45"/>
      <c r="I266" s="45"/>
      <c r="J266" s="45"/>
      <c r="K266" s="45"/>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row>
    <row r="267" spans="1:34">
      <c r="A267" s="43" t="s">
        <v>2</v>
      </c>
      <c r="B267" s="45" t="s">
        <v>29</v>
      </c>
      <c r="C267" s="44"/>
      <c r="D267" s="45"/>
      <c r="E267" s="45"/>
      <c r="F267" s="45"/>
      <c r="G267" s="45"/>
      <c r="H267" s="45"/>
      <c r="I267" s="45"/>
      <c r="J267" s="45"/>
      <c r="K267" s="45"/>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row>
    <row r="268" spans="1:34">
      <c r="A268" s="46" t="s">
        <v>4</v>
      </c>
      <c r="B268" s="45" t="s">
        <v>197</v>
      </c>
      <c r="C268" s="44"/>
      <c r="D268" s="45"/>
      <c r="E268" s="45"/>
      <c r="F268" s="45"/>
      <c r="G268" s="45"/>
      <c r="H268" s="45"/>
      <c r="I268" s="45"/>
      <c r="J268" s="45"/>
      <c r="K268" s="45"/>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row>
    <row r="269" spans="1:34">
      <c r="A269" s="43" t="s">
        <v>3</v>
      </c>
      <c r="B269" s="47">
        <v>1</v>
      </c>
      <c r="C269" s="44"/>
      <c r="D269" s="48"/>
      <c r="E269" s="45"/>
      <c r="F269" s="45"/>
      <c r="G269" s="45"/>
      <c r="H269" s="45"/>
      <c r="I269" s="45"/>
      <c r="J269" s="45"/>
      <c r="K269" s="45"/>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43" t="s">
        <v>6</v>
      </c>
      <c r="B270" s="45" t="s">
        <v>128</v>
      </c>
      <c r="C270" s="44"/>
      <c r="D270" s="48"/>
      <c r="E270" s="45"/>
      <c r="F270" s="45"/>
      <c r="G270" s="45"/>
      <c r="H270" s="45"/>
      <c r="I270" s="45"/>
      <c r="J270" s="45"/>
      <c r="K270" s="45"/>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43" t="s">
        <v>76</v>
      </c>
      <c r="B271" s="45"/>
      <c r="C271" s="44"/>
      <c r="D271" s="48"/>
      <c r="E271" s="45"/>
      <c r="F271" s="45"/>
      <c r="G271" s="45"/>
      <c r="H271" s="45"/>
      <c r="I271" s="45"/>
      <c r="J271" s="45"/>
      <c r="K271" s="45"/>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43" t="s">
        <v>7</v>
      </c>
      <c r="B272" s="45"/>
      <c r="C272" s="44"/>
      <c r="D272" s="45"/>
      <c r="E272" s="45"/>
      <c r="F272" s="45"/>
      <c r="G272" s="45"/>
      <c r="H272" s="45"/>
      <c r="I272" s="45"/>
      <c r="J272" s="45"/>
      <c r="K272" s="45"/>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43" t="s">
        <v>8</v>
      </c>
      <c r="B273" s="43" t="s">
        <v>4</v>
      </c>
      <c r="C273" s="49" t="s">
        <v>9</v>
      </c>
      <c r="D273" s="43" t="s">
        <v>6</v>
      </c>
      <c r="E273" s="43" t="s">
        <v>106</v>
      </c>
      <c r="F273" s="43" t="s">
        <v>10</v>
      </c>
      <c r="G273" s="43" t="s">
        <v>2</v>
      </c>
      <c r="H273" s="43" t="s">
        <v>5</v>
      </c>
      <c r="I273" s="43" t="s">
        <v>11</v>
      </c>
      <c r="J273" s="45"/>
      <c r="K273" s="45"/>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50" t="s">
        <v>230</v>
      </c>
      <c r="B274" s="50" t="s">
        <v>197</v>
      </c>
      <c r="C274" s="51">
        <v>1</v>
      </c>
      <c r="D274" s="45" t="s">
        <v>128</v>
      </c>
      <c r="E274" s="50" t="s">
        <v>198</v>
      </c>
      <c r="F274" s="50"/>
      <c r="G274" s="50" t="s">
        <v>29</v>
      </c>
      <c r="H274" s="50" t="s">
        <v>18</v>
      </c>
      <c r="I274" s="50"/>
      <c r="J274" s="50"/>
      <c r="K274" s="50"/>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45" t="s">
        <v>232</v>
      </c>
      <c r="B275" s="45" t="s">
        <v>233</v>
      </c>
      <c r="C275" s="51">
        <v>5.67432228571277</v>
      </c>
      <c r="D275" s="45" t="s">
        <v>13</v>
      </c>
      <c r="E275" s="50" t="s">
        <v>198</v>
      </c>
      <c r="F275" s="45"/>
      <c r="G275" s="50" t="s">
        <v>29</v>
      </c>
      <c r="H275" s="45" t="s">
        <v>12</v>
      </c>
      <c r="I275" s="50" t="s">
        <v>228</v>
      </c>
      <c r="J275" s="45"/>
      <c r="K275" s="45"/>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50" t="s">
        <v>28</v>
      </c>
      <c r="B276" s="50" t="s">
        <v>20</v>
      </c>
      <c r="C276" s="51">
        <v>0.15480395188810292</v>
      </c>
      <c r="D276" s="45" t="s">
        <v>19</v>
      </c>
      <c r="E276" s="50" t="s">
        <v>211</v>
      </c>
      <c r="F276" s="50"/>
      <c r="G276" s="50" t="s">
        <v>29</v>
      </c>
      <c r="H276" s="50" t="s">
        <v>12</v>
      </c>
      <c r="I276" s="50"/>
      <c r="J276" s="50"/>
      <c r="K276" s="50"/>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45" t="s">
        <v>212</v>
      </c>
      <c r="B277" s="50" t="s">
        <v>213</v>
      </c>
      <c r="C277" s="44">
        <v>3.5263836979497925E-7</v>
      </c>
      <c r="D277" s="45" t="s">
        <v>6</v>
      </c>
      <c r="E277" s="50" t="s">
        <v>211</v>
      </c>
      <c r="F277" s="50"/>
      <c r="G277" s="50" t="s">
        <v>214</v>
      </c>
      <c r="H277" s="50" t="s">
        <v>12</v>
      </c>
      <c r="I277" s="53"/>
      <c r="J277" s="50"/>
      <c r="K277" s="50"/>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50" t="s">
        <v>215</v>
      </c>
      <c r="B278" s="50" t="s">
        <v>216</v>
      </c>
      <c r="C278" s="51">
        <v>0</v>
      </c>
      <c r="D278" s="45" t="s">
        <v>6</v>
      </c>
      <c r="E278" s="50" t="s">
        <v>211</v>
      </c>
      <c r="F278" s="50"/>
      <c r="G278" s="50" t="s">
        <v>140</v>
      </c>
      <c r="H278" s="50" t="s">
        <v>12</v>
      </c>
      <c r="I278" s="50" t="s">
        <v>229</v>
      </c>
      <c r="J278" s="50"/>
      <c r="K278" s="50"/>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row>
    <row r="279" spans="1:34">
      <c r="A279" s="44" t="s">
        <v>199</v>
      </c>
      <c r="B279" s="45"/>
      <c r="C279" s="51">
        <v>2.4441844636977375</v>
      </c>
      <c r="D279" s="45" t="s">
        <v>13</v>
      </c>
      <c r="E279" s="45" t="s">
        <v>109</v>
      </c>
      <c r="F279" s="45" t="s">
        <v>200</v>
      </c>
      <c r="G279" s="45"/>
      <c r="H279" s="45" t="s">
        <v>15</v>
      </c>
      <c r="I279" s="45" t="s">
        <v>217</v>
      </c>
    </row>
    <row r="280" spans="1:34">
      <c r="A280" s="50" t="s">
        <v>218</v>
      </c>
      <c r="B280" s="54"/>
      <c r="C280" s="51">
        <v>0.52937968723993423</v>
      </c>
      <c r="D280" s="45" t="s">
        <v>13</v>
      </c>
      <c r="E280" s="45" t="s">
        <v>109</v>
      </c>
      <c r="F280" s="50" t="s">
        <v>184</v>
      </c>
      <c r="G280" s="50"/>
      <c r="H280" s="45" t="s">
        <v>15</v>
      </c>
      <c r="I280" s="45" t="s">
        <v>219</v>
      </c>
    </row>
    <row r="281" spans="1:34">
      <c r="A281" s="50" t="s">
        <v>185</v>
      </c>
      <c r="B281" s="50"/>
      <c r="C281" s="51">
        <v>1.4587379200595843E-2</v>
      </c>
      <c r="D281" s="45" t="s">
        <v>13</v>
      </c>
      <c r="E281" s="45" t="s">
        <v>109</v>
      </c>
      <c r="F281" s="50" t="s">
        <v>184</v>
      </c>
      <c r="G281" s="50"/>
      <c r="H281" s="45" t="s">
        <v>15</v>
      </c>
      <c r="I281" s="45" t="s">
        <v>219</v>
      </c>
    </row>
    <row r="282" spans="1:34">
      <c r="A282" s="50" t="s">
        <v>220</v>
      </c>
      <c r="B282" s="50"/>
      <c r="C282" s="44">
        <v>2.704353696000001E-4</v>
      </c>
      <c r="D282" s="45" t="s">
        <v>13</v>
      </c>
      <c r="E282" s="45" t="s">
        <v>109</v>
      </c>
      <c r="F282" s="50" t="s">
        <v>184</v>
      </c>
      <c r="G282" s="50"/>
      <c r="H282" s="45" t="s">
        <v>15</v>
      </c>
      <c r="I282" s="45" t="s">
        <v>221</v>
      </c>
      <c r="J282" s="50"/>
      <c r="K282" s="50"/>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50" t="s">
        <v>115</v>
      </c>
      <c r="B283" s="50"/>
      <c r="C283" s="44">
        <v>1.4084597223000001E-5</v>
      </c>
      <c r="D283" s="45" t="s">
        <v>13</v>
      </c>
      <c r="E283" s="45" t="s">
        <v>109</v>
      </c>
      <c r="F283" s="50" t="s">
        <v>184</v>
      </c>
      <c r="G283" s="50"/>
      <c r="H283" s="45" t="s">
        <v>15</v>
      </c>
      <c r="I283" s="45" t="s">
        <v>221</v>
      </c>
      <c r="J283" s="50"/>
      <c r="K283" s="50"/>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50" t="s">
        <v>119</v>
      </c>
      <c r="B284" s="50"/>
      <c r="C284" s="44">
        <v>8.4506096340000004E-5</v>
      </c>
      <c r="D284" s="45" t="s">
        <v>13</v>
      </c>
      <c r="E284" s="45" t="s">
        <v>109</v>
      </c>
      <c r="F284" s="50" t="s">
        <v>184</v>
      </c>
      <c r="G284" s="50"/>
      <c r="H284" s="45" t="s">
        <v>15</v>
      </c>
      <c r="I284" s="45" t="s">
        <v>221</v>
      </c>
      <c r="J284" s="50"/>
      <c r="K284" s="50"/>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125</v>
      </c>
      <c r="B285" s="50"/>
      <c r="C285" s="44">
        <v>1.4084597223000002E-4</v>
      </c>
      <c r="D285" s="45" t="s">
        <v>13</v>
      </c>
      <c r="E285" s="45" t="s">
        <v>109</v>
      </c>
      <c r="F285" s="50" t="s">
        <v>184</v>
      </c>
      <c r="G285" s="50"/>
      <c r="H285" s="45" t="s">
        <v>15</v>
      </c>
      <c r="I285" s="45" t="s">
        <v>221</v>
      </c>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50" t="s">
        <v>222</v>
      </c>
      <c r="B286" s="50"/>
      <c r="C286" s="44">
        <v>1.1267727345000002E-5</v>
      </c>
      <c r="D286" s="45" t="s">
        <v>13</v>
      </c>
      <c r="E286" s="45" t="s">
        <v>109</v>
      </c>
      <c r="F286" s="50" t="s">
        <v>184</v>
      </c>
      <c r="G286" s="50"/>
      <c r="H286" s="45" t="s">
        <v>15</v>
      </c>
      <c r="I286" s="45" t="s">
        <v>221</v>
      </c>
      <c r="J286" s="50"/>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50" t="s">
        <v>223</v>
      </c>
      <c r="B287" s="50"/>
      <c r="C287" s="44">
        <v>3.9437665290000002E-11</v>
      </c>
      <c r="D287" s="45" t="s">
        <v>13</v>
      </c>
      <c r="E287" s="45" t="s">
        <v>109</v>
      </c>
      <c r="F287" s="50" t="s">
        <v>184</v>
      </c>
      <c r="G287" s="50"/>
      <c r="H287" s="45" t="s">
        <v>15</v>
      </c>
      <c r="I287" s="45" t="s">
        <v>221</v>
      </c>
      <c r="J287" s="50"/>
      <c r="K287" s="50"/>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row>
    <row r="288" spans="1:34">
      <c r="A288" s="41"/>
      <c r="B288" s="41"/>
      <c r="C288" s="42"/>
      <c r="D288" s="41"/>
      <c r="E288" s="41"/>
      <c r="F288" s="41"/>
      <c r="G288" s="41"/>
      <c r="H288" s="41"/>
      <c r="I288" s="41"/>
      <c r="J288" s="41"/>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row>
    <row r="289" spans="1:34">
      <c r="A289" s="43" t="s">
        <v>1</v>
      </c>
      <c r="B289" s="43" t="s">
        <v>234</v>
      </c>
      <c r="C289" s="44"/>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row>
    <row r="290" spans="1:34">
      <c r="A290" s="43" t="s">
        <v>11</v>
      </c>
      <c r="B290" s="45" t="s">
        <v>235</v>
      </c>
      <c r="C290" s="44"/>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row>
    <row r="291" spans="1:34">
      <c r="A291" s="43" t="s">
        <v>2</v>
      </c>
      <c r="B291" s="45" t="s">
        <v>29</v>
      </c>
      <c r="C291" s="44"/>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row>
    <row r="292" spans="1:34">
      <c r="A292" s="46" t="s">
        <v>4</v>
      </c>
      <c r="B292" s="45" t="s">
        <v>197</v>
      </c>
      <c r="C292" s="44"/>
      <c r="D292" s="45"/>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row>
    <row r="293" spans="1:34">
      <c r="A293" s="43" t="s">
        <v>3</v>
      </c>
      <c r="B293" s="47">
        <v>1</v>
      </c>
      <c r="C293" s="44"/>
      <c r="D293" s="48"/>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row>
    <row r="294" spans="1:34">
      <c r="A294" s="43" t="s">
        <v>6</v>
      </c>
      <c r="B294" s="45" t="s">
        <v>128</v>
      </c>
      <c r="C294" s="44"/>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row>
    <row r="295" spans="1:34">
      <c r="A295" s="43" t="s">
        <v>76</v>
      </c>
      <c r="B295" s="45"/>
      <c r="C295" s="44"/>
      <c r="D295" s="48"/>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row>
    <row r="296" spans="1:34">
      <c r="A296" s="43" t="s">
        <v>7</v>
      </c>
      <c r="B296" s="45"/>
      <c r="C296" s="44"/>
      <c r="D296" s="45"/>
      <c r="E296" s="45"/>
      <c r="F296" s="45"/>
      <c r="G296" s="45"/>
      <c r="H296" s="45"/>
      <c r="I296" s="45"/>
      <c r="J296" s="45"/>
      <c r="K296" s="45"/>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row>
    <row r="297" spans="1:34">
      <c r="A297" s="43" t="s">
        <v>8</v>
      </c>
      <c r="B297" s="43" t="s">
        <v>4</v>
      </c>
      <c r="C297" s="49" t="s">
        <v>9</v>
      </c>
      <c r="D297" s="43" t="s">
        <v>6</v>
      </c>
      <c r="E297" s="43" t="s">
        <v>106</v>
      </c>
      <c r="F297" s="43" t="s">
        <v>10</v>
      </c>
      <c r="G297" s="43" t="s">
        <v>2</v>
      </c>
      <c r="H297" s="43" t="s">
        <v>5</v>
      </c>
      <c r="I297" s="43" t="s">
        <v>11</v>
      </c>
      <c r="J297" s="45"/>
      <c r="K297" s="45"/>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row>
    <row r="298" spans="1:34">
      <c r="A298" s="50" t="s">
        <v>234</v>
      </c>
      <c r="B298" s="50" t="s">
        <v>197</v>
      </c>
      <c r="C298" s="51">
        <v>1</v>
      </c>
      <c r="D298" s="45" t="s">
        <v>128</v>
      </c>
      <c r="E298" s="50"/>
      <c r="F298" s="50"/>
      <c r="G298" s="50" t="s">
        <v>29</v>
      </c>
      <c r="H298" s="50" t="s">
        <v>18</v>
      </c>
      <c r="I298" s="50"/>
      <c r="J298" s="50"/>
      <c r="K298" s="50"/>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row>
    <row r="299" spans="1:34">
      <c r="A299" s="45" t="s">
        <v>236</v>
      </c>
      <c r="B299" s="45" t="s">
        <v>237</v>
      </c>
      <c r="C299" s="51">
        <v>6.6267931534374727</v>
      </c>
      <c r="D299" s="45" t="s">
        <v>13</v>
      </c>
      <c r="E299" s="50"/>
      <c r="F299" s="45"/>
      <c r="G299" s="50" t="s">
        <v>29</v>
      </c>
      <c r="H299" s="45" t="s">
        <v>12</v>
      </c>
      <c r="I299" s="50" t="s">
        <v>228</v>
      </c>
      <c r="J299" s="45"/>
      <c r="K299" s="50"/>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row>
    <row r="300" spans="1:34">
      <c r="A300" s="50" t="s">
        <v>28</v>
      </c>
      <c r="B300" s="50" t="s">
        <v>20</v>
      </c>
      <c r="C300" s="51">
        <v>0.154269122246882</v>
      </c>
      <c r="D300" s="45" t="s">
        <v>19</v>
      </c>
      <c r="E300" s="50" t="s">
        <v>211</v>
      </c>
      <c r="F300" s="50"/>
      <c r="G300" s="50" t="s">
        <v>29</v>
      </c>
      <c r="H300" s="50" t="s">
        <v>12</v>
      </c>
      <c r="I300" s="50"/>
      <c r="J300" s="50"/>
    </row>
    <row r="301" spans="1:34">
      <c r="A301" s="45" t="s">
        <v>212</v>
      </c>
      <c r="B301" s="50" t="s">
        <v>213</v>
      </c>
      <c r="C301" s="44">
        <v>3.5263836979497925E-7</v>
      </c>
      <c r="D301" s="45" t="s">
        <v>6</v>
      </c>
      <c r="E301" s="50" t="s">
        <v>211</v>
      </c>
      <c r="F301" s="50"/>
      <c r="G301" s="50" t="s">
        <v>214</v>
      </c>
      <c r="H301" s="50" t="s">
        <v>12</v>
      </c>
      <c r="I301" s="53"/>
      <c r="J301" s="50"/>
    </row>
    <row r="302" spans="1:34">
      <c r="A302" s="50" t="s">
        <v>215</v>
      </c>
      <c r="B302" s="50" t="s">
        <v>216</v>
      </c>
      <c r="C302" s="51">
        <v>0</v>
      </c>
      <c r="D302" s="45" t="s">
        <v>6</v>
      </c>
      <c r="E302" s="50" t="s">
        <v>211</v>
      </c>
      <c r="F302" s="50"/>
      <c r="G302" s="50" t="s">
        <v>140</v>
      </c>
      <c r="H302" s="50" t="s">
        <v>12</v>
      </c>
      <c r="I302" s="50" t="s">
        <v>229</v>
      </c>
      <c r="J302" s="50"/>
    </row>
    <row r="303" spans="1:34">
      <c r="A303" s="44" t="s">
        <v>199</v>
      </c>
      <c r="B303" s="45"/>
      <c r="C303" s="51">
        <v>2.443333879364407</v>
      </c>
      <c r="D303" s="45" t="s">
        <v>13</v>
      </c>
      <c r="E303" s="45" t="s">
        <v>109</v>
      </c>
      <c r="F303" s="45" t="s">
        <v>200</v>
      </c>
      <c r="G303" s="45"/>
      <c r="H303" s="45" t="s">
        <v>15</v>
      </c>
      <c r="I303" s="45" t="s">
        <v>217</v>
      </c>
    </row>
    <row r="304" spans="1:34">
      <c r="A304" s="50" t="s">
        <v>218</v>
      </c>
      <c r="B304" s="54"/>
      <c r="C304" s="51">
        <v>0.52932009475919528</v>
      </c>
      <c r="D304" s="45" t="s">
        <v>13</v>
      </c>
      <c r="E304" s="45" t="s">
        <v>109</v>
      </c>
      <c r="F304" s="50" t="s">
        <v>184</v>
      </c>
      <c r="G304" s="50"/>
      <c r="H304" s="45" t="s">
        <v>15</v>
      </c>
      <c r="I304" s="45" t="s">
        <v>219</v>
      </c>
    </row>
    <row r="305" spans="1:34">
      <c r="A305" s="50" t="s">
        <v>185</v>
      </c>
      <c r="B305" s="50"/>
      <c r="C305" s="51">
        <v>1.45369815028042E-2</v>
      </c>
      <c r="D305" s="45" t="s">
        <v>13</v>
      </c>
      <c r="E305" s="45" t="s">
        <v>109</v>
      </c>
      <c r="F305" s="50" t="s">
        <v>184</v>
      </c>
      <c r="G305" s="50"/>
      <c r="H305" s="45" t="s">
        <v>15</v>
      </c>
      <c r="I305" s="45" t="s">
        <v>219</v>
      </c>
    </row>
    <row r="306" spans="1:34">
      <c r="A306" s="50" t="s">
        <v>220</v>
      </c>
      <c r="B306" s="50"/>
      <c r="C306" s="44">
        <v>2.704353696000001E-4</v>
      </c>
      <c r="D306" s="45" t="s">
        <v>13</v>
      </c>
      <c r="E306" s="45" t="s">
        <v>109</v>
      </c>
      <c r="F306" s="50" t="s">
        <v>184</v>
      </c>
      <c r="G306" s="50"/>
      <c r="H306" s="45" t="s">
        <v>15</v>
      </c>
      <c r="I306" s="45" t="s">
        <v>221</v>
      </c>
      <c r="J306" s="50"/>
    </row>
    <row r="307" spans="1:34">
      <c r="A307" s="50" t="s">
        <v>115</v>
      </c>
      <c r="B307" s="50"/>
      <c r="C307" s="44">
        <v>1.4084597223000001E-5</v>
      </c>
      <c r="D307" s="45" t="s">
        <v>13</v>
      </c>
      <c r="E307" s="45" t="s">
        <v>109</v>
      </c>
      <c r="F307" s="50" t="s">
        <v>184</v>
      </c>
      <c r="G307" s="50"/>
      <c r="H307" s="45" t="s">
        <v>15</v>
      </c>
      <c r="I307" s="45" t="s">
        <v>221</v>
      </c>
      <c r="J307" s="50"/>
    </row>
    <row r="308" spans="1:34">
      <c r="A308" s="50" t="s">
        <v>119</v>
      </c>
      <c r="B308" s="50"/>
      <c r="C308" s="44">
        <v>8.4506096340000004E-5</v>
      </c>
      <c r="D308" s="45" t="s">
        <v>13</v>
      </c>
      <c r="E308" s="45" t="s">
        <v>109</v>
      </c>
      <c r="F308" s="50" t="s">
        <v>184</v>
      </c>
      <c r="G308" s="50"/>
      <c r="H308" s="45" t="s">
        <v>15</v>
      </c>
      <c r="I308" s="45" t="s">
        <v>221</v>
      </c>
      <c r="J308" s="50"/>
    </row>
    <row r="309" spans="1:34">
      <c r="A309" s="50" t="s">
        <v>125</v>
      </c>
      <c r="B309" s="50"/>
      <c r="C309" s="44">
        <v>1.4084597223000002E-4</v>
      </c>
      <c r="D309" s="45" t="s">
        <v>13</v>
      </c>
      <c r="E309" s="45" t="s">
        <v>109</v>
      </c>
      <c r="F309" s="50" t="s">
        <v>184</v>
      </c>
      <c r="G309" s="50"/>
      <c r="H309" s="45" t="s">
        <v>15</v>
      </c>
      <c r="I309" s="45" t="s">
        <v>221</v>
      </c>
      <c r="J309" s="50"/>
    </row>
    <row r="310" spans="1:34">
      <c r="A310" s="50" t="s">
        <v>222</v>
      </c>
      <c r="B310" s="50"/>
      <c r="C310" s="44">
        <v>1.1267727345000002E-5</v>
      </c>
      <c r="D310" s="45" t="s">
        <v>13</v>
      </c>
      <c r="E310" s="45" t="s">
        <v>109</v>
      </c>
      <c r="F310" s="50" t="s">
        <v>184</v>
      </c>
      <c r="G310" s="50"/>
      <c r="H310" s="45" t="s">
        <v>15</v>
      </c>
      <c r="I310" s="45" t="s">
        <v>221</v>
      </c>
      <c r="J310" s="50"/>
    </row>
    <row r="311" spans="1:34">
      <c r="A311" s="50" t="s">
        <v>223</v>
      </c>
      <c r="B311" s="50"/>
      <c r="C311" s="44">
        <v>3.9437665290000002E-11</v>
      </c>
      <c r="D311" s="45" t="s">
        <v>13</v>
      </c>
      <c r="E311" s="45" t="s">
        <v>109</v>
      </c>
      <c r="F311" s="50" t="s">
        <v>184</v>
      </c>
      <c r="G311" s="50"/>
      <c r="H311" s="45" t="s">
        <v>15</v>
      </c>
      <c r="I311" s="45" t="s">
        <v>221</v>
      </c>
      <c r="J311" s="50"/>
    </row>
    <row r="312" spans="1:34">
      <c r="A312" s="41"/>
      <c r="B312" s="41"/>
      <c r="C312" s="42"/>
      <c r="D312" s="41"/>
      <c r="E312" s="41"/>
      <c r="F312" s="41"/>
      <c r="G312" s="41"/>
      <c r="H312" s="41"/>
      <c r="I312" s="41"/>
      <c r="J312" s="41"/>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row>
    <row r="313" spans="1:34">
      <c r="A313" s="43" t="s">
        <v>1</v>
      </c>
      <c r="B313" s="43" t="s">
        <v>238</v>
      </c>
      <c r="C313" s="44"/>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row>
    <row r="314" spans="1:34">
      <c r="A314" s="43" t="s">
        <v>11</v>
      </c>
      <c r="B314" s="45" t="s">
        <v>235</v>
      </c>
      <c r="C314" s="44"/>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row>
    <row r="315" spans="1:34">
      <c r="A315" s="43" t="s">
        <v>2</v>
      </c>
      <c r="B315" s="45" t="s">
        <v>29</v>
      </c>
      <c r="C315" s="44"/>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row>
    <row r="316" spans="1:34">
      <c r="A316" s="46" t="s">
        <v>4</v>
      </c>
      <c r="B316" s="45" t="s">
        <v>197</v>
      </c>
      <c r="C316" s="44"/>
      <c r="D316" s="45"/>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row>
    <row r="317" spans="1:34">
      <c r="A317" s="43" t="s">
        <v>3</v>
      </c>
      <c r="B317" s="47">
        <v>1</v>
      </c>
      <c r="C317" s="44"/>
      <c r="D317" s="48"/>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row>
    <row r="318" spans="1:34">
      <c r="A318" s="43" t="s">
        <v>6</v>
      </c>
      <c r="B318" s="45" t="s">
        <v>128</v>
      </c>
      <c r="C318" s="44"/>
      <c r="D318" s="48"/>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row>
    <row r="319" spans="1:34">
      <c r="A319" s="43" t="s">
        <v>76</v>
      </c>
      <c r="B319" s="45"/>
      <c r="C319" s="44"/>
      <c r="D319" s="48"/>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row>
    <row r="320" spans="1:34">
      <c r="A320" s="43" t="s">
        <v>7</v>
      </c>
      <c r="B320" s="45"/>
      <c r="C320" s="44"/>
      <c r="D320" s="45"/>
      <c r="E320" s="45"/>
      <c r="F320" s="45"/>
      <c r="G320" s="45"/>
      <c r="H320" s="45"/>
      <c r="I320" s="45"/>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row>
    <row r="321" spans="1:34">
      <c r="A321" s="43" t="s">
        <v>8</v>
      </c>
      <c r="B321" s="43" t="s">
        <v>4</v>
      </c>
      <c r="C321" s="49" t="s">
        <v>9</v>
      </c>
      <c r="D321" s="43" t="s">
        <v>6</v>
      </c>
      <c r="E321" s="43" t="s">
        <v>106</v>
      </c>
      <c r="F321" s="43" t="s">
        <v>10</v>
      </c>
      <c r="G321" s="43" t="s">
        <v>2</v>
      </c>
      <c r="H321" s="43" t="s">
        <v>5</v>
      </c>
      <c r="I321" s="43" t="s">
        <v>11</v>
      </c>
      <c r="J321" s="45"/>
      <c r="K321" s="45"/>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row>
    <row r="322" spans="1:34">
      <c r="A322" s="50" t="s">
        <v>238</v>
      </c>
      <c r="B322" s="50" t="s">
        <v>197</v>
      </c>
      <c r="C322" s="51">
        <v>1</v>
      </c>
      <c r="D322" s="45" t="s">
        <v>128</v>
      </c>
      <c r="E322" s="50" t="s">
        <v>198</v>
      </c>
      <c r="F322" s="50"/>
      <c r="G322" s="50" t="s">
        <v>29</v>
      </c>
      <c r="H322" s="50" t="s">
        <v>18</v>
      </c>
      <c r="I322" s="50"/>
      <c r="J322" s="50"/>
      <c r="K322" s="50"/>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row>
    <row r="323" spans="1:34">
      <c r="A323" s="45" t="s">
        <v>239</v>
      </c>
      <c r="B323" s="45" t="s">
        <v>240</v>
      </c>
      <c r="C323" s="51">
        <v>9.4653062547439788</v>
      </c>
      <c r="D323" s="45" t="s">
        <v>13</v>
      </c>
      <c r="E323" s="50" t="s">
        <v>198</v>
      </c>
      <c r="F323" s="45"/>
      <c r="G323" s="50" t="s">
        <v>29</v>
      </c>
      <c r="H323" s="45" t="s">
        <v>12</v>
      </c>
      <c r="I323" s="50" t="s">
        <v>228</v>
      </c>
      <c r="J323" s="45"/>
      <c r="K323" s="50"/>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row>
    <row r="324" spans="1:34">
      <c r="A324" s="50" t="s">
        <v>28</v>
      </c>
      <c r="B324" s="50" t="s">
        <v>20</v>
      </c>
      <c r="C324" s="51">
        <v>0.15404859548644473</v>
      </c>
      <c r="D324" s="45" t="s">
        <v>19</v>
      </c>
      <c r="E324" s="50" t="s">
        <v>211</v>
      </c>
      <c r="F324" s="50"/>
      <c r="G324" s="50" t="s">
        <v>29</v>
      </c>
      <c r="H324" s="50" t="s">
        <v>12</v>
      </c>
      <c r="I324" s="50"/>
      <c r="J324" s="50"/>
    </row>
    <row r="325" spans="1:34">
      <c r="A325" s="45" t="s">
        <v>212</v>
      </c>
      <c r="B325" s="50" t="s">
        <v>213</v>
      </c>
      <c r="C325" s="51">
        <v>3.5263836979497925E-7</v>
      </c>
      <c r="D325" s="45" t="s">
        <v>6</v>
      </c>
      <c r="E325" s="50" t="s">
        <v>211</v>
      </c>
      <c r="F325" s="50"/>
      <c r="G325" s="50" t="s">
        <v>214</v>
      </c>
      <c r="H325" s="50" t="s">
        <v>12</v>
      </c>
      <c r="I325" s="53"/>
      <c r="J325" s="50"/>
    </row>
    <row r="326" spans="1:34">
      <c r="A326" s="50" t="s">
        <v>215</v>
      </c>
      <c r="B326" s="50" t="s">
        <v>216</v>
      </c>
      <c r="C326" s="51">
        <v>0</v>
      </c>
      <c r="D326" s="45" t="s">
        <v>6</v>
      </c>
      <c r="E326" s="50" t="s">
        <v>211</v>
      </c>
      <c r="F326" s="50"/>
      <c r="G326" s="50" t="s">
        <v>140</v>
      </c>
      <c r="H326" s="50" t="s">
        <v>12</v>
      </c>
      <c r="I326" s="50" t="s">
        <v>229</v>
      </c>
      <c r="J326" s="50"/>
    </row>
    <row r="327" spans="1:34">
      <c r="A327" s="44" t="s">
        <v>199</v>
      </c>
      <c r="B327" s="45"/>
      <c r="C327" s="51">
        <v>2.4424421269274674</v>
      </c>
      <c r="D327" s="45" t="s">
        <v>13</v>
      </c>
      <c r="E327" s="45" t="s">
        <v>109</v>
      </c>
      <c r="F327" s="45" t="s">
        <v>200</v>
      </c>
      <c r="G327" s="45"/>
      <c r="H327" s="45" t="s">
        <v>15</v>
      </c>
      <c r="I327" s="45" t="s">
        <v>217</v>
      </c>
    </row>
    <row r="328" spans="1:34">
      <c r="A328" s="50" t="s">
        <v>218</v>
      </c>
      <c r="B328" s="54"/>
      <c r="C328" s="51">
        <v>0.52916946288666733</v>
      </c>
      <c r="D328" s="45" t="s">
        <v>13</v>
      </c>
      <c r="E328" s="45" t="s">
        <v>109</v>
      </c>
      <c r="F328" s="50" t="s">
        <v>184</v>
      </c>
      <c r="G328" s="50"/>
      <c r="H328" s="45" t="s">
        <v>15</v>
      </c>
      <c r="I328" s="45" t="s">
        <v>219</v>
      </c>
    </row>
    <row r="329" spans="1:34">
      <c r="A329" s="50" t="s">
        <v>185</v>
      </c>
      <c r="B329" s="50"/>
      <c r="C329" s="51">
        <v>1.4516200977248223E-2</v>
      </c>
      <c r="D329" s="45" t="s">
        <v>13</v>
      </c>
      <c r="E329" s="45" t="s">
        <v>109</v>
      </c>
      <c r="F329" s="50" t="s">
        <v>184</v>
      </c>
      <c r="G329" s="50"/>
      <c r="H329" s="45" t="s">
        <v>15</v>
      </c>
      <c r="I329" s="45" t="s">
        <v>219</v>
      </c>
    </row>
    <row r="330" spans="1:34">
      <c r="A330" s="50" t="s">
        <v>220</v>
      </c>
      <c r="B330" s="50"/>
      <c r="C330" s="51">
        <v>2.704353696000001E-4</v>
      </c>
      <c r="D330" s="45" t="s">
        <v>13</v>
      </c>
      <c r="E330" s="45" t="s">
        <v>109</v>
      </c>
      <c r="F330" s="50" t="s">
        <v>184</v>
      </c>
      <c r="G330" s="50"/>
      <c r="H330" s="45" t="s">
        <v>15</v>
      </c>
      <c r="I330" s="45" t="s">
        <v>221</v>
      </c>
      <c r="J330" s="50"/>
    </row>
    <row r="331" spans="1:34">
      <c r="A331" s="50" t="s">
        <v>115</v>
      </c>
      <c r="B331" s="50"/>
      <c r="C331" s="51">
        <v>1.4084597223000001E-5</v>
      </c>
      <c r="D331" s="45" t="s">
        <v>13</v>
      </c>
      <c r="E331" s="45" t="s">
        <v>109</v>
      </c>
      <c r="F331" s="50" t="s">
        <v>184</v>
      </c>
      <c r="G331" s="50"/>
      <c r="H331" s="45" t="s">
        <v>15</v>
      </c>
      <c r="I331" s="45" t="s">
        <v>221</v>
      </c>
      <c r="J331" s="50"/>
    </row>
    <row r="332" spans="1:34">
      <c r="A332" s="50" t="s">
        <v>119</v>
      </c>
      <c r="B332" s="50"/>
      <c r="C332" s="51">
        <v>8.4506096340000004E-5</v>
      </c>
      <c r="D332" s="45" t="s">
        <v>13</v>
      </c>
      <c r="E332" s="45" t="s">
        <v>109</v>
      </c>
      <c r="F332" s="50" t="s">
        <v>184</v>
      </c>
      <c r="G332" s="50"/>
      <c r="H332" s="45" t="s">
        <v>15</v>
      </c>
      <c r="I332" s="45" t="s">
        <v>221</v>
      </c>
      <c r="J332" s="50"/>
    </row>
    <row r="333" spans="1:34">
      <c r="A333" s="50" t="s">
        <v>125</v>
      </c>
      <c r="B333" s="50"/>
      <c r="C333" s="51">
        <v>1.4084597223000002E-4</v>
      </c>
      <c r="D333" s="45" t="s">
        <v>13</v>
      </c>
      <c r="E333" s="45" t="s">
        <v>109</v>
      </c>
      <c r="F333" s="50" t="s">
        <v>184</v>
      </c>
      <c r="G333" s="50"/>
      <c r="H333" s="45" t="s">
        <v>15</v>
      </c>
      <c r="I333" s="45" t="s">
        <v>221</v>
      </c>
      <c r="J333" s="50"/>
    </row>
    <row r="334" spans="1:34">
      <c r="A334" s="50" t="s">
        <v>222</v>
      </c>
      <c r="B334" s="50"/>
      <c r="C334" s="51">
        <v>1.1267727345000002E-5</v>
      </c>
      <c r="D334" s="45" t="s">
        <v>13</v>
      </c>
      <c r="E334" s="45" t="s">
        <v>109</v>
      </c>
      <c r="F334" s="50" t="s">
        <v>184</v>
      </c>
      <c r="G334" s="50"/>
      <c r="H334" s="45" t="s">
        <v>15</v>
      </c>
      <c r="I334" s="45" t="s">
        <v>221</v>
      </c>
      <c r="J334" s="50"/>
    </row>
    <row r="335" spans="1:34">
      <c r="A335" s="50" t="s">
        <v>223</v>
      </c>
      <c r="B335" s="50"/>
      <c r="C335" s="51">
        <v>3.9437665290000002E-11</v>
      </c>
      <c r="D335" s="45" t="s">
        <v>13</v>
      </c>
      <c r="E335" s="45" t="s">
        <v>109</v>
      </c>
      <c r="F335" s="50" t="s">
        <v>184</v>
      </c>
      <c r="G335" s="50"/>
      <c r="H335" s="45" t="s">
        <v>15</v>
      </c>
      <c r="I335" s="45" t="s">
        <v>221</v>
      </c>
      <c r="J335" s="50"/>
    </row>
    <row r="336" spans="1:34">
      <c r="A336" s="41"/>
      <c r="B336" s="41"/>
      <c r="C336" s="42"/>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row>
    <row r="337" spans="1:34">
      <c r="A337" s="43" t="s">
        <v>1</v>
      </c>
      <c r="B337" s="63" t="s">
        <v>236</v>
      </c>
      <c r="C337" s="44"/>
      <c r="D337" s="45"/>
      <c r="E337" s="45"/>
      <c r="F337" s="45"/>
      <c r="G337" s="45"/>
      <c r="H337" s="45"/>
      <c r="I337" s="45"/>
    </row>
    <row r="338" spans="1:34">
      <c r="A338" s="43" t="s">
        <v>11</v>
      </c>
      <c r="B338" s="45" t="s">
        <v>241</v>
      </c>
      <c r="C338" s="44"/>
      <c r="D338" s="45"/>
      <c r="E338" s="45"/>
      <c r="F338" s="45"/>
      <c r="G338" s="45"/>
      <c r="H338" s="45"/>
      <c r="I338" s="45"/>
    </row>
    <row r="339" spans="1:34">
      <c r="A339" s="43" t="s">
        <v>2</v>
      </c>
      <c r="B339" s="45" t="s">
        <v>29</v>
      </c>
      <c r="C339" s="44"/>
      <c r="D339" s="45"/>
      <c r="E339" s="45"/>
      <c r="F339" s="45"/>
      <c r="G339" s="45"/>
      <c r="H339" s="45"/>
      <c r="I339" s="45"/>
    </row>
    <row r="340" spans="1:34">
      <c r="A340" s="46" t="s">
        <v>4</v>
      </c>
      <c r="B340" s="50" t="s">
        <v>237</v>
      </c>
      <c r="C340" s="44"/>
      <c r="D340" s="45"/>
      <c r="E340" s="45"/>
      <c r="F340" s="45"/>
      <c r="G340" s="45"/>
      <c r="H340" s="45"/>
      <c r="I340" s="45"/>
    </row>
    <row r="341" spans="1:34">
      <c r="A341" s="43" t="s">
        <v>3</v>
      </c>
      <c r="B341" s="47">
        <v>1</v>
      </c>
      <c r="C341" s="44"/>
      <c r="D341" s="48"/>
      <c r="E341" s="45"/>
      <c r="F341" s="45"/>
      <c r="G341" s="45"/>
      <c r="H341" s="45"/>
      <c r="I341" s="45"/>
    </row>
    <row r="342" spans="1:34">
      <c r="A342" s="43" t="s">
        <v>6</v>
      </c>
      <c r="B342" s="45" t="s">
        <v>13</v>
      </c>
      <c r="C342" s="44"/>
      <c r="D342" s="48"/>
      <c r="E342" s="45"/>
      <c r="F342" s="45"/>
      <c r="G342" s="45"/>
      <c r="H342" s="45"/>
      <c r="I342" s="45"/>
    </row>
    <row r="343" spans="1:34">
      <c r="A343" s="43" t="s">
        <v>76</v>
      </c>
      <c r="B343" s="45"/>
      <c r="C343" s="44"/>
      <c r="E343" s="45"/>
      <c r="F343" s="45"/>
      <c r="G343" s="45"/>
      <c r="H343" s="45"/>
      <c r="I343" s="45"/>
    </row>
    <row r="344" spans="1:34">
      <c r="A344" s="43" t="s">
        <v>7</v>
      </c>
      <c r="B344" s="45"/>
      <c r="C344" s="44"/>
      <c r="D344" s="45"/>
      <c r="E344" s="45"/>
      <c r="F344" s="45"/>
      <c r="G344" s="45"/>
      <c r="H344" s="45"/>
      <c r="I344" s="45"/>
    </row>
    <row r="345" spans="1:34">
      <c r="A345" s="43" t="s">
        <v>8</v>
      </c>
      <c r="B345" s="43" t="s">
        <v>4</v>
      </c>
      <c r="C345" s="49" t="s">
        <v>9</v>
      </c>
      <c r="D345" s="43" t="s">
        <v>6</v>
      </c>
      <c r="E345" s="43" t="s">
        <v>106</v>
      </c>
      <c r="F345" s="43" t="s">
        <v>10</v>
      </c>
      <c r="G345" s="43" t="s">
        <v>2</v>
      </c>
      <c r="H345" s="43" t="s">
        <v>5</v>
      </c>
      <c r="I345" s="43" t="s">
        <v>11</v>
      </c>
    </row>
    <row r="346" spans="1:34">
      <c r="A346" s="50" t="s">
        <v>236</v>
      </c>
      <c r="B346" s="50" t="s">
        <v>237</v>
      </c>
      <c r="C346" s="51">
        <v>1</v>
      </c>
      <c r="D346" s="45" t="s">
        <v>13</v>
      </c>
      <c r="E346" s="50"/>
      <c r="F346" s="50"/>
      <c r="G346" s="50" t="s">
        <v>29</v>
      </c>
      <c r="H346" s="50" t="s">
        <v>18</v>
      </c>
      <c r="I346" s="50"/>
    </row>
    <row r="347" spans="1:34">
      <c r="A347" s="50" t="s">
        <v>242</v>
      </c>
      <c r="B347" s="50" t="s">
        <v>243</v>
      </c>
      <c r="C347" s="51">
        <v>0.01</v>
      </c>
      <c r="D347" s="45" t="s">
        <v>244</v>
      </c>
      <c r="E347" s="50" t="s">
        <v>211</v>
      </c>
      <c r="F347" s="50"/>
      <c r="G347" s="50" t="s">
        <v>49</v>
      </c>
      <c r="H347" s="50" t="s">
        <v>12</v>
      </c>
      <c r="I347" s="50"/>
    </row>
    <row r="348" spans="1:34">
      <c r="A348" t="s">
        <v>384</v>
      </c>
      <c r="B348" t="s">
        <v>385</v>
      </c>
      <c r="C348" s="51">
        <v>1</v>
      </c>
      <c r="D348" s="45" t="s">
        <v>13</v>
      </c>
      <c r="E348" s="50"/>
      <c r="F348" s="50"/>
      <c r="G348" s="50" t="s">
        <v>27</v>
      </c>
      <c r="H348" s="50" t="s">
        <v>12</v>
      </c>
      <c r="I348" s="50"/>
    </row>
    <row r="349" spans="1:34">
      <c r="A349" s="41"/>
      <c r="B349" s="41"/>
      <c r="C349" s="42"/>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43" t="s">
        <v>1</v>
      </c>
      <c r="B350" s="63" t="s">
        <v>239</v>
      </c>
      <c r="C350" s="44"/>
      <c r="D350" s="45"/>
      <c r="E350" s="45"/>
      <c r="F350" s="45"/>
      <c r="G350" s="45"/>
      <c r="H350" s="45"/>
      <c r="I350" s="45"/>
    </row>
    <row r="351" spans="1:34">
      <c r="A351" s="43" t="s">
        <v>11</v>
      </c>
      <c r="B351" s="45" t="s">
        <v>241</v>
      </c>
      <c r="C351" s="44"/>
      <c r="D351" s="45"/>
      <c r="E351" s="45"/>
      <c r="F351" s="45"/>
      <c r="G351" s="45"/>
      <c r="H351" s="45"/>
      <c r="I351" s="45"/>
    </row>
    <row r="352" spans="1:34">
      <c r="A352" s="43" t="s">
        <v>2</v>
      </c>
      <c r="B352" s="45" t="s">
        <v>29</v>
      </c>
      <c r="C352" s="44"/>
      <c r="D352" s="45"/>
      <c r="E352" s="45"/>
      <c r="F352" s="45"/>
      <c r="G352" s="45"/>
      <c r="H352" s="45"/>
      <c r="I352" s="45"/>
    </row>
    <row r="353" spans="1:34">
      <c r="A353" s="46" t="s">
        <v>4</v>
      </c>
      <c r="B353" s="45" t="s">
        <v>240</v>
      </c>
      <c r="C353" s="44"/>
      <c r="D353" s="45"/>
      <c r="E353" s="45"/>
      <c r="F353" s="45"/>
      <c r="G353" s="45"/>
      <c r="H353" s="45"/>
      <c r="I353" s="45"/>
    </row>
    <row r="354" spans="1:34">
      <c r="A354" s="43" t="s">
        <v>3</v>
      </c>
      <c r="B354" s="47">
        <v>1</v>
      </c>
      <c r="C354" s="44"/>
      <c r="D354" s="48"/>
      <c r="E354" s="45"/>
      <c r="F354" s="45"/>
      <c r="G354" s="45"/>
      <c r="H354" s="45"/>
      <c r="I354" s="45"/>
    </row>
    <row r="355" spans="1:34">
      <c r="A355" s="43" t="s">
        <v>6</v>
      </c>
      <c r="B355" s="45" t="s">
        <v>13</v>
      </c>
      <c r="C355" s="44"/>
      <c r="D355" s="48"/>
      <c r="E355" s="45"/>
      <c r="F355" s="45"/>
      <c r="G355" s="45"/>
      <c r="H355" s="45"/>
      <c r="I355" s="45"/>
    </row>
    <row r="356" spans="1:34">
      <c r="A356" s="43" t="s">
        <v>76</v>
      </c>
      <c r="B356" s="45"/>
      <c r="C356" s="44"/>
      <c r="D356" s="48"/>
      <c r="E356" s="45"/>
      <c r="F356" s="45"/>
      <c r="G356" s="45"/>
      <c r="H356" s="45"/>
      <c r="I356" s="45"/>
    </row>
    <row r="357" spans="1:34">
      <c r="A357" s="43" t="s">
        <v>7</v>
      </c>
      <c r="B357" s="45"/>
      <c r="C357" s="44"/>
      <c r="D357" s="45"/>
      <c r="E357" s="45"/>
      <c r="F357" s="45"/>
      <c r="G357" s="45"/>
      <c r="H357" s="45"/>
      <c r="I357" s="45"/>
    </row>
    <row r="358" spans="1:34">
      <c r="A358" s="43" t="s">
        <v>8</v>
      </c>
      <c r="B358" s="43" t="s">
        <v>4</v>
      </c>
      <c r="C358" s="49" t="s">
        <v>9</v>
      </c>
      <c r="D358" s="43" t="s">
        <v>6</v>
      </c>
      <c r="E358" s="43" t="s">
        <v>106</v>
      </c>
      <c r="F358" s="43" t="s">
        <v>10</v>
      </c>
      <c r="G358" s="43" t="s">
        <v>2</v>
      </c>
      <c r="H358" s="43" t="s">
        <v>5</v>
      </c>
      <c r="I358" s="43" t="s">
        <v>11</v>
      </c>
    </row>
    <row r="359" spans="1:34">
      <c r="A359" s="50" t="s">
        <v>239</v>
      </c>
      <c r="B359" s="50" t="s">
        <v>245</v>
      </c>
      <c r="C359" s="51">
        <v>1</v>
      </c>
      <c r="D359" s="45" t="s">
        <v>13</v>
      </c>
      <c r="E359" s="50" t="s">
        <v>198</v>
      </c>
      <c r="F359" s="50"/>
      <c r="G359" s="50" t="s">
        <v>29</v>
      </c>
      <c r="H359" s="50" t="s">
        <v>18</v>
      </c>
      <c r="I359" s="50"/>
    </row>
    <row r="360" spans="1:34">
      <c r="A360" s="50" t="s">
        <v>242</v>
      </c>
      <c r="B360" s="50" t="s">
        <v>243</v>
      </c>
      <c r="C360" s="51">
        <v>0.01</v>
      </c>
      <c r="D360" s="45" t="s">
        <v>244</v>
      </c>
      <c r="E360" s="50" t="s">
        <v>211</v>
      </c>
      <c r="F360" s="50"/>
      <c r="G360" s="50" t="s">
        <v>49</v>
      </c>
      <c r="H360" s="50" t="s">
        <v>12</v>
      </c>
      <c r="I360" s="50"/>
    </row>
    <row r="361" spans="1:34">
      <c r="A361" s="41"/>
      <c r="B361" s="41"/>
      <c r="C361" s="42"/>
      <c r="D361" s="41"/>
      <c r="E361" s="41"/>
      <c r="F361" s="41"/>
      <c r="G361" s="41"/>
      <c r="H361" s="41"/>
      <c r="I361" s="41"/>
      <c r="J361" s="41"/>
      <c r="K361" s="41"/>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row>
    <row r="362" spans="1:34">
      <c r="A362" s="43" t="s">
        <v>1</v>
      </c>
      <c r="B362" s="63" t="s">
        <v>208</v>
      </c>
      <c r="C362" s="44"/>
      <c r="D362" s="45"/>
      <c r="E362" s="45"/>
      <c r="F362" s="45"/>
      <c r="G362" s="45"/>
      <c r="H362" s="45"/>
      <c r="I362" s="45"/>
    </row>
    <row r="363" spans="1:34">
      <c r="A363" s="43" t="s">
        <v>11</v>
      </c>
      <c r="B363" s="45" t="s">
        <v>301</v>
      </c>
      <c r="C363" s="44"/>
      <c r="D363" s="45"/>
      <c r="E363" s="45"/>
      <c r="F363" s="45"/>
      <c r="G363" s="45"/>
      <c r="H363" s="45"/>
      <c r="I363" s="45"/>
    </row>
    <row r="364" spans="1:34">
      <c r="A364" s="43" t="s">
        <v>2</v>
      </c>
      <c r="B364" s="45" t="s">
        <v>29</v>
      </c>
      <c r="C364" s="44"/>
      <c r="D364" s="45"/>
      <c r="E364" s="45"/>
      <c r="F364" s="45"/>
      <c r="G364" s="45"/>
      <c r="H364" s="45"/>
      <c r="I364" s="45"/>
    </row>
    <row r="365" spans="1:34">
      <c r="A365" s="46" t="s">
        <v>4</v>
      </c>
      <c r="B365" s="45" t="s">
        <v>209</v>
      </c>
      <c r="C365" s="44"/>
      <c r="D365" s="45"/>
      <c r="E365" s="45"/>
      <c r="F365" s="45"/>
      <c r="G365" s="45"/>
      <c r="H365" s="45"/>
      <c r="I365" s="45"/>
    </row>
    <row r="366" spans="1:34">
      <c r="A366" s="43" t="s">
        <v>3</v>
      </c>
      <c r="B366" s="47">
        <v>1</v>
      </c>
      <c r="C366" s="44"/>
      <c r="D366" s="48"/>
      <c r="E366" s="45"/>
      <c r="F366" s="45"/>
      <c r="G366" s="45"/>
      <c r="H366" s="45"/>
      <c r="I366" s="45"/>
    </row>
    <row r="367" spans="1:34">
      <c r="A367" s="43" t="s">
        <v>6</v>
      </c>
      <c r="B367" s="45" t="s">
        <v>13</v>
      </c>
      <c r="C367" s="44"/>
      <c r="D367" s="48"/>
      <c r="E367" s="45"/>
      <c r="F367" s="45"/>
      <c r="G367" s="45"/>
      <c r="H367" s="45"/>
      <c r="I367" s="45"/>
    </row>
    <row r="368" spans="1:34">
      <c r="A368" s="43" t="s">
        <v>76</v>
      </c>
      <c r="B368" s="45" t="s">
        <v>300</v>
      </c>
      <c r="C368" s="44"/>
      <c r="D368" s="48"/>
      <c r="E368" s="45"/>
      <c r="F368" s="45"/>
      <c r="G368" s="45"/>
      <c r="H368" s="45"/>
      <c r="I368" s="45"/>
    </row>
    <row r="369" spans="1:34">
      <c r="A369" s="43" t="s">
        <v>7</v>
      </c>
      <c r="B369" s="45"/>
      <c r="C369" s="44"/>
      <c r="D369" s="45"/>
      <c r="E369" s="45"/>
      <c r="F369" s="45"/>
      <c r="G369" s="45"/>
      <c r="H369" s="45"/>
      <c r="I369" s="45"/>
    </row>
    <row r="370" spans="1:34">
      <c r="A370" s="43" t="s">
        <v>8</v>
      </c>
      <c r="B370" s="43" t="s">
        <v>4</v>
      </c>
      <c r="C370" s="49" t="s">
        <v>9</v>
      </c>
      <c r="D370" s="43" t="s">
        <v>6</v>
      </c>
      <c r="E370" s="43" t="s">
        <v>106</v>
      </c>
      <c r="F370" s="43" t="s">
        <v>10</v>
      </c>
      <c r="G370" s="43" t="s">
        <v>2</v>
      </c>
      <c r="H370" s="43" t="s">
        <v>5</v>
      </c>
      <c r="I370" s="43" t="s">
        <v>11</v>
      </c>
    </row>
    <row r="371" spans="1:34">
      <c r="A371" s="50" t="s">
        <v>208</v>
      </c>
      <c r="B371" s="50" t="s">
        <v>209</v>
      </c>
      <c r="C371" s="51">
        <v>1</v>
      </c>
      <c r="D371" s="45" t="s">
        <v>13</v>
      </c>
      <c r="E371" s="50" t="s">
        <v>198</v>
      </c>
      <c r="F371" s="50"/>
      <c r="G371" s="50" t="s">
        <v>29</v>
      </c>
      <c r="H371" s="50" t="s">
        <v>18</v>
      </c>
      <c r="I371" s="50"/>
    </row>
    <row r="372" spans="1:34">
      <c r="A372" s="50" t="s">
        <v>242</v>
      </c>
      <c r="B372" s="50" t="s">
        <v>243</v>
      </c>
      <c r="C372" s="51">
        <v>0.01</v>
      </c>
      <c r="D372" s="45" t="s">
        <v>244</v>
      </c>
      <c r="E372" s="50" t="s">
        <v>211</v>
      </c>
      <c r="F372" s="50"/>
      <c r="G372" s="50" t="s">
        <v>49</v>
      </c>
      <c r="H372" s="50" t="s">
        <v>12</v>
      </c>
      <c r="I372" s="50"/>
    </row>
    <row r="373" spans="1:34">
      <c r="A373" s="41"/>
      <c r="B373" s="41"/>
      <c r="C373" s="42"/>
      <c r="D373" s="41"/>
      <c r="E373" s="41"/>
      <c r="F373" s="41"/>
      <c r="G373" s="41"/>
      <c r="H373" s="41"/>
      <c r="I373" s="41"/>
      <c r="J373" s="41"/>
      <c r="K373" s="41"/>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row>
    <row r="374" spans="1:34">
      <c r="A374" s="43" t="s">
        <v>1</v>
      </c>
      <c r="B374" s="43" t="s">
        <v>226</v>
      </c>
      <c r="C374" s="44"/>
      <c r="D374" s="45"/>
      <c r="E374" s="45"/>
      <c r="F374" s="45"/>
      <c r="G374" s="45"/>
      <c r="H374" s="45"/>
      <c r="I374" s="45"/>
      <c r="J374" s="45"/>
      <c r="K374" s="45"/>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row>
    <row r="375" spans="1:34">
      <c r="A375" s="43" t="s">
        <v>11</v>
      </c>
      <c r="B375" s="45" t="s">
        <v>246</v>
      </c>
      <c r="C375" s="44"/>
      <c r="D375" s="45"/>
      <c r="E375" s="45"/>
      <c r="F375" s="45"/>
      <c r="G375" s="45"/>
      <c r="H375" s="45"/>
      <c r="I375" s="45"/>
      <c r="J375" s="45"/>
      <c r="K375" s="45"/>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row>
    <row r="376" spans="1:34">
      <c r="A376" s="43" t="s">
        <v>2</v>
      </c>
      <c r="B376" s="45" t="s">
        <v>29</v>
      </c>
      <c r="C376" s="44"/>
      <c r="D376" s="45"/>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6" t="s">
        <v>4</v>
      </c>
      <c r="B377" s="45" t="s">
        <v>227</v>
      </c>
      <c r="C377" s="44"/>
      <c r="D377" s="45"/>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3</v>
      </c>
      <c r="B378" s="47">
        <v>1</v>
      </c>
      <c r="C378" s="44"/>
      <c r="D378" s="48"/>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3" t="s">
        <v>6</v>
      </c>
      <c r="B379" s="45" t="s">
        <v>13</v>
      </c>
      <c r="C379" s="44"/>
      <c r="D379" s="48"/>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76</v>
      </c>
      <c r="B380" s="45" t="s">
        <v>291</v>
      </c>
      <c r="C380" s="44"/>
      <c r="D380" s="48"/>
      <c r="E380" s="45"/>
      <c r="F380" s="45"/>
      <c r="G380" s="45"/>
      <c r="H380" s="45"/>
      <c r="I380" s="45"/>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43" t="s">
        <v>7</v>
      </c>
      <c r="B381" s="45"/>
      <c r="C381" s="44"/>
      <c r="D381" s="45"/>
      <c r="E381" s="45"/>
      <c r="F381" s="45"/>
      <c r="G381" s="45"/>
      <c r="H381" s="45"/>
      <c r="I381" s="45"/>
      <c r="J381" s="45"/>
      <c r="K381" s="45"/>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43" t="s">
        <v>8</v>
      </c>
      <c r="B382" s="43" t="s">
        <v>4</v>
      </c>
      <c r="C382" s="49" t="s">
        <v>9</v>
      </c>
      <c r="D382" s="43" t="s">
        <v>6</v>
      </c>
      <c r="E382" s="43" t="s">
        <v>106</v>
      </c>
      <c r="F382" s="43" t="s">
        <v>10</v>
      </c>
      <c r="G382" s="43" t="s">
        <v>2</v>
      </c>
      <c r="H382" s="43" t="s">
        <v>5</v>
      </c>
      <c r="I382" s="43" t="s">
        <v>11</v>
      </c>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50" t="s">
        <v>226</v>
      </c>
      <c r="B383" s="50" t="s">
        <v>227</v>
      </c>
      <c r="C383" s="62">
        <v>1</v>
      </c>
      <c r="D383" s="45" t="s">
        <v>13</v>
      </c>
      <c r="E383" s="50" t="s">
        <v>198</v>
      </c>
      <c r="F383" s="50"/>
      <c r="G383" s="50" t="s">
        <v>29</v>
      </c>
      <c r="H383" s="50" t="s">
        <v>18</v>
      </c>
      <c r="I383" s="50"/>
      <c r="J383" s="50"/>
      <c r="K383" s="50"/>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row>
    <row r="384" spans="1:34">
      <c r="A384" s="50" t="s">
        <v>242</v>
      </c>
      <c r="B384" s="50" t="s">
        <v>243</v>
      </c>
      <c r="C384">
        <f t="shared" ref="C384" si="0">+B392/1000</f>
        <v>1E-3</v>
      </c>
      <c r="D384" s="45" t="s">
        <v>244</v>
      </c>
      <c r="E384" s="50" t="s">
        <v>211</v>
      </c>
      <c r="F384" s="50"/>
      <c r="G384" s="50" t="s">
        <v>49</v>
      </c>
      <c r="H384" s="50" t="s">
        <v>12</v>
      </c>
      <c r="I384" s="50" t="s">
        <v>299</v>
      </c>
      <c r="J384" s="50"/>
      <c r="K384" s="50"/>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s="50" t="s">
        <v>45</v>
      </c>
      <c r="B385" s="50" t="s">
        <v>43</v>
      </c>
      <c r="C385" s="19">
        <v>3.7599999999999999E-3</v>
      </c>
      <c r="D385" s="45" t="s">
        <v>19</v>
      </c>
      <c r="E385" s="50" t="s">
        <v>211</v>
      </c>
      <c r="F385" s="50"/>
      <c r="G385" s="50" t="s">
        <v>29</v>
      </c>
      <c r="H385" s="50" t="s">
        <v>12</v>
      </c>
      <c r="I385" s="50" t="s">
        <v>298</v>
      </c>
      <c r="J385" s="50"/>
      <c r="K385" s="50"/>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row>
    <row r="386" spans="1:34">
      <c r="A386" t="s">
        <v>296</v>
      </c>
      <c r="B386" t="s">
        <v>295</v>
      </c>
      <c r="C386" s="19">
        <v>8.4999999999999995E-4</v>
      </c>
      <c r="D386" s="45" t="s">
        <v>13</v>
      </c>
      <c r="E386" s="50" t="s">
        <v>211</v>
      </c>
      <c r="F386" s="50"/>
      <c r="G386" s="50" t="s">
        <v>49</v>
      </c>
      <c r="H386" s="50" t="s">
        <v>12</v>
      </c>
      <c r="I386" s="50" t="s">
        <v>298</v>
      </c>
    </row>
    <row r="387" spans="1:34">
      <c r="A387" s="41"/>
      <c r="B387" s="41"/>
      <c r="C387" s="42"/>
      <c r="D387" s="41"/>
      <c r="E387" s="41"/>
      <c r="F387" s="41"/>
      <c r="G387" s="41"/>
      <c r="H387" s="41"/>
      <c r="I387" s="41"/>
      <c r="J387" s="41"/>
      <c r="K387" s="41"/>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row>
    <row r="388" spans="1:34">
      <c r="A388" s="43" t="s">
        <v>1</v>
      </c>
      <c r="B388" s="43" t="s">
        <v>292</v>
      </c>
      <c r="C388" s="44"/>
      <c r="D388" s="45"/>
      <c r="E388" s="45"/>
      <c r="F388" s="45"/>
      <c r="G388" s="45"/>
      <c r="H388" s="45"/>
      <c r="I388" s="45"/>
    </row>
    <row r="389" spans="1:34">
      <c r="A389" s="43" t="s">
        <v>11</v>
      </c>
      <c r="B389" s="45" t="s">
        <v>297</v>
      </c>
      <c r="C389" s="44"/>
      <c r="D389" s="45"/>
      <c r="E389" s="45"/>
      <c r="F389" s="45"/>
      <c r="G389" s="45"/>
      <c r="H389" s="45"/>
      <c r="I389" s="45"/>
    </row>
    <row r="390" spans="1:34">
      <c r="A390" s="43" t="s">
        <v>2</v>
      </c>
      <c r="B390" s="45" t="s">
        <v>29</v>
      </c>
      <c r="C390" s="44"/>
      <c r="D390" s="45"/>
      <c r="E390" s="45"/>
      <c r="F390" s="45"/>
      <c r="G390" s="45"/>
      <c r="H390" s="45"/>
      <c r="I390" s="45"/>
    </row>
    <row r="391" spans="1:34">
      <c r="A391" s="46" t="s">
        <v>4</v>
      </c>
      <c r="B391" s="50" t="s">
        <v>293</v>
      </c>
      <c r="C391" s="44"/>
      <c r="D391" s="48"/>
      <c r="E391" s="45"/>
      <c r="F391" s="45"/>
      <c r="G391" s="45"/>
      <c r="H391" s="45"/>
      <c r="I391" s="45"/>
    </row>
    <row r="392" spans="1:34">
      <c r="A392" s="43" t="s">
        <v>3</v>
      </c>
      <c r="B392" s="47">
        <v>1</v>
      </c>
      <c r="C392" s="44"/>
      <c r="D392" s="48"/>
      <c r="E392" s="45"/>
      <c r="F392" s="45"/>
      <c r="G392" s="45"/>
      <c r="H392" s="45"/>
      <c r="I392" s="45"/>
    </row>
    <row r="393" spans="1:34">
      <c r="A393" s="43" t="s">
        <v>6</v>
      </c>
      <c r="B393" s="45" t="s">
        <v>13</v>
      </c>
      <c r="C393" s="44"/>
      <c r="D393" s="48"/>
      <c r="E393" s="45"/>
      <c r="F393" s="45"/>
      <c r="G393" s="45"/>
      <c r="H393" s="45"/>
      <c r="I393" s="45"/>
    </row>
    <row r="394" spans="1:34">
      <c r="A394" s="43" t="s">
        <v>76</v>
      </c>
      <c r="B394" s="45" t="s">
        <v>291</v>
      </c>
      <c r="C394" s="44"/>
      <c r="D394" s="48"/>
      <c r="E394" s="45"/>
      <c r="F394" s="45"/>
      <c r="G394" s="45"/>
      <c r="H394" s="45"/>
      <c r="I394" s="45"/>
    </row>
    <row r="395" spans="1:34">
      <c r="A395" s="43" t="s">
        <v>7</v>
      </c>
      <c r="B395" s="45"/>
      <c r="C395" s="44"/>
      <c r="D395" s="45"/>
      <c r="E395" s="45"/>
      <c r="F395" s="45"/>
      <c r="G395" s="45"/>
      <c r="H395" s="45"/>
      <c r="I395" s="45"/>
    </row>
    <row r="396" spans="1:34">
      <c r="A396" s="43" t="s">
        <v>8</v>
      </c>
      <c r="B396" s="43" t="s">
        <v>4</v>
      </c>
      <c r="C396" s="49" t="s">
        <v>9</v>
      </c>
      <c r="D396" s="43" t="s">
        <v>6</v>
      </c>
      <c r="E396" s="43" t="s">
        <v>106</v>
      </c>
      <c r="F396" s="43" t="s">
        <v>10</v>
      </c>
      <c r="G396" s="43" t="s">
        <v>2</v>
      </c>
      <c r="H396" s="43" t="s">
        <v>5</v>
      </c>
      <c r="I396" s="43" t="s">
        <v>11</v>
      </c>
    </row>
    <row r="397" spans="1:34">
      <c r="A397" s="50" t="s">
        <v>292</v>
      </c>
      <c r="B397" s="50" t="s">
        <v>293</v>
      </c>
      <c r="C397" s="62">
        <v>1</v>
      </c>
      <c r="D397" s="45" t="s">
        <v>13</v>
      </c>
      <c r="E397" s="50" t="s">
        <v>198</v>
      </c>
      <c r="F397" s="50"/>
      <c r="G397" s="50" t="s">
        <v>29</v>
      </c>
      <c r="H397" s="50" t="s">
        <v>18</v>
      </c>
      <c r="I397" s="50"/>
    </row>
    <row r="398" spans="1:34">
      <c r="A398" s="50" t="s">
        <v>294</v>
      </c>
      <c r="B398" s="50" t="s">
        <v>294</v>
      </c>
      <c r="C398" s="19">
        <v>0.1</v>
      </c>
      <c r="D398" s="45" t="s">
        <v>244</v>
      </c>
      <c r="E398" s="50" t="s">
        <v>211</v>
      </c>
      <c r="F398" s="50"/>
      <c r="G398" s="50" t="s">
        <v>27</v>
      </c>
      <c r="H398" s="50" t="s">
        <v>12</v>
      </c>
      <c r="I398" s="50" t="s">
        <v>299</v>
      </c>
    </row>
    <row r="399" spans="1:34">
      <c r="A399" s="50" t="s">
        <v>45</v>
      </c>
      <c r="B399" s="50" t="s">
        <v>43</v>
      </c>
      <c r="C399" s="19">
        <v>3.7599999999999999E-3</v>
      </c>
      <c r="D399" s="45" t="s">
        <v>19</v>
      </c>
      <c r="E399" s="50" t="s">
        <v>211</v>
      </c>
      <c r="F399" s="50"/>
      <c r="G399" s="50" t="s">
        <v>29</v>
      </c>
      <c r="H399" s="50" t="s">
        <v>12</v>
      </c>
      <c r="I399" s="50" t="s">
        <v>298</v>
      </c>
    </row>
    <row r="400" spans="1:34">
      <c r="A400" t="s">
        <v>296</v>
      </c>
      <c r="B400" t="s">
        <v>295</v>
      </c>
      <c r="C400" s="19">
        <v>8.4999999999999995E-4</v>
      </c>
      <c r="D400" s="45" t="s">
        <v>13</v>
      </c>
      <c r="E400" s="50" t="s">
        <v>211</v>
      </c>
      <c r="F400" s="50"/>
      <c r="G400" s="50" t="s">
        <v>49</v>
      </c>
      <c r="H400" s="50" t="s">
        <v>12</v>
      </c>
      <c r="I400" s="50" t="s">
        <v>298</v>
      </c>
    </row>
    <row r="401" spans="1:34">
      <c r="A401" s="41"/>
      <c r="B401" s="41"/>
      <c r="C401" s="42"/>
      <c r="D401" s="41"/>
      <c r="E401" s="41"/>
      <c r="F401" s="41"/>
      <c r="G401" s="41"/>
      <c r="H401" s="41"/>
      <c r="I401" s="41"/>
      <c r="J401" s="41"/>
      <c r="K401" s="41"/>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row>
    <row r="402" spans="1:34">
      <c r="A402" s="43" t="s">
        <v>1</v>
      </c>
      <c r="B402" s="63" t="s">
        <v>232</v>
      </c>
      <c r="C402" s="44"/>
      <c r="D402" s="45"/>
      <c r="E402" s="45"/>
      <c r="F402" s="45"/>
      <c r="G402" s="45"/>
      <c r="H402" s="45"/>
      <c r="I402" s="45"/>
      <c r="J402" s="45"/>
      <c r="K402" s="45"/>
      <c r="L402" s="45"/>
      <c r="M402" s="45"/>
      <c r="N402" s="45"/>
      <c r="O402" s="45"/>
      <c r="P402" s="45"/>
      <c r="Q402" s="45"/>
      <c r="R402" s="45"/>
      <c r="S402" s="45"/>
      <c r="T402" s="45"/>
      <c r="U402" s="45"/>
      <c r="V402" s="45"/>
      <c r="W402" s="45"/>
      <c r="X402" s="45"/>
      <c r="Y402" s="45"/>
      <c r="Z402" s="45"/>
      <c r="AA402" s="45"/>
      <c r="AB402" s="45"/>
      <c r="AC402" s="45"/>
      <c r="AD402" s="45"/>
      <c r="AE402" s="45"/>
      <c r="AF402" s="45"/>
      <c r="AG402" s="45"/>
      <c r="AH402" s="45"/>
    </row>
    <row r="403" spans="1:34">
      <c r="A403" s="43" t="s">
        <v>11</v>
      </c>
      <c r="B403" s="45" t="s">
        <v>247</v>
      </c>
      <c r="C403" s="44"/>
      <c r="D403" s="45"/>
      <c r="E403" s="45"/>
      <c r="F403" s="45"/>
      <c r="G403" s="45"/>
      <c r="H403" s="45"/>
      <c r="I403" s="45"/>
      <c r="J403" s="45"/>
      <c r="K403" s="45"/>
      <c r="L403" s="45"/>
      <c r="M403" s="45"/>
      <c r="N403" s="45"/>
      <c r="O403" s="45"/>
      <c r="P403" s="45"/>
      <c r="Q403" s="45"/>
      <c r="R403" s="45"/>
      <c r="S403" s="45"/>
      <c r="T403" s="45"/>
      <c r="U403" s="45"/>
      <c r="V403" s="45"/>
      <c r="W403" s="45"/>
      <c r="X403" s="45"/>
      <c r="Y403" s="45"/>
      <c r="Z403" s="45"/>
      <c r="AA403" s="45"/>
      <c r="AB403" s="45"/>
      <c r="AC403" s="45"/>
      <c r="AD403" s="45"/>
      <c r="AE403" s="45"/>
      <c r="AF403" s="45"/>
      <c r="AG403" s="45"/>
      <c r="AH403" s="45"/>
    </row>
    <row r="404" spans="1:34">
      <c r="A404" s="43" t="s">
        <v>2</v>
      </c>
      <c r="B404" s="45" t="s">
        <v>29</v>
      </c>
      <c r="C404" s="44"/>
      <c r="D404" s="45"/>
      <c r="E404" s="45"/>
      <c r="F404" s="45"/>
      <c r="G404" s="45"/>
      <c r="H404" s="45"/>
      <c r="I404" s="45"/>
      <c r="J404" s="45"/>
      <c r="K404" s="45"/>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row>
    <row r="405" spans="1:34">
      <c r="A405" s="46" t="s">
        <v>4</v>
      </c>
      <c r="B405" s="45" t="s">
        <v>233</v>
      </c>
      <c r="C405" s="44"/>
      <c r="D405" s="45"/>
      <c r="E405" s="45"/>
      <c r="F405" s="45"/>
      <c r="G405" s="45"/>
      <c r="H405" s="45"/>
      <c r="I405" s="45"/>
      <c r="J405" s="45"/>
      <c r="K405" s="45"/>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row>
    <row r="406" spans="1:34">
      <c r="A406" s="43" t="s">
        <v>3</v>
      </c>
      <c r="B406" s="47">
        <v>1</v>
      </c>
      <c r="C406" s="44"/>
      <c r="D406" s="48"/>
      <c r="E406" s="45"/>
      <c r="F406" s="45"/>
      <c r="G406" s="45"/>
      <c r="H406" s="45"/>
      <c r="I406" s="45"/>
      <c r="J406" s="45"/>
      <c r="K406" s="45"/>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row>
    <row r="407" spans="1:34">
      <c r="A407" s="43" t="s">
        <v>6</v>
      </c>
      <c r="B407" s="45" t="s">
        <v>13</v>
      </c>
      <c r="C407" s="44"/>
      <c r="D407" s="48"/>
      <c r="E407" s="45"/>
      <c r="F407" s="45"/>
      <c r="G407" s="45"/>
      <c r="H407" s="45"/>
      <c r="I407" s="45"/>
      <c r="J407" s="45"/>
      <c r="K407" s="45"/>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row>
    <row r="408" spans="1:34">
      <c r="A408" s="43" t="s">
        <v>76</v>
      </c>
      <c r="B408" t="s">
        <v>248</v>
      </c>
      <c r="C408" s="44"/>
      <c r="D408" s="48"/>
      <c r="E408" s="45"/>
      <c r="F408" s="45"/>
      <c r="G408" s="45"/>
      <c r="H408" s="45"/>
      <c r="I408" s="45"/>
      <c r="J408" s="45"/>
      <c r="K408" s="45"/>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row>
    <row r="409" spans="1:34">
      <c r="A409" s="43" t="s">
        <v>7</v>
      </c>
      <c r="B409" s="45"/>
      <c r="C409" s="44"/>
      <c r="D409" s="45"/>
      <c r="E409" s="45"/>
      <c r="F409" s="45"/>
      <c r="G409" s="45"/>
      <c r="H409" s="45"/>
      <c r="I409" s="45"/>
      <c r="J409" s="45"/>
      <c r="K409" s="45"/>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row>
    <row r="410" spans="1:34">
      <c r="A410" s="43" t="s">
        <v>8</v>
      </c>
      <c r="B410" s="43" t="s">
        <v>4</v>
      </c>
      <c r="C410" s="49" t="s">
        <v>9</v>
      </c>
      <c r="D410" s="43" t="s">
        <v>6</v>
      </c>
      <c r="E410" s="43" t="s">
        <v>106</v>
      </c>
      <c r="F410" s="43" t="s">
        <v>10</v>
      </c>
      <c r="G410" s="43" t="s">
        <v>2</v>
      </c>
      <c r="H410" s="43" t="s">
        <v>5</v>
      </c>
      <c r="I410" s="43" t="s">
        <v>11</v>
      </c>
      <c r="J410" s="45"/>
      <c r="K410" s="45"/>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row>
    <row r="411" spans="1:34">
      <c r="A411" s="50" t="s">
        <v>232</v>
      </c>
      <c r="B411" s="50" t="s">
        <v>233</v>
      </c>
      <c r="C411" s="51">
        <v>1</v>
      </c>
      <c r="D411" s="45" t="s">
        <v>13</v>
      </c>
      <c r="E411" s="50" t="s">
        <v>198</v>
      </c>
      <c r="F411" s="50"/>
      <c r="G411" s="50" t="s">
        <v>29</v>
      </c>
      <c r="H411" s="50" t="s">
        <v>18</v>
      </c>
      <c r="I411" s="50"/>
      <c r="J411" s="50"/>
      <c r="K411" s="50"/>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row>
    <row r="412" spans="1:34">
      <c r="A412" s="50" t="s">
        <v>259</v>
      </c>
      <c r="B412" s="50" t="s">
        <v>249</v>
      </c>
      <c r="C412" s="44">
        <v>4.0000000000000001E-3</v>
      </c>
      <c r="D412" s="45" t="s">
        <v>13</v>
      </c>
      <c r="E412" s="50" t="s">
        <v>211</v>
      </c>
      <c r="F412" s="50"/>
      <c r="G412" s="50" t="s">
        <v>29</v>
      </c>
      <c r="H412" s="50" t="s">
        <v>12</v>
      </c>
      <c r="I412" s="50" t="s">
        <v>250</v>
      </c>
      <c r="J412" s="50"/>
      <c r="K412" s="50"/>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row>
    <row r="413" spans="1:34">
      <c r="A413" s="50" t="s">
        <v>251</v>
      </c>
      <c r="B413" s="50" t="s">
        <v>252</v>
      </c>
      <c r="C413" s="44">
        <v>5.0000000000000002E-5</v>
      </c>
      <c r="D413" s="45" t="s">
        <v>253</v>
      </c>
      <c r="E413" s="50" t="s">
        <v>211</v>
      </c>
      <c r="F413" s="50"/>
      <c r="G413" s="50" t="s">
        <v>140</v>
      </c>
      <c r="H413" s="50" t="s">
        <v>12</v>
      </c>
      <c r="I413" s="50" t="s">
        <v>254</v>
      </c>
      <c r="J413" s="50"/>
      <c r="K413" s="50"/>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row>
    <row r="414" spans="1:34">
      <c r="A414" s="50" t="s">
        <v>242</v>
      </c>
      <c r="B414" s="50" t="s">
        <v>243</v>
      </c>
      <c r="C414" s="51">
        <v>0.02</v>
      </c>
      <c r="D414" s="45" t="s">
        <v>244</v>
      </c>
      <c r="E414" s="50" t="s">
        <v>211</v>
      </c>
      <c r="F414" s="50"/>
      <c r="G414" s="50" t="s">
        <v>49</v>
      </c>
      <c r="H414" s="50" t="s">
        <v>12</v>
      </c>
      <c r="I414" s="50" t="s">
        <v>255</v>
      </c>
      <c r="J414" s="50"/>
      <c r="K414" s="50"/>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row>
    <row r="415" spans="1:34">
      <c r="A415" t="s">
        <v>256</v>
      </c>
      <c r="B415"/>
      <c r="C415" s="44">
        <v>4.4000000000000003E-3</v>
      </c>
      <c r="D415" s="45" t="s">
        <v>13</v>
      </c>
      <c r="E415" s="45" t="s">
        <v>109</v>
      </c>
      <c r="F415" s="45" t="s">
        <v>257</v>
      </c>
      <c r="H415" s="45" t="s">
        <v>15</v>
      </c>
      <c r="I415" s="45" t="s">
        <v>258</v>
      </c>
    </row>
    <row r="416" spans="1:34">
      <c r="A416" s="41"/>
      <c r="B416" s="41"/>
      <c r="C416" s="42"/>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row>
    <row r="417" spans="1:9" ht="15.6">
      <c r="A417" s="30" t="s">
        <v>1</v>
      </c>
      <c r="B417" s="30" t="s">
        <v>384</v>
      </c>
      <c r="I417"/>
    </row>
    <row r="418" spans="1:9">
      <c r="A418" t="s">
        <v>11</v>
      </c>
      <c r="B418" t="s">
        <v>302</v>
      </c>
      <c r="I418"/>
    </row>
    <row r="419" spans="1:9">
      <c r="A419" t="s">
        <v>2</v>
      </c>
      <c r="B419" t="s">
        <v>27</v>
      </c>
      <c r="I419"/>
    </row>
    <row r="420" spans="1:9">
      <c r="A420" t="s">
        <v>4</v>
      </c>
      <c r="B420" t="s">
        <v>385</v>
      </c>
      <c r="I420"/>
    </row>
    <row r="421" spans="1:9">
      <c r="A421" t="s">
        <v>3</v>
      </c>
      <c r="B421">
        <v>1</v>
      </c>
      <c r="I421"/>
    </row>
    <row r="422" spans="1:9">
      <c r="A422" t="s">
        <v>6</v>
      </c>
      <c r="B422" t="s">
        <v>13</v>
      </c>
      <c r="I422"/>
    </row>
    <row r="423" spans="1:9">
      <c r="A423" t="s">
        <v>5</v>
      </c>
      <c r="B423" t="s">
        <v>78</v>
      </c>
      <c r="I423"/>
    </row>
    <row r="424" spans="1:9">
      <c r="A424" t="s">
        <v>76</v>
      </c>
      <c r="B424" s="19" t="s">
        <v>382</v>
      </c>
      <c r="I424"/>
    </row>
    <row r="425" spans="1:9" ht="15.6">
      <c r="A425" s="30" t="s">
        <v>7</v>
      </c>
      <c r="B425"/>
      <c r="I425"/>
    </row>
    <row r="426" spans="1:9" s="46" customFormat="1">
      <c r="A426" s="46" t="s">
        <v>8</v>
      </c>
      <c r="B426" s="46" t="s">
        <v>4</v>
      </c>
      <c r="C426" s="46" t="s">
        <v>9</v>
      </c>
      <c r="D426" s="46" t="s">
        <v>6</v>
      </c>
      <c r="E426" s="46" t="s">
        <v>106</v>
      </c>
      <c r="F426" s="46" t="s">
        <v>10</v>
      </c>
      <c r="G426" s="46" t="s">
        <v>2</v>
      </c>
      <c r="H426" s="46" t="s">
        <v>5</v>
      </c>
      <c r="I426" s="46" t="s">
        <v>11</v>
      </c>
    </row>
    <row r="427" spans="1:9">
      <c r="A427" t="s">
        <v>384</v>
      </c>
      <c r="B427" t="s">
        <v>385</v>
      </c>
      <c r="C427">
        <v>1</v>
      </c>
      <c r="D427" t="s">
        <v>13</v>
      </c>
      <c r="G427" t="s">
        <v>27</v>
      </c>
      <c r="H427" t="s">
        <v>18</v>
      </c>
      <c r="I427"/>
    </row>
    <row r="428" spans="1:9">
      <c r="A428" t="s">
        <v>333</v>
      </c>
      <c r="B428" t="s">
        <v>333</v>
      </c>
      <c r="C428">
        <v>1.8321E-4</v>
      </c>
      <c r="D428" t="s">
        <v>253</v>
      </c>
      <c r="E428" t="s">
        <v>211</v>
      </c>
      <c r="G428" t="s">
        <v>27</v>
      </c>
      <c r="H428" t="s">
        <v>12</v>
      </c>
      <c r="I428" t="s">
        <v>334</v>
      </c>
    </row>
    <row r="429" spans="1:9">
      <c r="A429" t="s">
        <v>252</v>
      </c>
      <c r="B429" t="s">
        <v>252</v>
      </c>
      <c r="C429">
        <v>1.0777000000000001E-4</v>
      </c>
      <c r="D429" t="s">
        <v>253</v>
      </c>
      <c r="E429" t="s">
        <v>211</v>
      </c>
      <c r="G429" t="s">
        <v>27</v>
      </c>
      <c r="H429" t="s">
        <v>12</v>
      </c>
      <c r="I429" t="s">
        <v>334</v>
      </c>
    </row>
    <row r="430" spans="1:9">
      <c r="A430" t="s">
        <v>335</v>
      </c>
      <c r="B430" t="s">
        <v>335</v>
      </c>
      <c r="C430">
        <v>0.40983999999999998</v>
      </c>
      <c r="D430" t="s">
        <v>336</v>
      </c>
      <c r="E430" t="s">
        <v>211</v>
      </c>
      <c r="G430" t="s">
        <v>27</v>
      </c>
      <c r="H430" t="s">
        <v>12</v>
      </c>
      <c r="I430" t="s">
        <v>334</v>
      </c>
    </row>
    <row r="431" spans="1:9">
      <c r="A431" t="s">
        <v>337</v>
      </c>
      <c r="B431" t="s">
        <v>337</v>
      </c>
      <c r="C431">
        <v>3.233E-4</v>
      </c>
      <c r="D431" t="s">
        <v>253</v>
      </c>
      <c r="E431" t="s">
        <v>211</v>
      </c>
      <c r="G431" t="s">
        <v>27</v>
      </c>
      <c r="H431" t="s">
        <v>12</v>
      </c>
      <c r="I431" t="s">
        <v>334</v>
      </c>
    </row>
    <row r="432" spans="1:9">
      <c r="A432" t="s">
        <v>338</v>
      </c>
      <c r="B432" t="s">
        <v>340</v>
      </c>
      <c r="C432">
        <v>1.0777000000000001E-4</v>
      </c>
      <c r="D432" t="s">
        <v>253</v>
      </c>
      <c r="E432" t="s">
        <v>211</v>
      </c>
      <c r="G432" t="s">
        <v>27</v>
      </c>
      <c r="H432" t="s">
        <v>12</v>
      </c>
      <c r="I432" t="s">
        <v>339</v>
      </c>
    </row>
    <row r="433" spans="1:9">
      <c r="A433" t="s">
        <v>341</v>
      </c>
      <c r="B433" t="s">
        <v>341</v>
      </c>
      <c r="C433">
        <v>1.0777000000000001E-4</v>
      </c>
      <c r="D433" t="s">
        <v>253</v>
      </c>
      <c r="E433" t="s">
        <v>211</v>
      </c>
      <c r="G433" t="s">
        <v>27</v>
      </c>
      <c r="H433" t="s">
        <v>12</v>
      </c>
      <c r="I433" t="s">
        <v>334</v>
      </c>
    </row>
    <row r="434" spans="1:9">
      <c r="A434" t="s">
        <v>342</v>
      </c>
      <c r="B434" t="s">
        <v>342</v>
      </c>
      <c r="C434">
        <v>1.2712000000000001E-3</v>
      </c>
      <c r="D434" t="s">
        <v>128</v>
      </c>
      <c r="E434" t="s">
        <v>211</v>
      </c>
      <c r="G434" t="s">
        <v>27</v>
      </c>
      <c r="H434" t="s">
        <v>12</v>
      </c>
      <c r="I434" t="s">
        <v>334</v>
      </c>
    </row>
    <row r="435" spans="1:9">
      <c r="A435" t="s">
        <v>343</v>
      </c>
      <c r="B435" t="s">
        <v>345</v>
      </c>
      <c r="C435">
        <v>1.23310427838106E-2</v>
      </c>
      <c r="D435" t="s">
        <v>13</v>
      </c>
      <c r="E435" t="s">
        <v>211</v>
      </c>
      <c r="G435" t="s">
        <v>49</v>
      </c>
      <c r="H435" t="s">
        <v>12</v>
      </c>
      <c r="I435" t="s">
        <v>344</v>
      </c>
    </row>
    <row r="436" spans="1:9">
      <c r="A436" t="s">
        <v>346</v>
      </c>
      <c r="B436" t="s">
        <v>347</v>
      </c>
      <c r="C436">
        <v>3.2656999999999999E-4</v>
      </c>
      <c r="D436" t="s">
        <v>13</v>
      </c>
      <c r="E436" t="s">
        <v>211</v>
      </c>
      <c r="G436" t="s">
        <v>49</v>
      </c>
      <c r="H436" t="s">
        <v>12</v>
      </c>
      <c r="I436" t="s">
        <v>339</v>
      </c>
    </row>
    <row r="437" spans="1:9">
      <c r="A437" t="s">
        <v>348</v>
      </c>
      <c r="B437" t="s">
        <v>349</v>
      </c>
      <c r="C437">
        <v>7.1126999999999998E-5</v>
      </c>
      <c r="D437" t="s">
        <v>13</v>
      </c>
      <c r="E437" t="s">
        <v>211</v>
      </c>
      <c r="G437" t="s">
        <v>140</v>
      </c>
      <c r="H437" t="s">
        <v>12</v>
      </c>
      <c r="I437" t="s">
        <v>339</v>
      </c>
    </row>
    <row r="438" spans="1:9">
      <c r="A438" t="s">
        <v>28</v>
      </c>
      <c r="B438" t="s">
        <v>20</v>
      </c>
      <c r="C438">
        <v>4.2030000000000001E-3</v>
      </c>
      <c r="D438" t="s">
        <v>19</v>
      </c>
      <c r="E438" t="s">
        <v>211</v>
      </c>
      <c r="G438" t="s">
        <v>27</v>
      </c>
      <c r="H438" t="s">
        <v>12</v>
      </c>
      <c r="I438" t="s">
        <v>350</v>
      </c>
    </row>
    <row r="439" spans="1:9">
      <c r="A439" t="s">
        <v>351</v>
      </c>
      <c r="B439" t="s">
        <v>352</v>
      </c>
      <c r="C439">
        <v>2.6942000000000001E-5</v>
      </c>
      <c r="D439" t="s">
        <v>13</v>
      </c>
      <c r="E439" t="s">
        <v>211</v>
      </c>
      <c r="G439" t="s">
        <v>140</v>
      </c>
      <c r="H439" t="s">
        <v>12</v>
      </c>
      <c r="I439" t="s">
        <v>339</v>
      </c>
    </row>
    <row r="440" spans="1:9">
      <c r="A440" t="s">
        <v>259</v>
      </c>
      <c r="B440" t="s">
        <v>249</v>
      </c>
      <c r="C440">
        <v>2.5058400000000001E-3</v>
      </c>
      <c r="D440" t="s">
        <v>13</v>
      </c>
      <c r="E440" t="s">
        <v>211</v>
      </c>
      <c r="G440" t="s">
        <v>27</v>
      </c>
      <c r="H440" t="s">
        <v>12</v>
      </c>
      <c r="I440" t="s">
        <v>339</v>
      </c>
    </row>
    <row r="441" spans="1:9">
      <c r="A441" t="s">
        <v>353</v>
      </c>
      <c r="B441" t="s">
        <v>354</v>
      </c>
      <c r="C441">
        <v>2.3668029999999998E-3</v>
      </c>
      <c r="D441" t="s">
        <v>13</v>
      </c>
      <c r="E441" t="s">
        <v>211</v>
      </c>
      <c r="G441" t="s">
        <v>27</v>
      </c>
      <c r="H441" t="s">
        <v>12</v>
      </c>
      <c r="I441" t="s">
        <v>339</v>
      </c>
    </row>
    <row r="442" spans="1:9">
      <c r="A442" t="s">
        <v>355</v>
      </c>
      <c r="B442" t="s">
        <v>357</v>
      </c>
      <c r="C442">
        <v>4.76671164376E-2</v>
      </c>
      <c r="D442" t="s">
        <v>128</v>
      </c>
      <c r="E442" t="s">
        <v>211</v>
      </c>
      <c r="G442" t="s">
        <v>27</v>
      </c>
      <c r="H442" t="s">
        <v>12</v>
      </c>
      <c r="I442" t="s">
        <v>356</v>
      </c>
    </row>
    <row r="443" spans="1:9">
      <c r="A443" t="s">
        <v>358</v>
      </c>
      <c r="B443" t="s">
        <v>359</v>
      </c>
      <c r="C443">
        <v>2.6941999999999999E-3</v>
      </c>
      <c r="D443" t="s">
        <v>13</v>
      </c>
      <c r="E443" t="s">
        <v>211</v>
      </c>
      <c r="G443" t="s">
        <v>140</v>
      </c>
      <c r="H443" t="s">
        <v>12</v>
      </c>
      <c r="I443" t="s">
        <v>339</v>
      </c>
    </row>
    <row r="444" spans="1:9">
      <c r="A444" t="s">
        <v>360</v>
      </c>
      <c r="B444" t="s">
        <v>361</v>
      </c>
      <c r="C444">
        <v>6.3583000000000004E-5</v>
      </c>
      <c r="D444" t="s">
        <v>13</v>
      </c>
      <c r="E444" t="s">
        <v>211</v>
      </c>
      <c r="G444" t="s">
        <v>140</v>
      </c>
      <c r="H444" t="s">
        <v>12</v>
      </c>
      <c r="I444" t="s">
        <v>339</v>
      </c>
    </row>
    <row r="445" spans="1:9">
      <c r="A445" t="s">
        <v>362</v>
      </c>
      <c r="B445" t="s">
        <v>364</v>
      </c>
      <c r="C445">
        <v>2.3560066000000001E-2</v>
      </c>
      <c r="D445" t="s">
        <v>13</v>
      </c>
      <c r="E445" t="s">
        <v>211</v>
      </c>
      <c r="G445" t="s">
        <v>140</v>
      </c>
      <c r="H445" t="s">
        <v>12</v>
      </c>
      <c r="I445" t="s">
        <v>363</v>
      </c>
    </row>
    <row r="446" spans="1:9">
      <c r="A446" t="s">
        <v>365</v>
      </c>
      <c r="B446" t="s">
        <v>367</v>
      </c>
      <c r="C446">
        <v>3.3634939999999998E-4</v>
      </c>
      <c r="D446" t="s">
        <v>13</v>
      </c>
      <c r="E446" t="s">
        <v>211</v>
      </c>
      <c r="G446" t="s">
        <v>140</v>
      </c>
      <c r="H446" t="s">
        <v>12</v>
      </c>
      <c r="I446" t="s">
        <v>366</v>
      </c>
    </row>
    <row r="447" spans="1:9">
      <c r="A447" t="s">
        <v>368</v>
      </c>
      <c r="B447" t="s">
        <v>369</v>
      </c>
      <c r="C447">
        <v>6.5227000000000002E-6</v>
      </c>
      <c r="D447" t="s">
        <v>13</v>
      </c>
      <c r="E447" t="s">
        <v>211</v>
      </c>
      <c r="G447" t="s">
        <v>140</v>
      </c>
      <c r="H447" t="s">
        <v>12</v>
      </c>
      <c r="I447" t="s">
        <v>339</v>
      </c>
    </row>
    <row r="448" spans="1:9">
      <c r="A448" t="s">
        <v>370</v>
      </c>
      <c r="B448" t="s">
        <v>372</v>
      </c>
      <c r="C448">
        <v>2.3425625E-3</v>
      </c>
      <c r="D448" t="s">
        <v>13</v>
      </c>
      <c r="E448" t="s">
        <v>211</v>
      </c>
      <c r="G448" t="s">
        <v>49</v>
      </c>
      <c r="H448" t="s">
        <v>12</v>
      </c>
      <c r="I448" t="s">
        <v>371</v>
      </c>
    </row>
    <row r="449" spans="1:9">
      <c r="A449" t="s">
        <v>373</v>
      </c>
      <c r="B449" t="s">
        <v>374</v>
      </c>
      <c r="C449">
        <v>1.4097999999999999E-2</v>
      </c>
      <c r="D449" t="s">
        <v>244</v>
      </c>
      <c r="E449" t="s">
        <v>211</v>
      </c>
      <c r="G449" t="s">
        <v>27</v>
      </c>
      <c r="H449" t="s">
        <v>12</v>
      </c>
      <c r="I449" t="s">
        <v>339</v>
      </c>
    </row>
    <row r="450" spans="1:9">
      <c r="A450" t="s">
        <v>375</v>
      </c>
      <c r="B450" t="s">
        <v>377</v>
      </c>
      <c r="C450">
        <v>3.2491418235558699E-3</v>
      </c>
      <c r="D450" t="s">
        <v>13</v>
      </c>
      <c r="E450" t="s">
        <v>211</v>
      </c>
      <c r="G450" t="s">
        <v>49</v>
      </c>
      <c r="H450" t="s">
        <v>12</v>
      </c>
      <c r="I450" t="s">
        <v>376</v>
      </c>
    </row>
    <row r="451" spans="1:9">
      <c r="A451" t="s">
        <v>378</v>
      </c>
      <c r="B451" t="s">
        <v>378</v>
      </c>
      <c r="C451">
        <v>0.83789999999999998</v>
      </c>
      <c r="D451" t="s">
        <v>13</v>
      </c>
      <c r="E451" t="s">
        <v>211</v>
      </c>
      <c r="G451" t="s">
        <v>27</v>
      </c>
      <c r="H451" t="s">
        <v>12</v>
      </c>
      <c r="I451" t="s">
        <v>334</v>
      </c>
    </row>
    <row r="452" spans="1:9">
      <c r="A452" t="s">
        <v>379</v>
      </c>
      <c r="B452" t="s">
        <v>379</v>
      </c>
      <c r="C452">
        <v>1.0777000000000001E-4</v>
      </c>
      <c r="D452" t="s">
        <v>253</v>
      </c>
      <c r="E452" t="s">
        <v>211</v>
      </c>
      <c r="G452" t="s">
        <v>27</v>
      </c>
      <c r="H452" t="s">
        <v>12</v>
      </c>
      <c r="I452" t="s">
        <v>334</v>
      </c>
    </row>
    <row r="453" spans="1:9">
      <c r="A453" t="s">
        <v>380</v>
      </c>
      <c r="B453" t="s">
        <v>380</v>
      </c>
      <c r="C453">
        <v>2.1554000000000001E-4</v>
      </c>
      <c r="D453" t="s">
        <v>253</v>
      </c>
      <c r="E453" t="s">
        <v>211</v>
      </c>
      <c r="G453" t="s">
        <v>27</v>
      </c>
      <c r="H453" t="s">
        <v>12</v>
      </c>
      <c r="I453" t="s">
        <v>334</v>
      </c>
    </row>
    <row r="454" spans="1:9">
      <c r="A454" t="s">
        <v>381</v>
      </c>
      <c r="B454" t="s">
        <v>381</v>
      </c>
      <c r="C454">
        <v>1.0777000000000001E-4</v>
      </c>
      <c r="D454" t="s">
        <v>253</v>
      </c>
      <c r="E454" t="s">
        <v>211</v>
      </c>
      <c r="G454" t="s">
        <v>27</v>
      </c>
      <c r="H454" t="s">
        <v>12</v>
      </c>
      <c r="I454" t="s">
        <v>334</v>
      </c>
    </row>
    <row r="455" spans="1:9">
      <c r="A455" t="s">
        <v>286</v>
      </c>
      <c r="B455"/>
      <c r="C455">
        <v>1.8881060000000001E-3</v>
      </c>
      <c r="D455" t="s">
        <v>13</v>
      </c>
      <c r="E455" t="s">
        <v>109</v>
      </c>
      <c r="F455" t="s">
        <v>184</v>
      </c>
      <c r="H455" t="s">
        <v>15</v>
      </c>
      <c r="I455" t="s">
        <v>303</v>
      </c>
    </row>
    <row r="456" spans="1:9">
      <c r="A456" t="s">
        <v>304</v>
      </c>
      <c r="B456"/>
      <c r="C456">
        <v>7.1126999999999998E-5</v>
      </c>
      <c r="D456" t="s">
        <v>13</v>
      </c>
      <c r="E456" t="s">
        <v>109</v>
      </c>
      <c r="F456" t="s">
        <v>305</v>
      </c>
      <c r="H456" t="s">
        <v>15</v>
      </c>
      <c r="I456" t="s">
        <v>306</v>
      </c>
    </row>
    <row r="457" spans="1:9">
      <c r="A457" t="s">
        <v>307</v>
      </c>
      <c r="B457"/>
      <c r="C457">
        <v>2.6081999999999998E-7</v>
      </c>
      <c r="D457" t="s">
        <v>13</v>
      </c>
      <c r="E457" t="s">
        <v>109</v>
      </c>
      <c r="F457" t="s">
        <v>305</v>
      </c>
      <c r="H457" t="s">
        <v>15</v>
      </c>
      <c r="I457" t="s">
        <v>308</v>
      </c>
    </row>
    <row r="458" spans="1:9">
      <c r="A458" t="s">
        <v>307</v>
      </c>
      <c r="B458"/>
      <c r="C458">
        <v>4.2718999999999997E-9</v>
      </c>
      <c r="D458" t="s">
        <v>13</v>
      </c>
      <c r="E458" t="s">
        <v>109</v>
      </c>
      <c r="F458" t="s">
        <v>257</v>
      </c>
      <c r="H458" t="s">
        <v>15</v>
      </c>
      <c r="I458" t="s">
        <v>308</v>
      </c>
    </row>
    <row r="459" spans="1:9">
      <c r="A459" t="s">
        <v>307</v>
      </c>
      <c r="B459"/>
      <c r="C459">
        <v>3.0978000000000002E-9</v>
      </c>
      <c r="D459" t="s">
        <v>13</v>
      </c>
      <c r="E459" t="s">
        <v>109</v>
      </c>
      <c r="F459" t="s">
        <v>309</v>
      </c>
      <c r="H459" t="s">
        <v>15</v>
      </c>
      <c r="I459" t="s">
        <v>308</v>
      </c>
    </row>
    <row r="460" spans="1:9">
      <c r="A460" t="s">
        <v>40</v>
      </c>
      <c r="B460"/>
      <c r="C460">
        <v>2.3795000000000001E-3</v>
      </c>
      <c r="D460" t="s">
        <v>13</v>
      </c>
      <c r="E460" t="s">
        <v>109</v>
      </c>
      <c r="F460" t="s">
        <v>184</v>
      </c>
      <c r="H460" t="s">
        <v>15</v>
      </c>
      <c r="I460" t="s">
        <v>310</v>
      </c>
    </row>
    <row r="461" spans="1:9">
      <c r="A461" t="s">
        <v>199</v>
      </c>
      <c r="B461"/>
      <c r="C461">
        <v>0</v>
      </c>
      <c r="D461" t="s">
        <v>13</v>
      </c>
      <c r="E461" t="s">
        <v>109</v>
      </c>
      <c r="F461" t="s">
        <v>200</v>
      </c>
      <c r="H461" t="s">
        <v>15</v>
      </c>
      <c r="I461" t="s">
        <v>383</v>
      </c>
    </row>
    <row r="462" spans="1:9">
      <c r="A462" t="s">
        <v>311</v>
      </c>
      <c r="B462"/>
      <c r="C462">
        <v>2.1913000000000001E-6</v>
      </c>
      <c r="D462" t="s">
        <v>13</v>
      </c>
      <c r="E462" t="s">
        <v>109</v>
      </c>
      <c r="F462" t="s">
        <v>305</v>
      </c>
      <c r="H462" t="s">
        <v>15</v>
      </c>
      <c r="I462" t="s">
        <v>308</v>
      </c>
    </row>
    <row r="463" spans="1:9">
      <c r="A463" t="s">
        <v>311</v>
      </c>
      <c r="B463"/>
      <c r="C463">
        <v>2.1156999999999999E-6</v>
      </c>
      <c r="D463" t="s">
        <v>13</v>
      </c>
      <c r="E463" t="s">
        <v>109</v>
      </c>
      <c r="F463" t="s">
        <v>257</v>
      </c>
      <c r="H463" t="s">
        <v>15</v>
      </c>
      <c r="I463" t="s">
        <v>308</v>
      </c>
    </row>
    <row r="464" spans="1:9">
      <c r="A464" t="s">
        <v>311</v>
      </c>
      <c r="B464"/>
      <c r="C464">
        <v>3.6334999999999998E-7</v>
      </c>
      <c r="D464" t="s">
        <v>13</v>
      </c>
      <c r="E464" t="s">
        <v>109</v>
      </c>
      <c r="F464" t="s">
        <v>309</v>
      </c>
      <c r="H464" t="s">
        <v>15</v>
      </c>
      <c r="I464" t="s">
        <v>308</v>
      </c>
    </row>
    <row r="465" spans="1:9">
      <c r="A465" t="s">
        <v>312</v>
      </c>
      <c r="B465"/>
      <c r="C465">
        <v>3.9303000000000003E-6</v>
      </c>
      <c r="D465" t="s">
        <v>13</v>
      </c>
      <c r="E465" t="s">
        <v>109</v>
      </c>
      <c r="F465" t="s">
        <v>305</v>
      </c>
      <c r="H465" t="s">
        <v>15</v>
      </c>
      <c r="I465" t="s">
        <v>308</v>
      </c>
    </row>
    <row r="466" spans="1:9">
      <c r="A466" t="s">
        <v>312</v>
      </c>
      <c r="B466"/>
      <c r="C466">
        <v>3.7352000000000003E-7</v>
      </c>
      <c r="D466" t="s">
        <v>13</v>
      </c>
      <c r="E466" t="s">
        <v>109</v>
      </c>
      <c r="F466" t="s">
        <v>257</v>
      </c>
      <c r="H466" t="s">
        <v>15</v>
      </c>
      <c r="I466" t="s">
        <v>308</v>
      </c>
    </row>
    <row r="467" spans="1:9">
      <c r="A467" t="s">
        <v>312</v>
      </c>
      <c r="B467"/>
      <c r="C467">
        <v>3.1506999999999998E-7</v>
      </c>
      <c r="D467" t="s">
        <v>13</v>
      </c>
      <c r="E467" t="s">
        <v>109</v>
      </c>
      <c r="F467" t="s">
        <v>309</v>
      </c>
      <c r="H467" t="s">
        <v>15</v>
      </c>
      <c r="I467" t="s">
        <v>308</v>
      </c>
    </row>
    <row r="468" spans="1:9">
      <c r="A468" t="s">
        <v>115</v>
      </c>
      <c r="B468"/>
      <c r="C468">
        <v>4.5600000000000003E-4</v>
      </c>
      <c r="D468" t="s">
        <v>13</v>
      </c>
      <c r="E468" t="s">
        <v>109</v>
      </c>
      <c r="F468" t="s">
        <v>184</v>
      </c>
      <c r="H468" t="s">
        <v>15</v>
      </c>
      <c r="I468" t="s">
        <v>313</v>
      </c>
    </row>
    <row r="469" spans="1:9">
      <c r="A469" t="s">
        <v>314</v>
      </c>
      <c r="B469"/>
      <c r="C469">
        <v>15.8839998245</v>
      </c>
      <c r="D469" t="s">
        <v>46</v>
      </c>
      <c r="E469" t="s">
        <v>109</v>
      </c>
      <c r="F469" t="s">
        <v>315</v>
      </c>
      <c r="H469" t="s">
        <v>15</v>
      </c>
      <c r="I469"/>
    </row>
    <row r="470" spans="1:9">
      <c r="A470" t="s">
        <v>316</v>
      </c>
      <c r="B470"/>
      <c r="C470">
        <v>2.6942000000000001E-5</v>
      </c>
      <c r="D470" t="s">
        <v>13</v>
      </c>
      <c r="E470" t="s">
        <v>109</v>
      </c>
      <c r="F470" t="s">
        <v>305</v>
      </c>
      <c r="H470" t="s">
        <v>15</v>
      </c>
      <c r="I470" t="s">
        <v>306</v>
      </c>
    </row>
    <row r="471" spans="1:9">
      <c r="A471" t="s">
        <v>317</v>
      </c>
      <c r="B471"/>
      <c r="C471">
        <v>7.7214000000000003E-7</v>
      </c>
      <c r="D471" t="s">
        <v>13</v>
      </c>
      <c r="E471" t="s">
        <v>109</v>
      </c>
      <c r="F471" t="s">
        <v>305</v>
      </c>
      <c r="H471" t="s">
        <v>15</v>
      </c>
      <c r="I471" t="s">
        <v>308</v>
      </c>
    </row>
    <row r="472" spans="1:9">
      <c r="A472" t="s">
        <v>317</v>
      </c>
      <c r="B472"/>
      <c r="C472">
        <v>2.1182999999999999E-8</v>
      </c>
      <c r="D472" t="s">
        <v>13</v>
      </c>
      <c r="E472" t="s">
        <v>109</v>
      </c>
      <c r="F472" t="s">
        <v>257</v>
      </c>
      <c r="H472" t="s">
        <v>15</v>
      </c>
      <c r="I472" t="s">
        <v>308</v>
      </c>
    </row>
    <row r="473" spans="1:9">
      <c r="A473" t="s">
        <v>317</v>
      </c>
      <c r="B473"/>
      <c r="C473">
        <v>1.0401E-7</v>
      </c>
      <c r="D473" t="s">
        <v>13</v>
      </c>
      <c r="E473" t="s">
        <v>109</v>
      </c>
      <c r="F473" t="s">
        <v>309</v>
      </c>
      <c r="H473" t="s">
        <v>15</v>
      </c>
      <c r="I473" t="s">
        <v>308</v>
      </c>
    </row>
    <row r="474" spans="1:9">
      <c r="A474" t="s">
        <v>318</v>
      </c>
      <c r="B474"/>
      <c r="C474">
        <v>8.1134000000000004E-8</v>
      </c>
      <c r="D474" t="s">
        <v>13</v>
      </c>
      <c r="E474" t="s">
        <v>109</v>
      </c>
      <c r="F474" t="s">
        <v>305</v>
      </c>
      <c r="H474" t="s">
        <v>15</v>
      </c>
      <c r="I474" t="s">
        <v>308</v>
      </c>
    </row>
    <row r="475" spans="1:9">
      <c r="A475" t="s">
        <v>318</v>
      </c>
      <c r="B475"/>
      <c r="C475">
        <v>1.1438999999999999E-9</v>
      </c>
      <c r="D475" t="s">
        <v>13</v>
      </c>
      <c r="E475" t="s">
        <v>109</v>
      </c>
      <c r="F475" t="s">
        <v>257</v>
      </c>
      <c r="H475" t="s">
        <v>15</v>
      </c>
      <c r="I475" t="s">
        <v>308</v>
      </c>
    </row>
    <row r="476" spans="1:9">
      <c r="A476" t="s">
        <v>318</v>
      </c>
      <c r="B476"/>
      <c r="C476">
        <v>1.1164E-9</v>
      </c>
      <c r="D476" t="s">
        <v>13</v>
      </c>
      <c r="E476" t="s">
        <v>109</v>
      </c>
      <c r="F476" t="s">
        <v>309</v>
      </c>
      <c r="H476" t="s">
        <v>15</v>
      </c>
      <c r="I476" t="s">
        <v>308</v>
      </c>
    </row>
    <row r="477" spans="1:9">
      <c r="A477" t="s">
        <v>319</v>
      </c>
      <c r="B477"/>
      <c r="C477">
        <v>6.3583000000000004E-5</v>
      </c>
      <c r="D477" t="s">
        <v>13</v>
      </c>
      <c r="E477" t="s">
        <v>109</v>
      </c>
      <c r="F477" t="s">
        <v>305</v>
      </c>
      <c r="H477" t="s">
        <v>15</v>
      </c>
      <c r="I477" t="s">
        <v>306</v>
      </c>
    </row>
    <row r="478" spans="1:9">
      <c r="A478" t="s">
        <v>320</v>
      </c>
      <c r="B478"/>
      <c r="C478">
        <v>1.0371E-6</v>
      </c>
      <c r="D478" t="s">
        <v>13</v>
      </c>
      <c r="E478" t="s">
        <v>109</v>
      </c>
      <c r="F478" t="s">
        <v>305</v>
      </c>
      <c r="H478" t="s">
        <v>15</v>
      </c>
      <c r="I478" t="s">
        <v>308</v>
      </c>
    </row>
    <row r="479" spans="1:9">
      <c r="A479" t="s">
        <v>320</v>
      </c>
      <c r="B479"/>
      <c r="C479">
        <v>2.9261000000000002E-7</v>
      </c>
      <c r="D479" t="s">
        <v>13</v>
      </c>
      <c r="E479" t="s">
        <v>109</v>
      </c>
      <c r="F479" t="s">
        <v>309</v>
      </c>
      <c r="H479" t="s">
        <v>15</v>
      </c>
      <c r="I479" t="s">
        <v>308</v>
      </c>
    </row>
    <row r="480" spans="1:9">
      <c r="A480" t="s">
        <v>256</v>
      </c>
      <c r="B480"/>
      <c r="C480">
        <v>2.7382472000000001E-2</v>
      </c>
      <c r="D480" t="s">
        <v>13</v>
      </c>
      <c r="E480" t="s">
        <v>109</v>
      </c>
      <c r="F480" t="s">
        <v>257</v>
      </c>
      <c r="H480" t="s">
        <v>15</v>
      </c>
      <c r="I480" t="s">
        <v>321</v>
      </c>
    </row>
    <row r="481" spans="1:34">
      <c r="A481" t="s">
        <v>119</v>
      </c>
      <c r="B481"/>
      <c r="C481">
        <v>9.5760000000000005E-5</v>
      </c>
      <c r="D481" t="s">
        <v>13</v>
      </c>
      <c r="E481" t="s">
        <v>109</v>
      </c>
      <c r="F481" t="s">
        <v>184</v>
      </c>
      <c r="H481" t="s">
        <v>15</v>
      </c>
      <c r="I481" t="s">
        <v>322</v>
      </c>
    </row>
    <row r="482" spans="1:34">
      <c r="A482" t="s">
        <v>323</v>
      </c>
      <c r="B482"/>
      <c r="C482">
        <v>0.53883999999999999</v>
      </c>
      <c r="D482" t="s">
        <v>17</v>
      </c>
      <c r="E482" t="s">
        <v>109</v>
      </c>
      <c r="F482" t="s">
        <v>16</v>
      </c>
      <c r="H482" t="s">
        <v>15</v>
      </c>
      <c r="I482" t="s">
        <v>324</v>
      </c>
    </row>
    <row r="483" spans="1:34">
      <c r="A483" t="s">
        <v>325</v>
      </c>
      <c r="B483"/>
      <c r="C483">
        <v>1.3874E-5</v>
      </c>
      <c r="D483" t="s">
        <v>13</v>
      </c>
      <c r="E483" t="s">
        <v>109</v>
      </c>
      <c r="F483" t="s">
        <v>257</v>
      </c>
      <c r="H483" t="s">
        <v>15</v>
      </c>
      <c r="I483" t="s">
        <v>326</v>
      </c>
    </row>
    <row r="484" spans="1:34">
      <c r="A484" t="s">
        <v>325</v>
      </c>
      <c r="B484"/>
      <c r="C484">
        <v>4.9240999999999998E-5</v>
      </c>
      <c r="D484" t="s">
        <v>13</v>
      </c>
      <c r="E484" t="s">
        <v>109</v>
      </c>
      <c r="F484" t="s">
        <v>309</v>
      </c>
      <c r="H484" t="s">
        <v>15</v>
      </c>
      <c r="I484" t="s">
        <v>326</v>
      </c>
    </row>
    <row r="485" spans="1:34">
      <c r="A485" t="s">
        <v>327</v>
      </c>
      <c r="B485"/>
      <c r="C485">
        <v>1.5466999999999999E-5</v>
      </c>
      <c r="D485" t="s">
        <v>13</v>
      </c>
      <c r="E485" t="s">
        <v>109</v>
      </c>
      <c r="F485" t="s">
        <v>309</v>
      </c>
      <c r="H485" t="s">
        <v>15</v>
      </c>
      <c r="I485" t="s">
        <v>326</v>
      </c>
    </row>
    <row r="486" spans="1:34">
      <c r="A486" t="s">
        <v>328</v>
      </c>
      <c r="B486"/>
      <c r="C486">
        <v>1.0777000000000001</v>
      </c>
      <c r="D486" t="s">
        <v>188</v>
      </c>
      <c r="E486" t="s">
        <v>109</v>
      </c>
      <c r="F486" t="s">
        <v>16</v>
      </c>
      <c r="H486" t="s">
        <v>15</v>
      </c>
      <c r="I486" t="s">
        <v>324</v>
      </c>
    </row>
    <row r="487" spans="1:34">
      <c r="A487" t="s">
        <v>329</v>
      </c>
      <c r="B487"/>
      <c r="C487">
        <v>1.0777000000000001</v>
      </c>
      <c r="D487" t="s">
        <v>188</v>
      </c>
      <c r="E487" t="s">
        <v>109</v>
      </c>
      <c r="F487" t="s">
        <v>16</v>
      </c>
      <c r="H487" t="s">
        <v>15</v>
      </c>
      <c r="I487" t="s">
        <v>324</v>
      </c>
    </row>
    <row r="488" spans="1:34">
      <c r="A488" t="s">
        <v>130</v>
      </c>
      <c r="B488"/>
      <c r="C488">
        <v>1.59827841415273E-2</v>
      </c>
      <c r="D488" t="s">
        <v>128</v>
      </c>
      <c r="E488" t="s">
        <v>109</v>
      </c>
      <c r="F488" t="s">
        <v>25</v>
      </c>
      <c r="H488" t="s">
        <v>15</v>
      </c>
      <c r="I488" t="s">
        <v>330</v>
      </c>
    </row>
    <row r="489" spans="1:34">
      <c r="A489" t="s">
        <v>130</v>
      </c>
      <c r="B489"/>
      <c r="C489">
        <v>2.53474658368582E-2</v>
      </c>
      <c r="D489" t="s">
        <v>128</v>
      </c>
      <c r="E489" t="s">
        <v>109</v>
      </c>
      <c r="F489" t="s">
        <v>257</v>
      </c>
      <c r="H489" t="s">
        <v>15</v>
      </c>
      <c r="I489" t="s">
        <v>331</v>
      </c>
    </row>
    <row r="490" spans="1:34">
      <c r="A490" t="s">
        <v>130</v>
      </c>
      <c r="B490"/>
      <c r="C490">
        <v>6.3368664592145397E-3</v>
      </c>
      <c r="D490" t="s">
        <v>128</v>
      </c>
      <c r="E490" t="s">
        <v>109</v>
      </c>
      <c r="F490" t="s">
        <v>309</v>
      </c>
      <c r="H490" t="s">
        <v>15</v>
      </c>
      <c r="I490" t="s">
        <v>331</v>
      </c>
    </row>
    <row r="491" spans="1:34">
      <c r="A491" t="s">
        <v>332</v>
      </c>
      <c r="B491"/>
      <c r="C491">
        <v>1.7374E-5</v>
      </c>
      <c r="D491" t="s">
        <v>13</v>
      </c>
      <c r="E491" t="s">
        <v>109</v>
      </c>
      <c r="F491" t="s">
        <v>305</v>
      </c>
      <c r="H491" t="s">
        <v>15</v>
      </c>
      <c r="I491" t="s">
        <v>308</v>
      </c>
    </row>
    <row r="492" spans="1:34">
      <c r="A492" t="s">
        <v>332</v>
      </c>
      <c r="B492"/>
      <c r="C492">
        <v>2.7868999999999999E-6</v>
      </c>
      <c r="D492" t="s">
        <v>13</v>
      </c>
      <c r="E492" t="s">
        <v>109</v>
      </c>
      <c r="F492" t="s">
        <v>257</v>
      </c>
      <c r="H492" t="s">
        <v>15</v>
      </c>
      <c r="I492" t="s">
        <v>308</v>
      </c>
    </row>
    <row r="493" spans="1:34">
      <c r="A493" t="s">
        <v>332</v>
      </c>
      <c r="B493"/>
      <c r="C493">
        <v>6.3280999999999996E-7</v>
      </c>
      <c r="D493" t="s">
        <v>13</v>
      </c>
      <c r="E493" t="s">
        <v>109</v>
      </c>
      <c r="F493" t="s">
        <v>309</v>
      </c>
      <c r="H493" t="s">
        <v>15</v>
      </c>
      <c r="I493" t="s">
        <v>308</v>
      </c>
    </row>
    <row r="494" spans="1:34">
      <c r="A494" s="41"/>
      <c r="B494" s="41"/>
      <c r="C494" s="42"/>
      <c r="D494" s="41"/>
      <c r="E494" s="41"/>
      <c r="F494" s="41"/>
      <c r="G494" s="41"/>
      <c r="H494" s="41"/>
      <c r="I494" s="41"/>
      <c r="J494" s="41"/>
      <c r="K494" s="41"/>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row>
    <row r="495" spans="1:34">
      <c r="A495" s="43" t="s">
        <v>1</v>
      </c>
      <c r="B495" s="43" t="s">
        <v>287</v>
      </c>
      <c r="I495"/>
    </row>
    <row r="496" spans="1:34">
      <c r="A496" s="46" t="s">
        <v>11</v>
      </c>
      <c r="B496" s="59" t="s">
        <v>260</v>
      </c>
      <c r="I496"/>
    </row>
    <row r="497" spans="1:9">
      <c r="A497" s="46" t="s">
        <v>2</v>
      </c>
      <c r="B497" t="s">
        <v>29</v>
      </c>
      <c r="I497"/>
    </row>
    <row r="498" spans="1:9">
      <c r="A498" s="46" t="s">
        <v>3</v>
      </c>
      <c r="B498" s="47">
        <v>1</v>
      </c>
      <c r="I498"/>
    </row>
    <row r="499" spans="1:9">
      <c r="A499" s="46" t="s">
        <v>4</v>
      </c>
      <c r="B499" t="s">
        <v>261</v>
      </c>
      <c r="I499"/>
    </row>
    <row r="500" spans="1:9">
      <c r="A500" s="46" t="s">
        <v>6</v>
      </c>
      <c r="B500" t="s">
        <v>128</v>
      </c>
      <c r="I500"/>
    </row>
    <row r="501" spans="1:9">
      <c r="A501" s="46" t="s">
        <v>76</v>
      </c>
      <c r="B501"/>
      <c r="I501"/>
    </row>
    <row r="502" spans="1:9" ht="15.6">
      <c r="A502" s="30" t="s">
        <v>7</v>
      </c>
      <c r="B502"/>
      <c r="I502"/>
    </row>
    <row r="503" spans="1:9" s="46" customFormat="1">
      <c r="A503" s="46" t="s">
        <v>8</v>
      </c>
      <c r="B503" s="46" t="s">
        <v>4</v>
      </c>
      <c r="C503" s="46" t="s">
        <v>9</v>
      </c>
      <c r="D503" s="46" t="s">
        <v>6</v>
      </c>
      <c r="E503" s="46" t="s">
        <v>106</v>
      </c>
      <c r="F503" s="46" t="s">
        <v>10</v>
      </c>
      <c r="G503" s="46" t="s">
        <v>2</v>
      </c>
      <c r="H503" s="46" t="s">
        <v>5</v>
      </c>
      <c r="I503" s="46" t="s">
        <v>11</v>
      </c>
    </row>
    <row r="504" spans="1:9">
      <c r="A504" t="s">
        <v>287</v>
      </c>
      <c r="B504" t="s">
        <v>261</v>
      </c>
      <c r="C504">
        <v>1</v>
      </c>
      <c r="D504" t="s">
        <v>128</v>
      </c>
      <c r="E504" s="50"/>
      <c r="G504" t="s">
        <v>29</v>
      </c>
      <c r="H504" t="s">
        <v>18</v>
      </c>
    </row>
    <row r="505" spans="1:9">
      <c r="A505" t="s">
        <v>266</v>
      </c>
      <c r="B505" t="s">
        <v>267</v>
      </c>
      <c r="C505">
        <f>10.2555323734231/1000</f>
        <v>1.0255532373423099E-2</v>
      </c>
      <c r="D505" t="s">
        <v>13</v>
      </c>
      <c r="E505" t="s">
        <v>211</v>
      </c>
      <c r="G505" t="s">
        <v>140</v>
      </c>
      <c r="H505" t="s">
        <v>12</v>
      </c>
    </row>
    <row r="506" spans="1:9">
      <c r="A506" t="s">
        <v>268</v>
      </c>
      <c r="B506" t="s">
        <v>135</v>
      </c>
      <c r="C506">
        <v>5.4000000000000001E-11</v>
      </c>
      <c r="D506" t="s">
        <v>6</v>
      </c>
      <c r="E506" t="s">
        <v>211</v>
      </c>
      <c r="G506" t="s">
        <v>140</v>
      </c>
      <c r="H506" t="s">
        <v>12</v>
      </c>
    </row>
    <row r="507" spans="1:9">
      <c r="A507" t="s">
        <v>28</v>
      </c>
      <c r="B507" t="s">
        <v>20</v>
      </c>
      <c r="C507">
        <v>0.97686420144549235</v>
      </c>
      <c r="D507" t="s">
        <v>19</v>
      </c>
      <c r="E507" t="s">
        <v>211</v>
      </c>
      <c r="G507" t="s">
        <v>27</v>
      </c>
      <c r="H507" t="s">
        <v>12</v>
      </c>
    </row>
    <row r="508" spans="1:9">
      <c r="A508" t="s">
        <v>180</v>
      </c>
      <c r="B508" t="s">
        <v>181</v>
      </c>
      <c r="C508">
        <v>1.1400000000000001E-4</v>
      </c>
      <c r="D508" t="s">
        <v>13</v>
      </c>
      <c r="E508" t="s">
        <v>211</v>
      </c>
      <c r="G508" t="s">
        <v>49</v>
      </c>
      <c r="H508" t="s">
        <v>12</v>
      </c>
    </row>
    <row r="509" spans="1:9">
      <c r="A509" t="s">
        <v>269</v>
      </c>
      <c r="B509" t="s">
        <v>270</v>
      </c>
      <c r="C509">
        <v>1.01E-4</v>
      </c>
      <c r="D509" t="s">
        <v>13</v>
      </c>
      <c r="E509" t="s">
        <v>211</v>
      </c>
      <c r="G509" t="s">
        <v>140</v>
      </c>
      <c r="H509" t="s">
        <v>12</v>
      </c>
    </row>
    <row r="510" spans="1:9">
      <c r="A510" t="s">
        <v>271</v>
      </c>
      <c r="B510" s="19" t="s">
        <v>197</v>
      </c>
      <c r="C510">
        <v>1.8841794028909846</v>
      </c>
      <c r="D510" s="45" t="s">
        <v>128</v>
      </c>
      <c r="G510" s="50" t="s">
        <v>29</v>
      </c>
      <c r="H510" t="s">
        <v>12</v>
      </c>
    </row>
    <row r="511" spans="1:9">
      <c r="A511" t="s">
        <v>218</v>
      </c>
      <c r="B511"/>
      <c r="C511">
        <v>1.7520580065460971</v>
      </c>
      <c r="D511" t="s">
        <v>13</v>
      </c>
      <c r="E511" t="s">
        <v>109</v>
      </c>
      <c r="F511" t="s">
        <v>184</v>
      </c>
      <c r="H511" t="s">
        <v>15</v>
      </c>
    </row>
    <row r="512" spans="1:9">
      <c r="A512" t="s">
        <v>262</v>
      </c>
      <c r="B512"/>
      <c r="C512">
        <v>1.28</v>
      </c>
      <c r="D512" t="s">
        <v>46</v>
      </c>
      <c r="E512" t="s">
        <v>109</v>
      </c>
      <c r="F512" t="s">
        <v>184</v>
      </c>
      <c r="H512" t="s">
        <v>15</v>
      </c>
    </row>
    <row r="513" spans="1:9">
      <c r="A513" t="s">
        <v>263</v>
      </c>
      <c r="B513"/>
      <c r="C513">
        <v>0</v>
      </c>
      <c r="D513" t="s">
        <v>13</v>
      </c>
      <c r="E513" t="s">
        <v>109</v>
      </c>
      <c r="F513" t="s">
        <v>184</v>
      </c>
      <c r="H513" t="s">
        <v>15</v>
      </c>
    </row>
    <row r="514" spans="1:9">
      <c r="A514" t="s">
        <v>185</v>
      </c>
      <c r="B514"/>
      <c r="C514">
        <v>7.0244489999999995E-3</v>
      </c>
      <c r="D514" t="s">
        <v>13</v>
      </c>
      <c r="E514" t="s">
        <v>109</v>
      </c>
      <c r="F514" t="s">
        <v>184</v>
      </c>
      <c r="H514" t="s">
        <v>15</v>
      </c>
    </row>
    <row r="515" spans="1:9">
      <c r="A515" t="s">
        <v>264</v>
      </c>
      <c r="B515"/>
      <c r="C515">
        <v>5.1560000000000002E-2</v>
      </c>
      <c r="D515" t="s">
        <v>13</v>
      </c>
      <c r="E515" t="s">
        <v>109</v>
      </c>
      <c r="F515" t="s">
        <v>25</v>
      </c>
      <c r="H515" t="s">
        <v>15</v>
      </c>
    </row>
    <row r="516" spans="1:9">
      <c r="A516" t="s">
        <v>125</v>
      </c>
      <c r="B516"/>
      <c r="C516">
        <v>6.5989999999999998E-6</v>
      </c>
      <c r="D516" t="s">
        <v>13</v>
      </c>
      <c r="E516" t="s">
        <v>109</v>
      </c>
      <c r="F516" t="s">
        <v>265</v>
      </c>
      <c r="H516" t="s">
        <v>15</v>
      </c>
    </row>
    <row r="517" spans="1:9" s="56" customFormat="1">
      <c r="B517" s="57"/>
      <c r="I517" s="58"/>
    </row>
    <row r="518" spans="1:9">
      <c r="A518" s="43" t="s">
        <v>1</v>
      </c>
      <c r="B518" s="43" t="s">
        <v>275</v>
      </c>
      <c r="I518"/>
    </row>
    <row r="519" spans="1:9">
      <c r="A519" s="46" t="s">
        <v>11</v>
      </c>
      <c r="B519" s="59"/>
      <c r="I519"/>
    </row>
    <row r="520" spans="1:9">
      <c r="A520" s="46" t="s">
        <v>2</v>
      </c>
      <c r="B520" t="s">
        <v>29</v>
      </c>
      <c r="I520"/>
    </row>
    <row r="521" spans="1:9">
      <c r="A521" s="46" t="s">
        <v>3</v>
      </c>
      <c r="B521" s="47">
        <v>1</v>
      </c>
      <c r="I521"/>
    </row>
    <row r="522" spans="1:9">
      <c r="A522" s="46" t="s">
        <v>4</v>
      </c>
      <c r="B522" t="s">
        <v>261</v>
      </c>
      <c r="I522"/>
    </row>
    <row r="523" spans="1:9">
      <c r="A523" s="46" t="s">
        <v>6</v>
      </c>
      <c r="B523" t="s">
        <v>128</v>
      </c>
      <c r="I523"/>
    </row>
    <row r="524" spans="1:9">
      <c r="A524" s="46" t="s">
        <v>76</v>
      </c>
      <c r="B524"/>
      <c r="I524"/>
    </row>
    <row r="525" spans="1:9" ht="15.6">
      <c r="A525" s="30" t="s">
        <v>7</v>
      </c>
      <c r="B525"/>
      <c r="I525"/>
    </row>
    <row r="526" spans="1:9" s="46" customFormat="1">
      <c r="A526" s="46" t="s">
        <v>8</v>
      </c>
      <c r="B526" s="46" t="s">
        <v>4</v>
      </c>
      <c r="C526" s="46" t="s">
        <v>9</v>
      </c>
      <c r="D526" s="46" t="s">
        <v>6</v>
      </c>
      <c r="E526" s="46" t="s">
        <v>106</v>
      </c>
      <c r="F526" s="46" t="s">
        <v>10</v>
      </c>
      <c r="G526" s="46" t="s">
        <v>2</v>
      </c>
      <c r="H526" s="46" t="s">
        <v>5</v>
      </c>
      <c r="I526" s="46" t="s">
        <v>11</v>
      </c>
    </row>
    <row r="527" spans="1:9">
      <c r="A527" t="s">
        <v>275</v>
      </c>
      <c r="B527" t="s">
        <v>261</v>
      </c>
      <c r="C527">
        <v>1</v>
      </c>
      <c r="D527" t="s">
        <v>128</v>
      </c>
      <c r="E527" s="50"/>
      <c r="G527" t="s">
        <v>29</v>
      </c>
      <c r="H527" t="s">
        <v>18</v>
      </c>
    </row>
    <row r="528" spans="1:9">
      <c r="A528" t="s">
        <v>266</v>
      </c>
      <c r="B528" t="s">
        <v>267</v>
      </c>
      <c r="C528">
        <v>1.0255532373423097E-2</v>
      </c>
      <c r="D528" t="s">
        <v>13</v>
      </c>
      <c r="E528" t="s">
        <v>211</v>
      </c>
      <c r="G528" t="s">
        <v>140</v>
      </c>
      <c r="H528" t="s">
        <v>12</v>
      </c>
    </row>
    <row r="529" spans="1:8">
      <c r="A529" t="s">
        <v>268</v>
      </c>
      <c r="B529" t="s">
        <v>135</v>
      </c>
      <c r="C529">
        <v>5.4000000000000001E-11</v>
      </c>
      <c r="D529" t="s">
        <v>6</v>
      </c>
      <c r="E529" t="s">
        <v>211</v>
      </c>
      <c r="G529" t="s">
        <v>140</v>
      </c>
      <c r="H529" t="s">
        <v>12</v>
      </c>
    </row>
    <row r="530" spans="1:8">
      <c r="A530" t="s">
        <v>28</v>
      </c>
      <c r="B530" t="s">
        <v>20</v>
      </c>
      <c r="C530">
        <v>0.75934029794307212</v>
      </c>
      <c r="D530" t="s">
        <v>19</v>
      </c>
      <c r="E530" t="s">
        <v>211</v>
      </c>
      <c r="G530" t="s">
        <v>27</v>
      </c>
      <c r="H530" t="s">
        <v>12</v>
      </c>
    </row>
    <row r="531" spans="1:8">
      <c r="A531" t="s">
        <v>180</v>
      </c>
      <c r="B531" t="s">
        <v>181</v>
      </c>
      <c r="C531">
        <v>1.1400000000000001E-4</v>
      </c>
      <c r="D531" t="s">
        <v>13</v>
      </c>
      <c r="E531" t="s">
        <v>211</v>
      </c>
      <c r="G531" t="s">
        <v>49</v>
      </c>
      <c r="H531" t="s">
        <v>12</v>
      </c>
    </row>
    <row r="532" spans="1:8">
      <c r="A532" t="s">
        <v>269</v>
      </c>
      <c r="B532" t="s">
        <v>270</v>
      </c>
      <c r="C532">
        <v>1.01E-4</v>
      </c>
      <c r="D532" t="s">
        <v>13</v>
      </c>
      <c r="E532" t="s">
        <v>211</v>
      </c>
      <c r="G532" t="s">
        <v>140</v>
      </c>
      <c r="H532" t="s">
        <v>12</v>
      </c>
    </row>
    <row r="533" spans="1:8">
      <c r="A533" t="s">
        <v>271</v>
      </c>
      <c r="B533" s="19" t="s">
        <v>197</v>
      </c>
      <c r="C533">
        <v>1.9058925655516348</v>
      </c>
      <c r="D533" s="45" t="s">
        <v>128</v>
      </c>
      <c r="G533" s="50" t="s">
        <v>29</v>
      </c>
      <c r="H533" t="s">
        <v>12</v>
      </c>
    </row>
    <row r="534" spans="1:8">
      <c r="A534" t="s">
        <v>218</v>
      </c>
      <c r="B534"/>
      <c r="C534">
        <v>1.8087898191725484</v>
      </c>
      <c r="D534" t="s">
        <v>13</v>
      </c>
      <c r="E534" t="s">
        <v>109</v>
      </c>
      <c r="F534" t="s">
        <v>184</v>
      </c>
      <c r="H534" t="s">
        <v>15</v>
      </c>
    </row>
    <row r="535" spans="1:8">
      <c r="A535" t="s">
        <v>262</v>
      </c>
      <c r="B535"/>
      <c r="C535">
        <v>1.28</v>
      </c>
      <c r="D535" t="s">
        <v>46</v>
      </c>
      <c r="E535" t="s">
        <v>109</v>
      </c>
      <c r="F535" t="s">
        <v>184</v>
      </c>
      <c r="H535" t="s">
        <v>15</v>
      </c>
    </row>
    <row r="536" spans="1:8">
      <c r="A536" t="s">
        <v>263</v>
      </c>
      <c r="B536"/>
      <c r="C536">
        <v>0</v>
      </c>
      <c r="D536" t="s">
        <v>13</v>
      </c>
      <c r="E536" t="s">
        <v>109</v>
      </c>
      <c r="F536" t="s">
        <v>184</v>
      </c>
      <c r="H536" t="s">
        <v>15</v>
      </c>
    </row>
    <row r="537" spans="1:8">
      <c r="A537" t="s">
        <v>185</v>
      </c>
      <c r="B537"/>
      <c r="C537">
        <v>7.1053982999999977E-4</v>
      </c>
      <c r="D537" t="s">
        <v>13</v>
      </c>
      <c r="E537" t="s">
        <v>109</v>
      </c>
      <c r="F537" t="s">
        <v>184</v>
      </c>
      <c r="H537" t="s">
        <v>15</v>
      </c>
    </row>
    <row r="538" spans="1:8">
      <c r="A538" t="s">
        <v>264</v>
      </c>
      <c r="B538"/>
      <c r="C538">
        <v>5.1560000000000002E-2</v>
      </c>
      <c r="D538" t="s">
        <v>13</v>
      </c>
      <c r="E538" t="s">
        <v>109</v>
      </c>
      <c r="F538" t="s">
        <v>25</v>
      </c>
      <c r="H538" t="s">
        <v>15</v>
      </c>
    </row>
    <row r="539" spans="1:8">
      <c r="A539" t="s">
        <v>125</v>
      </c>
      <c r="B539"/>
      <c r="C539">
        <v>6.5989999999999998E-6</v>
      </c>
      <c r="D539" t="s">
        <v>13</v>
      </c>
      <c r="E539" t="s">
        <v>109</v>
      </c>
      <c r="F539" t="s">
        <v>265</v>
      </c>
      <c r="H539" t="s">
        <v>15</v>
      </c>
    </row>
    <row r="540" spans="1:8">
      <c r="A540" s="50" t="s">
        <v>38</v>
      </c>
      <c r="B540" s="50" t="s">
        <v>39</v>
      </c>
      <c r="C540" s="60">
        <v>0</v>
      </c>
      <c r="D540" s="50" t="s">
        <v>13</v>
      </c>
      <c r="E540" t="s">
        <v>211</v>
      </c>
      <c r="G540" s="50" t="s">
        <v>22</v>
      </c>
      <c r="H540" t="s">
        <v>12</v>
      </c>
    </row>
    <row r="541" spans="1:8">
      <c r="A541" s="50" t="s">
        <v>276</v>
      </c>
      <c r="B541" s="50" t="s">
        <v>277</v>
      </c>
      <c r="C541">
        <v>0</v>
      </c>
      <c r="D541" s="50" t="s">
        <v>13</v>
      </c>
      <c r="E541" t="s">
        <v>211</v>
      </c>
      <c r="G541" s="50" t="s">
        <v>140</v>
      </c>
      <c r="H541" t="s">
        <v>12</v>
      </c>
    </row>
    <row r="542" spans="1:8">
      <c r="A542" s="50" t="s">
        <v>278</v>
      </c>
      <c r="B542" s="50" t="s">
        <v>279</v>
      </c>
      <c r="C542">
        <v>0</v>
      </c>
      <c r="D542" s="50" t="s">
        <v>13</v>
      </c>
      <c r="E542" t="s">
        <v>211</v>
      </c>
      <c r="G542" s="50" t="s">
        <v>140</v>
      </c>
      <c r="H542" t="s">
        <v>12</v>
      </c>
    </row>
    <row r="543" spans="1:8">
      <c r="A543" t="s">
        <v>280</v>
      </c>
      <c r="B543" t="s">
        <v>281</v>
      </c>
      <c r="C543">
        <v>0</v>
      </c>
      <c r="D543" s="50" t="s">
        <v>13</v>
      </c>
      <c r="E543" t="s">
        <v>211</v>
      </c>
      <c r="G543" s="50" t="s">
        <v>140</v>
      </c>
      <c r="H543" t="s">
        <v>12</v>
      </c>
    </row>
    <row r="544" spans="1:8">
      <c r="A544" s="50" t="s">
        <v>282</v>
      </c>
      <c r="B544" s="51" t="s">
        <v>283</v>
      </c>
      <c r="C544">
        <v>0</v>
      </c>
      <c r="D544" s="50" t="s">
        <v>13</v>
      </c>
      <c r="E544" t="s">
        <v>211</v>
      </c>
      <c r="G544" s="50" t="s">
        <v>140</v>
      </c>
      <c r="H544" t="s">
        <v>12</v>
      </c>
    </row>
    <row r="545" spans="1:9">
      <c r="A545" s="50" t="s">
        <v>284</v>
      </c>
      <c r="B545" s="51" t="s">
        <v>285</v>
      </c>
      <c r="C545">
        <v>0</v>
      </c>
      <c r="D545" s="50" t="s">
        <v>13</v>
      </c>
      <c r="E545" t="s">
        <v>211</v>
      </c>
      <c r="G545" s="50" t="s">
        <v>140</v>
      </c>
      <c r="H545" t="s">
        <v>12</v>
      </c>
    </row>
    <row r="546" spans="1:9">
      <c r="A546" s="15" t="s">
        <v>286</v>
      </c>
      <c r="B546" s="51"/>
      <c r="C546">
        <v>1.3341247958861444E-2</v>
      </c>
      <c r="D546" s="50" t="s">
        <v>13</v>
      </c>
      <c r="E546" s="50" t="s">
        <v>109</v>
      </c>
      <c r="F546" t="s">
        <v>184</v>
      </c>
      <c r="H546" t="s">
        <v>15</v>
      </c>
    </row>
    <row r="547" spans="1:9">
      <c r="A547" s="15" t="s">
        <v>108</v>
      </c>
      <c r="B547" s="50"/>
      <c r="C547">
        <v>0.35068423206150079</v>
      </c>
      <c r="D547" s="50" t="s">
        <v>13</v>
      </c>
      <c r="E547" s="50" t="s">
        <v>109</v>
      </c>
      <c r="F547" t="s">
        <v>184</v>
      </c>
      <c r="H547" t="s">
        <v>15</v>
      </c>
    </row>
    <row r="548" spans="1:9" s="56" customFormat="1">
      <c r="B548" s="57"/>
      <c r="I548" s="58"/>
    </row>
    <row r="549" spans="1:9">
      <c r="A549" s="43" t="s">
        <v>1</v>
      </c>
      <c r="B549" s="43" t="s">
        <v>288</v>
      </c>
      <c r="I549"/>
    </row>
    <row r="550" spans="1:9">
      <c r="A550" s="46" t="s">
        <v>11</v>
      </c>
      <c r="B550" s="59"/>
      <c r="I550"/>
    </row>
    <row r="551" spans="1:9">
      <c r="A551" s="46" t="s">
        <v>2</v>
      </c>
      <c r="B551" t="s">
        <v>29</v>
      </c>
      <c r="I551"/>
    </row>
    <row r="552" spans="1:9">
      <c r="A552" s="46" t="s">
        <v>3</v>
      </c>
      <c r="B552" s="47">
        <v>1</v>
      </c>
      <c r="I552"/>
    </row>
    <row r="553" spans="1:9">
      <c r="A553" s="46" t="s">
        <v>4</v>
      </c>
      <c r="B553" t="s">
        <v>261</v>
      </c>
      <c r="I553"/>
    </row>
    <row r="554" spans="1:9">
      <c r="A554" s="46" t="s">
        <v>6</v>
      </c>
      <c r="B554" t="s">
        <v>128</v>
      </c>
      <c r="I554"/>
    </row>
    <row r="555" spans="1:9">
      <c r="A555" s="46" t="s">
        <v>76</v>
      </c>
      <c r="B555"/>
      <c r="I555"/>
    </row>
    <row r="556" spans="1:9" ht="15.6">
      <c r="A556" s="30" t="s">
        <v>7</v>
      </c>
      <c r="B556"/>
      <c r="I556"/>
    </row>
    <row r="557" spans="1:9" s="46" customFormat="1">
      <c r="A557" s="46" t="s">
        <v>8</v>
      </c>
      <c r="B557" s="46" t="s">
        <v>4</v>
      </c>
      <c r="C557" s="46" t="s">
        <v>9</v>
      </c>
      <c r="D557" s="46" t="s">
        <v>6</v>
      </c>
      <c r="E557" s="46" t="s">
        <v>106</v>
      </c>
      <c r="F557" s="46" t="s">
        <v>10</v>
      </c>
      <c r="G557" s="46" t="s">
        <v>2</v>
      </c>
      <c r="H557" s="46" t="s">
        <v>5</v>
      </c>
      <c r="I557" s="46" t="s">
        <v>11</v>
      </c>
    </row>
    <row r="558" spans="1:9">
      <c r="A558" t="s">
        <v>288</v>
      </c>
      <c r="B558" t="s">
        <v>261</v>
      </c>
      <c r="C558">
        <v>1</v>
      </c>
      <c r="D558" t="s">
        <v>128</v>
      </c>
      <c r="E558" s="50"/>
      <c r="G558" t="s">
        <v>29</v>
      </c>
      <c r="H558" t="s">
        <v>18</v>
      </c>
    </row>
    <row r="559" spans="1:9">
      <c r="A559" t="s">
        <v>266</v>
      </c>
      <c r="B559" t="s">
        <v>267</v>
      </c>
      <c r="C559">
        <v>1.0255532373423097E-2</v>
      </c>
      <c r="D559" t="s">
        <v>13</v>
      </c>
      <c r="E559" t="s">
        <v>211</v>
      </c>
      <c r="G559" t="s">
        <v>140</v>
      </c>
      <c r="H559" t="s">
        <v>12</v>
      </c>
    </row>
    <row r="560" spans="1:9">
      <c r="A560" t="s">
        <v>268</v>
      </c>
      <c r="B560" t="s">
        <v>135</v>
      </c>
      <c r="C560">
        <v>5.4000000000000001E-11</v>
      </c>
      <c r="D560" t="s">
        <v>6</v>
      </c>
      <c r="E560" t="s">
        <v>211</v>
      </c>
      <c r="G560" t="s">
        <v>140</v>
      </c>
      <c r="H560" t="s">
        <v>12</v>
      </c>
    </row>
    <row r="561" spans="1:8">
      <c r="A561" t="s">
        <v>28</v>
      </c>
      <c r="B561" t="s">
        <v>20</v>
      </c>
      <c r="C561">
        <v>0.63128239335113012</v>
      </c>
      <c r="D561" t="s">
        <v>19</v>
      </c>
      <c r="E561" t="s">
        <v>211</v>
      </c>
      <c r="G561" t="s">
        <v>27</v>
      </c>
      <c r="H561" t="s">
        <v>12</v>
      </c>
    </row>
    <row r="562" spans="1:8">
      <c r="A562" t="s">
        <v>180</v>
      </c>
      <c r="B562" t="s">
        <v>181</v>
      </c>
      <c r="C562">
        <v>1.1400000000000001E-4</v>
      </c>
      <c r="D562" t="s">
        <v>13</v>
      </c>
      <c r="E562" t="s">
        <v>211</v>
      </c>
      <c r="G562" t="s">
        <v>49</v>
      </c>
      <c r="H562" t="s">
        <v>12</v>
      </c>
    </row>
    <row r="563" spans="1:8">
      <c r="A563" t="s">
        <v>269</v>
      </c>
      <c r="B563" t="s">
        <v>270</v>
      </c>
      <c r="C563">
        <v>1.01E-4</v>
      </c>
      <c r="D563" t="s">
        <v>13</v>
      </c>
      <c r="E563" t="s">
        <v>211</v>
      </c>
      <c r="G563" t="s">
        <v>140</v>
      </c>
      <c r="H563" t="s">
        <v>12</v>
      </c>
    </row>
    <row r="564" spans="1:8">
      <c r="A564" t="s">
        <v>271</v>
      </c>
      <c r="B564" s="19" t="s">
        <v>197</v>
      </c>
      <c r="C564">
        <v>1.9028346445037665</v>
      </c>
      <c r="D564" s="45" t="s">
        <v>128</v>
      </c>
      <c r="G564" s="50" t="s">
        <v>29</v>
      </c>
      <c r="H564" t="s">
        <v>12</v>
      </c>
    </row>
    <row r="565" spans="1:8">
      <c r="A565" t="s">
        <v>218</v>
      </c>
      <c r="B565"/>
      <c r="C565">
        <v>1.7694051155218009</v>
      </c>
      <c r="D565" t="s">
        <v>13</v>
      </c>
      <c r="E565" t="s">
        <v>109</v>
      </c>
      <c r="F565" t="s">
        <v>184</v>
      </c>
      <c r="H565" t="s">
        <v>15</v>
      </c>
    </row>
    <row r="566" spans="1:8">
      <c r="A566" t="s">
        <v>262</v>
      </c>
      <c r="B566"/>
      <c r="C566">
        <v>1.28</v>
      </c>
      <c r="D566" t="s">
        <v>46</v>
      </c>
      <c r="E566" t="s">
        <v>109</v>
      </c>
      <c r="F566" t="s">
        <v>184</v>
      </c>
      <c r="H566" t="s">
        <v>15</v>
      </c>
    </row>
    <row r="567" spans="1:8">
      <c r="A567" t="s">
        <v>263</v>
      </c>
      <c r="B567"/>
      <c r="C567">
        <v>0</v>
      </c>
      <c r="D567" t="s">
        <v>13</v>
      </c>
      <c r="E567" t="s">
        <v>109</v>
      </c>
      <c r="F567" t="s">
        <v>184</v>
      </c>
      <c r="H567" t="s">
        <v>15</v>
      </c>
    </row>
    <row r="568" spans="1:8">
      <c r="A568" t="s">
        <v>185</v>
      </c>
      <c r="B568"/>
      <c r="C568">
        <v>1.4187996E-2</v>
      </c>
      <c r="D568" t="s">
        <v>13</v>
      </c>
      <c r="E568" t="s">
        <v>109</v>
      </c>
      <c r="F568" t="s">
        <v>184</v>
      </c>
      <c r="H568" t="s">
        <v>15</v>
      </c>
    </row>
    <row r="569" spans="1:8">
      <c r="A569" t="s">
        <v>264</v>
      </c>
      <c r="B569"/>
      <c r="C569">
        <v>5.1560000000000002E-2</v>
      </c>
      <c r="D569" t="s">
        <v>13</v>
      </c>
      <c r="E569" t="s">
        <v>109</v>
      </c>
      <c r="F569" t="s">
        <v>25</v>
      </c>
      <c r="H569" t="s">
        <v>15</v>
      </c>
    </row>
    <row r="570" spans="1:8">
      <c r="A570" t="s">
        <v>125</v>
      </c>
      <c r="B570"/>
      <c r="C570">
        <v>6.5989999999999998E-6</v>
      </c>
      <c r="D570" t="s">
        <v>13</v>
      </c>
      <c r="E570" t="s">
        <v>109</v>
      </c>
      <c r="F570" t="s">
        <v>265</v>
      </c>
      <c r="H570" t="s">
        <v>15</v>
      </c>
    </row>
    <row r="571" spans="1:8">
      <c r="A571" s="50" t="s">
        <v>38</v>
      </c>
      <c r="B571" s="50" t="s">
        <v>39</v>
      </c>
      <c r="C571" s="60">
        <v>0.19028346445037667</v>
      </c>
      <c r="D571" s="50" t="s">
        <v>13</v>
      </c>
      <c r="E571" t="s">
        <v>211</v>
      </c>
      <c r="G571" s="50" t="s">
        <v>22</v>
      </c>
      <c r="H571" t="s">
        <v>12</v>
      </c>
    </row>
    <row r="572" spans="1:8">
      <c r="A572" s="50" t="s">
        <v>276</v>
      </c>
      <c r="B572" s="50" t="s">
        <v>277</v>
      </c>
      <c r="C572">
        <v>0</v>
      </c>
      <c r="D572" s="50" t="s">
        <v>13</v>
      </c>
      <c r="E572" t="s">
        <v>211</v>
      </c>
      <c r="G572" s="50" t="s">
        <v>140</v>
      </c>
      <c r="H572" t="s">
        <v>12</v>
      </c>
    </row>
    <row r="573" spans="1:8">
      <c r="A573" s="50" t="s">
        <v>278</v>
      </c>
      <c r="B573" s="50" t="s">
        <v>279</v>
      </c>
      <c r="C573">
        <v>0</v>
      </c>
      <c r="D573" s="50" t="s">
        <v>13</v>
      </c>
      <c r="E573" t="s">
        <v>211</v>
      </c>
      <c r="G573" s="50" t="s">
        <v>140</v>
      </c>
      <c r="H573" t="s">
        <v>12</v>
      </c>
    </row>
    <row r="574" spans="1:8">
      <c r="A574" t="s">
        <v>280</v>
      </c>
      <c r="B574" t="s">
        <v>281</v>
      </c>
      <c r="C574">
        <v>0</v>
      </c>
      <c r="D574" s="50" t="s">
        <v>13</v>
      </c>
      <c r="E574" t="s">
        <v>211</v>
      </c>
      <c r="G574" s="50" t="s">
        <v>140</v>
      </c>
      <c r="H574" t="s">
        <v>12</v>
      </c>
    </row>
    <row r="575" spans="1:8">
      <c r="A575" s="50" t="s">
        <v>282</v>
      </c>
      <c r="B575" s="51" t="s">
        <v>283</v>
      </c>
      <c r="C575">
        <v>0</v>
      </c>
      <c r="D575" s="50" t="s">
        <v>13</v>
      </c>
      <c r="E575" t="s">
        <v>211</v>
      </c>
      <c r="G575" s="50" t="s">
        <v>140</v>
      </c>
      <c r="H575" t="s">
        <v>12</v>
      </c>
    </row>
    <row r="576" spans="1:8">
      <c r="A576" s="50" t="s">
        <v>284</v>
      </c>
      <c r="B576" s="51" t="s">
        <v>285</v>
      </c>
      <c r="C576">
        <v>0</v>
      </c>
      <c r="D576" s="50" t="s">
        <v>13</v>
      </c>
      <c r="E576" t="s">
        <v>211</v>
      </c>
      <c r="G576" s="50" t="s">
        <v>140</v>
      </c>
      <c r="H576" t="s">
        <v>12</v>
      </c>
    </row>
    <row r="577" spans="1:9">
      <c r="A577" s="15" t="s">
        <v>286</v>
      </c>
      <c r="B577" s="51"/>
      <c r="C577">
        <v>0</v>
      </c>
      <c r="D577" s="50" t="s">
        <v>13</v>
      </c>
      <c r="E577" s="50" t="s">
        <v>109</v>
      </c>
      <c r="F577" t="s">
        <v>184</v>
      </c>
      <c r="H577" t="s">
        <v>15</v>
      </c>
    </row>
    <row r="578" spans="1:9">
      <c r="A578" s="15" t="s">
        <v>108</v>
      </c>
      <c r="B578" s="50"/>
      <c r="C578">
        <v>0</v>
      </c>
      <c r="D578" s="50" t="s">
        <v>13</v>
      </c>
      <c r="E578" s="50" t="s">
        <v>109</v>
      </c>
      <c r="F578" t="s">
        <v>184</v>
      </c>
      <c r="H578" t="s">
        <v>15</v>
      </c>
    </row>
    <row r="579" spans="1:9" s="56" customFormat="1">
      <c r="B579" s="57"/>
      <c r="I579" s="58"/>
    </row>
    <row r="580" spans="1:9">
      <c r="A580" s="43" t="s">
        <v>1</v>
      </c>
      <c r="B580" s="43" t="s">
        <v>289</v>
      </c>
      <c r="I580"/>
    </row>
    <row r="581" spans="1:9">
      <c r="A581" s="46" t="s">
        <v>11</v>
      </c>
      <c r="B581" s="59"/>
      <c r="I581"/>
    </row>
    <row r="582" spans="1:9">
      <c r="A582" s="46" t="s">
        <v>2</v>
      </c>
      <c r="B582" t="s">
        <v>29</v>
      </c>
      <c r="I582"/>
    </row>
    <row r="583" spans="1:9">
      <c r="A583" s="46" t="s">
        <v>3</v>
      </c>
      <c r="B583" s="47">
        <v>1</v>
      </c>
      <c r="I583"/>
    </row>
    <row r="584" spans="1:9">
      <c r="A584" s="46" t="s">
        <v>4</v>
      </c>
      <c r="B584" t="s">
        <v>261</v>
      </c>
      <c r="I584"/>
    </row>
    <row r="585" spans="1:9">
      <c r="A585" s="46" t="s">
        <v>6</v>
      </c>
      <c r="B585" t="s">
        <v>128</v>
      </c>
      <c r="I585"/>
    </row>
    <row r="586" spans="1:9">
      <c r="A586" s="46" t="s">
        <v>76</v>
      </c>
      <c r="B586"/>
      <c r="I586"/>
    </row>
    <row r="587" spans="1:9" ht="15.6">
      <c r="A587" s="30" t="s">
        <v>7</v>
      </c>
      <c r="B587"/>
      <c r="I587"/>
    </row>
    <row r="588" spans="1:9" s="46" customFormat="1">
      <c r="A588" s="46" t="s">
        <v>8</v>
      </c>
      <c r="B588" s="46" t="s">
        <v>4</v>
      </c>
      <c r="C588" s="46" t="s">
        <v>9</v>
      </c>
      <c r="D588" s="46" t="s">
        <v>6</v>
      </c>
      <c r="E588" s="46" t="s">
        <v>106</v>
      </c>
      <c r="F588" s="46" t="s">
        <v>10</v>
      </c>
      <c r="G588" s="46" t="s">
        <v>2</v>
      </c>
      <c r="H588" s="46" t="s">
        <v>5</v>
      </c>
      <c r="I588" s="46" t="s">
        <v>11</v>
      </c>
    </row>
    <row r="589" spans="1:9">
      <c r="A589" t="s">
        <v>289</v>
      </c>
      <c r="B589" t="s">
        <v>261</v>
      </c>
      <c r="C589">
        <v>1</v>
      </c>
      <c r="D589" t="s">
        <v>128</v>
      </c>
      <c r="E589" s="50"/>
      <c r="G589" t="s">
        <v>29</v>
      </c>
      <c r="H589" t="s">
        <v>18</v>
      </c>
    </row>
    <row r="590" spans="1:9">
      <c r="A590" t="s">
        <v>266</v>
      </c>
      <c r="B590" t="s">
        <v>267</v>
      </c>
      <c r="C590">
        <v>1.0255532373423097E-2</v>
      </c>
      <c r="D590" t="s">
        <v>13</v>
      </c>
      <c r="E590" t="s">
        <v>211</v>
      </c>
      <c r="G590" t="s">
        <v>140</v>
      </c>
      <c r="H590" t="s">
        <v>12</v>
      </c>
    </row>
    <row r="591" spans="1:9">
      <c r="A591" t="s">
        <v>268</v>
      </c>
      <c r="B591" t="s">
        <v>135</v>
      </c>
      <c r="C591">
        <v>5.4000000000000001E-11</v>
      </c>
      <c r="D591" t="s">
        <v>6</v>
      </c>
      <c r="E591" t="s">
        <v>211</v>
      </c>
      <c r="G591" t="s">
        <v>140</v>
      </c>
      <c r="H591" t="s">
        <v>12</v>
      </c>
    </row>
    <row r="592" spans="1:9">
      <c r="A592" t="s">
        <v>28</v>
      </c>
      <c r="B592" t="s">
        <v>20</v>
      </c>
      <c r="C592">
        <v>0.67375221360986193</v>
      </c>
      <c r="D592" t="s">
        <v>19</v>
      </c>
      <c r="E592" t="s">
        <v>211</v>
      </c>
      <c r="G592" t="s">
        <v>27</v>
      </c>
      <c r="H592" t="s">
        <v>12</v>
      </c>
    </row>
    <row r="593" spans="1:8">
      <c r="A593" t="s">
        <v>180</v>
      </c>
      <c r="B593" t="s">
        <v>181</v>
      </c>
      <c r="C593">
        <v>1.1400000000000001E-4</v>
      </c>
      <c r="D593" t="s">
        <v>13</v>
      </c>
      <c r="E593" t="s">
        <v>211</v>
      </c>
      <c r="G593" t="s">
        <v>49</v>
      </c>
      <c r="H593" t="s">
        <v>12</v>
      </c>
    </row>
    <row r="594" spans="1:8">
      <c r="A594" t="s">
        <v>269</v>
      </c>
      <c r="B594" t="s">
        <v>270</v>
      </c>
      <c r="C594">
        <v>1.01E-4</v>
      </c>
      <c r="D594" t="s">
        <v>13</v>
      </c>
      <c r="E594" t="s">
        <v>211</v>
      </c>
      <c r="G594" t="s">
        <v>140</v>
      </c>
      <c r="H594" t="s">
        <v>12</v>
      </c>
    </row>
    <row r="595" spans="1:8">
      <c r="A595" t="s">
        <v>271</v>
      </c>
      <c r="B595" s="19" t="s">
        <v>197</v>
      </c>
      <c r="C595">
        <v>1.9016807120328729</v>
      </c>
      <c r="D595" s="45" t="s">
        <v>128</v>
      </c>
      <c r="G595" s="50" t="s">
        <v>29</v>
      </c>
      <c r="H595" t="s">
        <v>12</v>
      </c>
    </row>
    <row r="596" spans="1:8">
      <c r="A596" t="s">
        <v>218</v>
      </c>
      <c r="B596"/>
      <c r="C596">
        <v>1.7501018706524611</v>
      </c>
      <c r="D596" t="s">
        <v>13</v>
      </c>
      <c r="E596" t="s">
        <v>109</v>
      </c>
      <c r="F596" t="s">
        <v>184</v>
      </c>
      <c r="H596" t="s">
        <v>15</v>
      </c>
    </row>
    <row r="597" spans="1:8">
      <c r="A597" t="s">
        <v>262</v>
      </c>
      <c r="B597"/>
      <c r="C597">
        <v>1.28</v>
      </c>
      <c r="D597" t="s">
        <v>46</v>
      </c>
      <c r="E597" t="s">
        <v>109</v>
      </c>
      <c r="F597" t="s">
        <v>184</v>
      </c>
      <c r="H597" t="s">
        <v>15</v>
      </c>
    </row>
    <row r="598" spans="1:8">
      <c r="A598" t="s">
        <v>263</v>
      </c>
      <c r="B598"/>
      <c r="C598">
        <v>0</v>
      </c>
      <c r="D598" t="s">
        <v>13</v>
      </c>
      <c r="E598" t="s">
        <v>109</v>
      </c>
      <c r="F598" t="s">
        <v>184</v>
      </c>
      <c r="H598" t="s">
        <v>15</v>
      </c>
    </row>
    <row r="599" spans="1:8">
      <c r="A599" t="s">
        <v>185</v>
      </c>
      <c r="B599"/>
      <c r="C599">
        <v>2.1269087999999998E-2</v>
      </c>
      <c r="D599" t="s">
        <v>13</v>
      </c>
      <c r="E599" t="s">
        <v>109</v>
      </c>
      <c r="F599" t="s">
        <v>184</v>
      </c>
      <c r="H599" t="s">
        <v>15</v>
      </c>
    </row>
    <row r="600" spans="1:8">
      <c r="A600" t="s">
        <v>264</v>
      </c>
      <c r="B600"/>
      <c r="C600">
        <v>5.1560000000000002E-2</v>
      </c>
      <c r="D600" t="s">
        <v>13</v>
      </c>
      <c r="E600" t="s">
        <v>109</v>
      </c>
      <c r="F600" t="s">
        <v>25</v>
      </c>
      <c r="H600" t="s">
        <v>15</v>
      </c>
    </row>
    <row r="601" spans="1:8">
      <c r="A601" t="s">
        <v>125</v>
      </c>
      <c r="B601"/>
      <c r="C601">
        <v>6.5989999999999998E-6</v>
      </c>
      <c r="D601" t="s">
        <v>13</v>
      </c>
      <c r="E601" t="s">
        <v>109</v>
      </c>
      <c r="F601" t="s">
        <v>265</v>
      </c>
      <c r="H601" t="s">
        <v>15</v>
      </c>
    </row>
    <row r="602" spans="1:8">
      <c r="A602" s="50" t="s">
        <v>38</v>
      </c>
      <c r="B602" s="50" t="s">
        <v>39</v>
      </c>
      <c r="C602" s="61">
        <v>0</v>
      </c>
      <c r="D602" s="50" t="s">
        <v>13</v>
      </c>
      <c r="E602" t="s">
        <v>211</v>
      </c>
      <c r="G602" s="50" t="s">
        <v>22</v>
      </c>
      <c r="H602" t="s">
        <v>12</v>
      </c>
    </row>
    <row r="603" spans="1:8">
      <c r="A603" s="50" t="s">
        <v>276</v>
      </c>
      <c r="B603" s="50" t="s">
        <v>277</v>
      </c>
      <c r="C603">
        <v>0</v>
      </c>
      <c r="D603" s="50" t="s">
        <v>13</v>
      </c>
      <c r="E603" t="s">
        <v>211</v>
      </c>
      <c r="G603" s="50" t="s">
        <v>140</v>
      </c>
      <c r="H603" t="s">
        <v>12</v>
      </c>
    </row>
    <row r="604" spans="1:8">
      <c r="A604" s="50" t="s">
        <v>278</v>
      </c>
      <c r="B604" s="50" t="s">
        <v>279</v>
      </c>
      <c r="C604">
        <v>0</v>
      </c>
      <c r="D604" s="50" t="s">
        <v>13</v>
      </c>
      <c r="E604" t="s">
        <v>211</v>
      </c>
      <c r="G604" s="50" t="s">
        <v>140</v>
      </c>
      <c r="H604" t="s">
        <v>12</v>
      </c>
    </row>
    <row r="605" spans="1:8">
      <c r="A605" t="s">
        <v>280</v>
      </c>
      <c r="B605" t="s">
        <v>281</v>
      </c>
      <c r="C605">
        <v>0</v>
      </c>
      <c r="D605" s="50" t="s">
        <v>13</v>
      </c>
      <c r="E605" t="s">
        <v>211</v>
      </c>
      <c r="G605" s="50" t="s">
        <v>140</v>
      </c>
      <c r="H605" t="s">
        <v>12</v>
      </c>
    </row>
    <row r="606" spans="1:8">
      <c r="A606" s="50" t="s">
        <v>282</v>
      </c>
      <c r="B606" s="51" t="s">
        <v>283</v>
      </c>
      <c r="C606">
        <v>0</v>
      </c>
      <c r="D606" s="50" t="s">
        <v>13</v>
      </c>
      <c r="E606" t="s">
        <v>211</v>
      </c>
      <c r="G606" s="50" t="s">
        <v>140</v>
      </c>
      <c r="H606" t="s">
        <v>12</v>
      </c>
    </row>
    <row r="607" spans="1:8">
      <c r="A607" s="50" t="s">
        <v>284</v>
      </c>
      <c r="B607" s="51" t="s">
        <v>285</v>
      </c>
      <c r="C607">
        <v>0</v>
      </c>
      <c r="D607" s="50" t="s">
        <v>13</v>
      </c>
      <c r="E607" t="s">
        <v>211</v>
      </c>
      <c r="G607" s="50" t="s">
        <v>140</v>
      </c>
      <c r="H607" t="s">
        <v>12</v>
      </c>
    </row>
    <row r="608" spans="1:8">
      <c r="A608" s="15" t="s">
        <v>286</v>
      </c>
      <c r="B608" s="51"/>
      <c r="C608">
        <v>0</v>
      </c>
      <c r="D608" s="50" t="s">
        <v>13</v>
      </c>
      <c r="E608" s="50" t="s">
        <v>109</v>
      </c>
      <c r="F608" t="s">
        <v>184</v>
      </c>
      <c r="H608" t="s">
        <v>15</v>
      </c>
    </row>
    <row r="609" spans="1:9">
      <c r="A609" s="15" t="s">
        <v>108</v>
      </c>
      <c r="B609" s="50"/>
      <c r="C609">
        <v>0</v>
      </c>
      <c r="D609" s="50" t="s">
        <v>13</v>
      </c>
      <c r="E609" s="50" t="s">
        <v>109</v>
      </c>
      <c r="F609" t="s">
        <v>184</v>
      </c>
      <c r="H609" t="s">
        <v>15</v>
      </c>
    </row>
    <row r="610" spans="1:9">
      <c r="A610" s="56"/>
      <c r="B610" s="57"/>
      <c r="C610" s="56"/>
      <c r="D610" s="56"/>
      <c r="E610" s="56"/>
      <c r="F610" s="56"/>
      <c r="G610" s="56"/>
      <c r="H610" s="56"/>
      <c r="I610" s="58"/>
    </row>
    <row r="611" spans="1:9">
      <c r="A611" s="43" t="s">
        <v>1</v>
      </c>
      <c r="B611" s="43" t="s">
        <v>290</v>
      </c>
      <c r="I611"/>
    </row>
    <row r="612" spans="1:9">
      <c r="A612" s="46" t="s">
        <v>11</v>
      </c>
      <c r="B612" s="59"/>
      <c r="I612"/>
    </row>
    <row r="613" spans="1:9">
      <c r="A613" s="46" t="s">
        <v>2</v>
      </c>
      <c r="B613" t="s">
        <v>29</v>
      </c>
      <c r="I613"/>
    </row>
    <row r="614" spans="1:9">
      <c r="A614" s="46" t="s">
        <v>3</v>
      </c>
      <c r="B614" s="47">
        <v>1</v>
      </c>
      <c r="I614"/>
    </row>
    <row r="615" spans="1:9">
      <c r="A615" s="46" t="s">
        <v>4</v>
      </c>
      <c r="B615" t="s">
        <v>261</v>
      </c>
      <c r="I615"/>
    </row>
    <row r="616" spans="1:9">
      <c r="A616" s="46" t="s">
        <v>6</v>
      </c>
      <c r="B616" t="s">
        <v>128</v>
      </c>
      <c r="I616"/>
    </row>
    <row r="617" spans="1:9">
      <c r="A617" s="46" t="s">
        <v>76</v>
      </c>
      <c r="B617"/>
      <c r="I617"/>
    </row>
    <row r="618" spans="1:9" ht="15.6">
      <c r="A618" s="30" t="s">
        <v>7</v>
      </c>
      <c r="B618"/>
      <c r="I618"/>
    </row>
    <row r="619" spans="1:9">
      <c r="A619" s="46" t="s">
        <v>8</v>
      </c>
      <c r="B619" s="46" t="s">
        <v>4</v>
      </c>
      <c r="C619" s="46" t="s">
        <v>9</v>
      </c>
      <c r="D619" s="46" t="s">
        <v>6</v>
      </c>
      <c r="E619" s="46" t="s">
        <v>106</v>
      </c>
      <c r="F619" s="46" t="s">
        <v>10</v>
      </c>
      <c r="G619" s="46" t="s">
        <v>2</v>
      </c>
      <c r="H619" s="46" t="s">
        <v>5</v>
      </c>
      <c r="I619" s="46" t="s">
        <v>11</v>
      </c>
    </row>
    <row r="620" spans="1:9">
      <c r="A620" t="s">
        <v>290</v>
      </c>
      <c r="B620" t="s">
        <v>261</v>
      </c>
      <c r="C620">
        <v>1</v>
      </c>
      <c r="D620" t="s">
        <v>128</v>
      </c>
      <c r="E620" s="50"/>
      <c r="G620" t="s">
        <v>29</v>
      </c>
      <c r="H620" t="s">
        <v>18</v>
      </c>
    </row>
    <row r="621" spans="1:9">
      <c r="A621" t="s">
        <v>266</v>
      </c>
      <c r="B621" t="s">
        <v>267</v>
      </c>
      <c r="C621">
        <v>0.14950127537864799</v>
      </c>
      <c r="D621" t="s">
        <v>13</v>
      </c>
      <c r="E621" t="s">
        <v>211</v>
      </c>
      <c r="G621" t="s">
        <v>140</v>
      </c>
      <c r="H621" t="s">
        <v>12</v>
      </c>
    </row>
    <row r="622" spans="1:9">
      <c r="A622" t="s">
        <v>268</v>
      </c>
      <c r="B622" t="s">
        <v>135</v>
      </c>
      <c r="C622">
        <v>0</v>
      </c>
      <c r="D622" t="s">
        <v>6</v>
      </c>
      <c r="E622" t="s">
        <v>211</v>
      </c>
      <c r="G622" t="s">
        <v>140</v>
      </c>
      <c r="H622" t="s">
        <v>12</v>
      </c>
    </row>
    <row r="623" spans="1:9">
      <c r="A623" t="s">
        <v>28</v>
      </c>
      <c r="B623" t="s">
        <v>20</v>
      </c>
      <c r="C623">
        <v>0.65406807978158488</v>
      </c>
      <c r="D623" t="s">
        <v>19</v>
      </c>
      <c r="E623" t="s">
        <v>211</v>
      </c>
      <c r="G623" t="s">
        <v>27</v>
      </c>
      <c r="H623" t="s">
        <v>12</v>
      </c>
    </row>
    <row r="624" spans="1:9">
      <c r="A624" t="s">
        <v>180</v>
      </c>
      <c r="B624" t="s">
        <v>181</v>
      </c>
      <c r="C624">
        <v>0</v>
      </c>
      <c r="D624" t="s">
        <v>13</v>
      </c>
      <c r="E624" t="s">
        <v>211</v>
      </c>
      <c r="G624" t="s">
        <v>49</v>
      </c>
      <c r="H624" t="s">
        <v>12</v>
      </c>
    </row>
    <row r="625" spans="1:8">
      <c r="A625" t="s">
        <v>269</v>
      </c>
      <c r="B625" t="s">
        <v>270</v>
      </c>
      <c r="C625">
        <v>0</v>
      </c>
      <c r="D625" t="s">
        <v>13</v>
      </c>
      <c r="E625" t="s">
        <v>211</v>
      </c>
      <c r="G625" t="s">
        <v>140</v>
      </c>
      <c r="H625" t="s">
        <v>12</v>
      </c>
    </row>
    <row r="626" spans="1:8">
      <c r="A626" t="s">
        <v>271</v>
      </c>
      <c r="B626" s="19" t="s">
        <v>197</v>
      </c>
      <c r="C626">
        <v>1.8687659422330998</v>
      </c>
      <c r="D626" s="45" t="s">
        <v>128</v>
      </c>
      <c r="G626" s="50" t="s">
        <v>29</v>
      </c>
      <c r="H626" t="s">
        <v>12</v>
      </c>
    </row>
    <row r="627" spans="1:8">
      <c r="A627" t="s">
        <v>218</v>
      </c>
      <c r="B627"/>
      <c r="C627">
        <v>1.7398751234684424</v>
      </c>
      <c r="D627" t="s">
        <v>13</v>
      </c>
      <c r="E627" t="s">
        <v>109</v>
      </c>
      <c r="F627" t="s">
        <v>184</v>
      </c>
      <c r="H627" t="s">
        <v>15</v>
      </c>
    </row>
    <row r="628" spans="1:8">
      <c r="A628" t="s">
        <v>262</v>
      </c>
      <c r="B628"/>
      <c r="C628">
        <v>0</v>
      </c>
      <c r="D628" t="s">
        <v>46</v>
      </c>
      <c r="E628" t="s">
        <v>109</v>
      </c>
      <c r="F628" t="s">
        <v>184</v>
      </c>
      <c r="H628" t="s">
        <v>15</v>
      </c>
    </row>
    <row r="629" spans="1:8">
      <c r="A629" t="s">
        <v>263</v>
      </c>
      <c r="B629"/>
      <c r="C629">
        <v>0</v>
      </c>
      <c r="D629" t="s">
        <v>13</v>
      </c>
      <c r="E629" t="s">
        <v>109</v>
      </c>
      <c r="F629" t="s">
        <v>184</v>
      </c>
      <c r="H629" t="s">
        <v>15</v>
      </c>
    </row>
    <row r="630" spans="1:8">
      <c r="A630" t="s">
        <v>185</v>
      </c>
      <c r="B630"/>
      <c r="C630">
        <v>3.4834928759999994E-4</v>
      </c>
      <c r="D630" t="s">
        <v>13</v>
      </c>
      <c r="E630" t="s">
        <v>109</v>
      </c>
      <c r="F630" t="s">
        <v>184</v>
      </c>
      <c r="H630" t="s">
        <v>15</v>
      </c>
    </row>
    <row r="631" spans="1:8">
      <c r="A631" t="s">
        <v>264</v>
      </c>
      <c r="B631"/>
      <c r="C631">
        <v>0</v>
      </c>
      <c r="D631" t="s">
        <v>13</v>
      </c>
      <c r="E631" t="s">
        <v>109</v>
      </c>
      <c r="F631" t="s">
        <v>25</v>
      </c>
      <c r="H631" t="s">
        <v>15</v>
      </c>
    </row>
    <row r="632" spans="1:8">
      <c r="A632" t="s">
        <v>125</v>
      </c>
      <c r="B632"/>
      <c r="C632">
        <v>0</v>
      </c>
      <c r="D632" t="s">
        <v>13</v>
      </c>
      <c r="E632" t="s">
        <v>109</v>
      </c>
      <c r="F632" t="s">
        <v>265</v>
      </c>
      <c r="H632" t="s">
        <v>15</v>
      </c>
    </row>
    <row r="633" spans="1:8">
      <c r="A633" s="50" t="s">
        <v>38</v>
      </c>
      <c r="B633" s="50" t="s">
        <v>39</v>
      </c>
      <c r="C633" s="61">
        <v>0</v>
      </c>
      <c r="D633" s="50" t="s">
        <v>13</v>
      </c>
      <c r="E633" t="s">
        <v>211</v>
      </c>
      <c r="G633" s="50" t="s">
        <v>22</v>
      </c>
      <c r="H633" t="s">
        <v>12</v>
      </c>
    </row>
    <row r="634" spans="1:8">
      <c r="A634" s="50" t="s">
        <v>276</v>
      </c>
      <c r="B634" s="50" t="s">
        <v>277</v>
      </c>
      <c r="C634">
        <v>0</v>
      </c>
      <c r="D634" s="50" t="s">
        <v>13</v>
      </c>
      <c r="E634" t="s">
        <v>211</v>
      </c>
      <c r="G634" s="50" t="s">
        <v>140</v>
      </c>
      <c r="H634" t="s">
        <v>12</v>
      </c>
    </row>
    <row r="635" spans="1:8">
      <c r="A635" s="50" t="s">
        <v>278</v>
      </c>
      <c r="B635" s="50" t="s">
        <v>279</v>
      </c>
      <c r="C635">
        <v>0</v>
      </c>
      <c r="D635" s="50" t="s">
        <v>13</v>
      </c>
      <c r="E635" t="s">
        <v>211</v>
      </c>
      <c r="G635" s="50" t="s">
        <v>140</v>
      </c>
      <c r="H635" t="s">
        <v>12</v>
      </c>
    </row>
    <row r="636" spans="1:8">
      <c r="A636" t="s">
        <v>280</v>
      </c>
      <c r="B636" t="s">
        <v>281</v>
      </c>
      <c r="C636">
        <v>0</v>
      </c>
      <c r="D636" s="50" t="s">
        <v>13</v>
      </c>
      <c r="E636" t="s">
        <v>211</v>
      </c>
      <c r="G636" s="50" t="s">
        <v>140</v>
      </c>
      <c r="H636" t="s">
        <v>12</v>
      </c>
    </row>
    <row r="637" spans="1:8">
      <c r="A637" s="50" t="s">
        <v>282</v>
      </c>
      <c r="B637" s="51" t="s">
        <v>283</v>
      </c>
      <c r="C637">
        <v>0</v>
      </c>
      <c r="D637" s="50" t="s">
        <v>13</v>
      </c>
      <c r="E637" t="s">
        <v>211</v>
      </c>
      <c r="G637" s="50" t="s">
        <v>140</v>
      </c>
      <c r="H637" t="s">
        <v>12</v>
      </c>
    </row>
    <row r="638" spans="1:8">
      <c r="A638" s="50" t="s">
        <v>284</v>
      </c>
      <c r="B638" s="51" t="s">
        <v>285</v>
      </c>
      <c r="C638">
        <v>0</v>
      </c>
      <c r="D638" s="50" t="s">
        <v>13</v>
      </c>
      <c r="E638" t="s">
        <v>211</v>
      </c>
      <c r="G638" s="50" t="s">
        <v>140</v>
      </c>
      <c r="H638" t="s">
        <v>12</v>
      </c>
    </row>
    <row r="639" spans="1:8">
      <c r="A639" s="15" t="s">
        <v>286</v>
      </c>
      <c r="B639" s="51"/>
      <c r="C639">
        <v>0</v>
      </c>
      <c r="D639" s="50" t="s">
        <v>13</v>
      </c>
      <c r="E639" s="50" t="s">
        <v>109</v>
      </c>
      <c r="F639" t="s">
        <v>184</v>
      </c>
      <c r="H639" t="s">
        <v>15</v>
      </c>
    </row>
    <row r="640" spans="1:8">
      <c r="A640" s="15" t="s">
        <v>108</v>
      </c>
      <c r="B640" s="50"/>
      <c r="C640">
        <v>0</v>
      </c>
      <c r="D640" s="50" t="s">
        <v>13</v>
      </c>
      <c r="E640" s="50" t="s">
        <v>109</v>
      </c>
      <c r="F640" t="s">
        <v>184</v>
      </c>
      <c r="H640" t="s">
        <v>15</v>
      </c>
    </row>
    <row r="641" spans="1:9">
      <c r="A641" s="56"/>
      <c r="B641" s="57"/>
      <c r="C641" s="56"/>
      <c r="D641" s="56"/>
      <c r="E641" s="56"/>
      <c r="F641" s="56"/>
      <c r="G641" s="56"/>
      <c r="H641" s="56"/>
      <c r="I641" s="58"/>
    </row>
    <row r="642" spans="1:9">
      <c r="A642" s="46"/>
    </row>
    <row r="643" spans="1:9">
      <c r="A643" s="46"/>
    </row>
    <row r="644" spans="1:9">
      <c r="A644" s="46"/>
    </row>
    <row r="645" spans="1:9">
      <c r="A645" s="46"/>
    </row>
    <row r="646" spans="1:9">
      <c r="A646" s="46"/>
    </row>
    <row r="647" spans="1:9">
      <c r="A647" s="46"/>
    </row>
    <row r="648" spans="1:9">
      <c r="A648" s="46"/>
    </row>
    <row r="649" spans="1:9">
      <c r="A649" s="46"/>
    </row>
    <row r="650" spans="1:9">
      <c r="A650" s="46"/>
    </row>
    <row r="651" spans="1:9" s="46" customFormat="1">
      <c r="C651" s="39"/>
    </row>
    <row r="652" spans="1:9">
      <c r="A652" s="19"/>
      <c r="C652" s="19"/>
      <c r="I652"/>
    </row>
    <row r="653" spans="1:9">
      <c r="B653"/>
      <c r="C653" s="19"/>
      <c r="I653"/>
    </row>
    <row r="654" spans="1:9">
      <c r="B654"/>
      <c r="C654" s="19"/>
      <c r="I654"/>
    </row>
    <row r="655" spans="1:9">
      <c r="B655"/>
      <c r="C655" s="19"/>
      <c r="I655"/>
    </row>
    <row r="656" spans="1:9">
      <c r="B656"/>
      <c r="C656" s="19"/>
      <c r="I656"/>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defaultColWidth="11.44140625" defaultRowHeight="14.4"/>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50000000000001"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50000000000001"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6">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2025-03-20T14:29:47Z</dcterms:modified>
</cp:coreProperties>
</file>