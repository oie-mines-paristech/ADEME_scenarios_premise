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260" documentId="13_ncr:1_{1521C391-BCF6-4923-B754-ECBD64DA2349}" xr6:coauthVersionLast="47" xr6:coauthVersionMax="47" xr10:uidLastSave="{B80BF9B0-457C-49AA-B771-15865184CE48}"/>
  <bookViews>
    <workbookView xWindow="-120" yWindow="-120" windowWidth="29040" windowHeight="15720"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78" i="1" l="1"/>
  <c r="D178" i="1"/>
  <c r="A178" i="1"/>
  <c r="C409" i="1" l="1"/>
  <c r="C33" i="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<sst xmlns="http://schemas.openxmlformats.org/spreadsheetml/2006/main" count="2382" uniqueCount="291">
  <si>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</si>
  <si>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</si>
  <si>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</si>
  <si>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</si>
  <si>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</si>
  <si>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</si>
  <si>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</si>
  <si>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</si>
  <si>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</si>
  <si>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</si>
  <si>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</si>
  <si>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</si>
  <si>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</si>
  <si>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</si>
  <si>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</si>
  <si>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</si>
  <si>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</si>
  <si>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</si>
  <si>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</si>
  <si>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</si>
  <si>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</si>
  <si>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</si>
  <si>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</si>
  <si>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</si>
  <si>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</si>
  <si>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</si>
  <si>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</si>
  <si>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</si>
  <si>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</si>
  <si>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</si>
  <si>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</si>
  <si>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</si>
  <si>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</si>
  <si>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</si>
  <si>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</si>
  <si>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</si>
  <si>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</si>
  <si>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</si>
  <si>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</si>
  <si>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</si>
  <si>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</si>
  <si>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</si>
  <si>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</si>
  <si>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</si>
  <si>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</si>
  <si>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</si>
  <si>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</si>
  <si>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</si>
  <si>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</si>
  <si>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</si>
  <si>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</si>
  <si>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</si>
  <si>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</si>
  <si>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</si>
  <si>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</si>
  <si>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</si>
  <si>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</si>
  <si>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</si>
  <si>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</si>
  <si>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</si>
  <si>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</si>
  <si>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</si>
  <si>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</si>
  <si>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</si>
  <si>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</si>
  <si>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</si>
  <si>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</si>
  <si>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</si>
  <si>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</si>
  <si>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</si>
  <si>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</si>
  <si>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</si>
  <si>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</si>
  <si>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</si>
  <si>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</si>
  <si>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</si>
  <si>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</si>
  <si>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</si>
  <si>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</si>
  <si>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</si>
  <si>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</si>
  <si>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</si>
  <si>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</si>
  <si>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</si>
  <si>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</si>
  <si>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</si>
  <si>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</si>
  <si>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</si>
  <si>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</si>
  <si>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</si>
  <si>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</si>
  <si>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</si>
  <si>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</si>
  <si>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</si>
  <si>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</si>
  <si>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</si>
  <si>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</si>
  <si>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</si>
  <si>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</si>
  <si>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</si>
  <si>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</si>
  <si>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</si>
  <si>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</si>
  <si>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</si>
  <si>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</si>
  <si>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</si>
  <si>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</si>
  <si>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</si>
  <si>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</si>
  <si>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</si>
  <si>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</si>
  <si>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</si>
  <si>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</si>
  <si>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</si>
  <si>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</si>
  <si>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</si>
  <si>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</si>
  <si>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</si>
  <si>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</si>
  <si>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</si>
  <si>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</si>
  <si>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</si>
  <si>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</si>
  <si>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</si>
  <si>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</si>
  <si>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</si>
  <si>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</si>
  <si>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</si>
  <si>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</si>
  <si>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</si>
  <si>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</si>
  <si>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</si>
  <si>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</si>
  <si>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</si>
  <si>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</si>
  <si>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</si>
  <si>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</si>
  <si>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</si>
  <si>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</si>
  <si>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</si>
  <si>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</si>
  <si>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</si>
  <si>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</si>
  <si>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</si>
  <si>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</si>
  <si>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</si>
  <si>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</si>
  <si>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</si>
  <si>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</si>
  <si>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</si>
  <si>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</si>
  <si>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</si>
  <si>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</si>
  <si>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</si>
  <si>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</si>
  <si>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</si>
  <si>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</si>
  <si>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</si>
  <si>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</si>
  <si>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</si>
  <si>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</si>
  <si>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</si>
  <si>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</si>
  <si>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</si>
  <si>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</si>
  <si>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</si>
  <si>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</si>
  <si>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</si>
  <si>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</si>
  <si>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</si>
  <si>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</si>
  <si>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</si>
  <si>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</si>
  <si>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</si>
  <si>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</si>
  <si>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</si>
  <si>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</si>
  <si>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</si>
  <si>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</si>
  <si>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</si>
  <si>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</si>
  <si>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</si>
  <si>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</si>
  <si>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</si>
  <si>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</si>
  <si>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</si>
  <si>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</si>
  <si>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</si>
  <si>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</si>
  <si>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</si>
  <si>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</si>
  <si>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</si>
  <si>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</si>
  <si>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</si>
  <si>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</si>
  <si>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</si>
  <si>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</si>
  <si>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</si>
  <si>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</si>
  <si>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</si>
  <si>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</si>
  <si>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</si>
  <si>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</si>
  <si>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</si>
  <si>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</si>
  <si>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</si>
  <si>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</si>
  <si>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</si>
  <si>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</si>
  <si>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</si>
  <si>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</si>
  <si>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</si>
  <si>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</si>
  <si>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</si>
  <si>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</si>
  <si>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</si>
  <si>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</si>
  <si>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</si>
  <si>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</si>
  <si>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</si>
  <si>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</si>
  <si>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</si>
  <si>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</si>
  <si>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</si>
  <si>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</si>
  <si>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</si>
  <si>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</si>
  <si>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</si>
  <si>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</si>
  <si>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</si>
  <si>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</si>
  <si>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</si>
  <si>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</si>
  <si>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</si>
  <si>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</si>
  <si>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</si>
  <si>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</si>
  <si>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</si>
  <si>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</si>
  <si>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</si>
  <si>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</si>
  <si>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</si>
  <si>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</si>
  <si>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</si>
  <si>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</si>
  <si>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</si>
  <si>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</si>
  <si>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</si>
  <si>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</si>
  <si>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</si>
  <si>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</si>
  <si>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</si>
  <si>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</si>
  <si>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</si>
  <si>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</si>
  <si>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transport of crop to the anaerobic digestion plant</t>
  </si>
  <si>
    <t>Nitrate</t>
  </si>
  <si>
    <t>water::ground-</t>
  </si>
  <si>
    <t>nitrate percolation of 88 kg NO3- per ha (Lodato et al., 2022)</t>
  </si>
  <si>
    <t>market for inorganic nitrogen fertiliser, as N</t>
  </si>
  <si>
    <t>The data presented is derived from information available from the manufacturer of biogas upgrading plants. The upgraded gas leaves the process with a pressure of 5 bar. For the composition of the product gas we assume a share of more than 96 Vol. % of methane.
[This dataset is meant to replace the following datasets:]
Geography:  Plants using the described technology are in operation in Switzerland.
Technology:  Membrane technology</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</si>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</sst>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E+00"/>
    <numFmt numFmtId="165" formatCode="0.000"/>
    <numFmt numFmtId="166" formatCode="0.0000000000"/>
  </numFmts>
  <fonts count="17">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s>
  <fills count="7">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00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62">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0" fontId="13" fillId="0" borderId="0" xfId="1" applyFont="1"/>
    <xf numFmtId="165" fontId="14" fillId="0" borderId="0" xfId="1" applyNumberFormat="1" applyFont="1"/>
    <xf numFmtId="0" fontId="16" fillId="0" borderId="0" xfId="0" applyFont="1"/>
    <xf numFmtId="0" fontId="0" fillId="5" borderId="0" xfId="0" applyFill="1"/>
    <xf numFmtId="11" fontId="0" fillId="5" borderId="0" xfId="0" applyNumberFormat="1" applyFill="1"/>
    <xf numFmtId="0" fontId="0" fillId="5" borderId="1" xfId="0" applyFill="1" applyBorder="1"/>
    <xf numFmtId="0" fontId="0" fillId="6" borderId="0" xfId="0" applyFill="1"/>
    <xf numFmtId="166" fontId="0" fillId="0" borderId="0" xfId="0" applyNumberFormat="1"/>
    <xf numFmtId="1" fontId="0" fillId="0" borderId="0" xfId="0" applyNumberFormat="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544"/>
  <sheetViews>
    <sheetView tabSelected="1" topLeftCell="A509" zoomScaleNormal="100" workbookViewId="0">
      <selection activeCell="D520" sqref="D520"/>
    </sheetView>
  </sheetViews>
  <sheetFormatPr defaultColWidth="8.88671875" defaultRowHeight="14.4"/>
  <cols>
    <col min="1" max="1" width="55.44140625" customWidth="1"/>
    <col min="2" max="2" width="18.5546875" style="19" customWidth="1"/>
    <col min="3" max="3" width="17.109375" customWidth="1"/>
    <col min="4" max="4" width="24.44140625" bestFit="1" customWidth="1"/>
    <col min="5" max="5" width="26.44140625" customWidth="1"/>
    <col min="6" max="6" width="14.88671875" bestFit="1" customWidth="1"/>
    <col min="7" max="7" width="33.44140625" bestFit="1" customWidth="1"/>
    <col min="8" max="8" width="19.5546875" bestFit="1" customWidth="1"/>
    <col min="9" max="9" width="99.1093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6">
      <c r="A5" s="30" t="s">
        <v>1</v>
      </c>
      <c r="B5" s="30"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6">
      <c r="A13" s="30" t="s">
        <v>7</v>
      </c>
      <c r="B13"/>
      <c r="I13"/>
      <c r="M13" t="s">
        <v>74</v>
      </c>
    </row>
    <row r="14" spans="1:14" ht="15.6">
      <c r="A14" s="30" t="s">
        <v>8</v>
      </c>
      <c r="B14" s="30" t="s">
        <v>9</v>
      </c>
      <c r="C14" s="30" t="s">
        <v>2</v>
      </c>
      <c r="D14" s="30" t="s">
        <v>6</v>
      </c>
      <c r="E14" s="30" t="s">
        <v>10</v>
      </c>
      <c r="F14" s="30" t="s">
        <v>5</v>
      </c>
      <c r="G14" s="30" t="s">
        <v>4</v>
      </c>
      <c r="H14" s="30" t="s">
        <v>11</v>
      </c>
      <c r="I14" s="33"/>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t="s">
        <v>98</v>
      </c>
      <c r="B16">
        <v>1.33</v>
      </c>
      <c r="C16" t="s">
        <v>29</v>
      </c>
      <c r="D16" t="s">
        <v>19</v>
      </c>
      <c r="F16" t="s">
        <v>12</v>
      </c>
      <c r="G16" t="s">
        <v>31</v>
      </c>
      <c r="H16" t="s">
        <v>79</v>
      </c>
      <c r="I16" s="8"/>
      <c r="J16" s="8"/>
      <c r="K16" s="8"/>
      <c r="L16" s="8"/>
      <c r="M16" s="8"/>
      <c r="N16" s="8"/>
    </row>
    <row r="17" spans="1:11">
      <c r="A17" t="s">
        <v>80</v>
      </c>
      <c r="B17" s="34">
        <f>1/(49000000)</f>
        <v>2.0408163265306123E-8</v>
      </c>
      <c r="C17" t="s">
        <v>49</v>
      </c>
      <c r="D17" t="s">
        <v>6</v>
      </c>
      <c r="F17" t="s">
        <v>12</v>
      </c>
      <c r="G17" t="s">
        <v>81</v>
      </c>
      <c r="H17" t="s">
        <v>82</v>
      </c>
      <c r="I17"/>
    </row>
    <row r="18" spans="1:11">
      <c r="A18" t="s">
        <v>83</v>
      </c>
      <c r="B18" s="34">
        <f>1/(49000000)</f>
        <v>2.0408163265306123E-8</v>
      </c>
      <c r="C18" t="s">
        <v>49</v>
      </c>
      <c r="D18" t="s">
        <v>6</v>
      </c>
      <c r="F18" t="s">
        <v>12</v>
      </c>
      <c r="G18" t="s">
        <v>84</v>
      </c>
      <c r="H18" t="s">
        <v>85</v>
      </c>
      <c r="I18"/>
    </row>
    <row r="19" spans="1:11">
      <c r="A19" t="s">
        <v>86</v>
      </c>
      <c r="B19" s="34">
        <f>-0.41/1000</f>
        <v>-4.0999999999999999E-4</v>
      </c>
      <c r="C19" t="s">
        <v>49</v>
      </c>
      <c r="D19" t="s">
        <v>13</v>
      </c>
      <c r="F19" t="s">
        <v>12</v>
      </c>
      <c r="G19" t="s">
        <v>87</v>
      </c>
      <c r="H19" t="s">
        <v>88</v>
      </c>
      <c r="I19"/>
    </row>
    <row r="20" spans="1:11">
      <c r="A20" t="s">
        <v>89</v>
      </c>
      <c r="B20">
        <f>-0.66/1000</f>
        <v>-6.6E-4</v>
      </c>
      <c r="C20" t="s">
        <v>49</v>
      </c>
      <c r="D20" t="s">
        <v>13</v>
      </c>
      <c r="F20" t="s">
        <v>12</v>
      </c>
      <c r="G20" t="s">
        <v>90</v>
      </c>
      <c r="H20" t="s">
        <v>91</v>
      </c>
      <c r="I20"/>
    </row>
    <row r="21" spans="1:11">
      <c r="A21" t="s">
        <v>92</v>
      </c>
      <c r="B21">
        <f>-5.55/1000</f>
        <v>-5.5500000000000002E-3</v>
      </c>
      <c r="C21" t="s">
        <v>49</v>
      </c>
      <c r="D21" t="s">
        <v>13</v>
      </c>
      <c r="F21" t="s">
        <v>12</v>
      </c>
      <c r="G21" t="s">
        <v>93</v>
      </c>
      <c r="H21" t="s">
        <v>94</v>
      </c>
      <c r="I21"/>
    </row>
    <row r="22" spans="1:11">
      <c r="A22" t="s">
        <v>95</v>
      </c>
      <c r="B22">
        <f>-0.1/1000</f>
        <v>-1E-4</v>
      </c>
      <c r="C22" t="s">
        <v>49</v>
      </c>
      <c r="D22" t="s">
        <v>13</v>
      </c>
      <c r="F22" t="s">
        <v>12</v>
      </c>
      <c r="G22" t="s">
        <v>96</v>
      </c>
      <c r="H22" t="s">
        <v>97</v>
      </c>
      <c r="I22"/>
    </row>
    <row r="23" spans="1:11">
      <c r="B23"/>
      <c r="I23"/>
    </row>
    <row r="24" spans="1:11">
      <c r="B24"/>
      <c r="I24"/>
    </row>
    <row r="25" spans="1:11">
      <c r="A25" s="4" t="s">
        <v>1</v>
      </c>
      <c r="B25" s="39" t="s">
        <v>194</v>
      </c>
      <c r="C25" s="13"/>
      <c r="D25" s="9"/>
      <c r="E25" s="9"/>
      <c r="F25" s="9"/>
      <c r="G25" s="9"/>
      <c r="H25" s="9"/>
      <c r="I25" s="11"/>
      <c r="K25" s="8"/>
    </row>
    <row r="26" spans="1:11">
      <c r="A26" s="6" t="s">
        <v>3</v>
      </c>
      <c r="B26" s="14">
        <v>1</v>
      </c>
      <c r="C26" s="9"/>
      <c r="D26" s="9"/>
      <c r="E26" s="9"/>
      <c r="F26" s="9"/>
      <c r="G26" s="9"/>
      <c r="H26" s="9"/>
      <c r="I26" s="11"/>
      <c r="K26" s="8"/>
    </row>
    <row r="27" spans="1:11">
      <c r="A27" s="6" t="s">
        <v>11</v>
      </c>
      <c r="B27" s="15" t="s">
        <v>177</v>
      </c>
      <c r="C27" s="9"/>
      <c r="D27" s="9"/>
      <c r="E27" s="9"/>
      <c r="F27" s="9"/>
      <c r="G27" s="9"/>
      <c r="H27" s="9"/>
      <c r="I27" s="11"/>
      <c r="K27" s="8"/>
    </row>
    <row r="28" spans="1:11">
      <c r="A28" s="6" t="s">
        <v>4</v>
      </c>
      <c r="B28" t="s">
        <v>31</v>
      </c>
      <c r="C28" s="9"/>
      <c r="D28" s="9"/>
      <c r="E28" s="9"/>
      <c r="F28" s="9"/>
      <c r="G28" s="9"/>
      <c r="H28" s="9"/>
      <c r="I28" s="11"/>
      <c r="K28" s="8"/>
    </row>
    <row r="29" spans="1:11">
      <c r="A29" s="6" t="s">
        <v>2</v>
      </c>
      <c r="B29" s="15" t="s">
        <v>29</v>
      </c>
      <c r="C29" s="9"/>
      <c r="D29" s="9"/>
      <c r="E29" s="9"/>
      <c r="F29" s="9"/>
      <c r="G29" s="9"/>
      <c r="H29" s="9"/>
      <c r="I29" s="11"/>
      <c r="K29" s="8"/>
    </row>
    <row r="30" spans="1:11">
      <c r="A30" s="6" t="s">
        <v>6</v>
      </c>
      <c r="B30" s="10" t="s">
        <v>19</v>
      </c>
      <c r="C30" s="9"/>
      <c r="D30" s="9"/>
      <c r="E30" s="9"/>
      <c r="F30" s="9"/>
      <c r="G30" s="9"/>
      <c r="H30" s="16"/>
      <c r="I30" s="17"/>
      <c r="K30" s="8"/>
    </row>
    <row r="31" spans="1:11">
      <c r="A31" s="16" t="s">
        <v>7</v>
      </c>
      <c r="B31" s="12"/>
      <c r="C31" s="16"/>
      <c r="D31" s="16"/>
      <c r="E31" s="16"/>
      <c r="F31" s="16"/>
      <c r="G31" s="16"/>
      <c r="H31" s="13"/>
      <c r="I31" s="18"/>
      <c r="K31" s="8"/>
    </row>
    <row r="32" spans="1:11">
      <c r="A32" t="s">
        <v>8</v>
      </c>
      <c r="B32" s="19" t="s">
        <v>9</v>
      </c>
      <c r="C32" t="s">
        <v>2</v>
      </c>
      <c r="D32" t="s">
        <v>6</v>
      </c>
      <c r="E32" t="s">
        <v>5</v>
      </c>
      <c r="F32" t="s">
        <v>4</v>
      </c>
      <c r="G32" t="s">
        <v>10</v>
      </c>
      <c r="H32" s="20" t="s">
        <v>11</v>
      </c>
      <c r="J32" s="1"/>
      <c r="K32" s="8"/>
    </row>
    <row r="33" spans="1:11">
      <c r="A33" s="19" t="s">
        <v>194</v>
      </c>
      <c r="B33" s="19">
        <v>1</v>
      </c>
      <c r="C33" t="str">
        <f>B29</f>
        <v>FR</v>
      </c>
      <c r="D33" s="10" t="s">
        <v>19</v>
      </c>
      <c r="E33" t="s">
        <v>18</v>
      </c>
      <c r="F33" t="s">
        <v>31</v>
      </c>
      <c r="G33" s="13"/>
      <c r="H33" s="18"/>
      <c r="K33" s="8"/>
    </row>
    <row r="34" spans="1:11">
      <c r="A34" t="s">
        <v>178</v>
      </c>
      <c r="B34" s="19">
        <v>4.0404040404040398E-13</v>
      </c>
      <c r="C34" t="s">
        <v>49</v>
      </c>
      <c r="D34" t="s">
        <v>6</v>
      </c>
      <c r="E34" t="s">
        <v>12</v>
      </c>
      <c r="F34" t="s">
        <v>179</v>
      </c>
    </row>
    <row r="35" spans="1:11">
      <c r="A35" t="s">
        <v>180</v>
      </c>
      <c r="B35" s="19">
        <v>7.5599999999999996E-6</v>
      </c>
      <c r="C35" t="s">
        <v>49</v>
      </c>
      <c r="D35" t="s">
        <v>13</v>
      </c>
      <c r="E35" t="s">
        <v>12</v>
      </c>
      <c r="F35" t="s">
        <v>181</v>
      </c>
    </row>
    <row r="36" spans="1:11">
      <c r="A36" t="s">
        <v>182</v>
      </c>
      <c r="B36" s="19">
        <v>-7.5599999999999996E-6</v>
      </c>
      <c r="C36" t="s">
        <v>22</v>
      </c>
      <c r="D36" t="s">
        <v>13</v>
      </c>
      <c r="E36" t="s">
        <v>12</v>
      </c>
      <c r="F36" t="s">
        <v>183</v>
      </c>
    </row>
    <row r="37" spans="1:11">
      <c r="A37" t="s">
        <v>98</v>
      </c>
      <c r="B37" s="19">
        <v>1.25125</v>
      </c>
      <c r="C37" s="40" t="s">
        <v>29</v>
      </c>
      <c r="D37" t="s">
        <v>19</v>
      </c>
      <c r="E37" t="s">
        <v>12</v>
      </c>
      <c r="F37" t="s">
        <v>31</v>
      </c>
    </row>
    <row r="38" spans="1:11">
      <c r="A38" t="s">
        <v>115</v>
      </c>
      <c r="B38" s="19">
        <v>7.7000000000000001E-8</v>
      </c>
      <c r="D38" t="s">
        <v>13</v>
      </c>
      <c r="E38" t="s">
        <v>15</v>
      </c>
      <c r="G38" t="s">
        <v>184</v>
      </c>
    </row>
    <row r="39" spans="1:11">
      <c r="A39" t="s">
        <v>185</v>
      </c>
      <c r="B39" s="19">
        <v>1.4E-5</v>
      </c>
      <c r="D39" t="s">
        <v>13</v>
      </c>
      <c r="E39" t="s">
        <v>15</v>
      </c>
      <c r="G39" t="s">
        <v>184</v>
      </c>
    </row>
    <row r="40" spans="1:11">
      <c r="A40" t="s">
        <v>130</v>
      </c>
      <c r="B40" s="19">
        <v>2.49876858810916E-4</v>
      </c>
      <c r="D40" t="s">
        <v>128</v>
      </c>
      <c r="E40" t="s">
        <v>15</v>
      </c>
      <c r="G40" t="s">
        <v>25</v>
      </c>
    </row>
    <row r="41" spans="1:11">
      <c r="A41" t="s">
        <v>130</v>
      </c>
      <c r="B41" s="19">
        <v>1.1580501231411899</v>
      </c>
      <c r="D41" t="s">
        <v>128</v>
      </c>
      <c r="E41" t="s">
        <v>15</v>
      </c>
      <c r="G41" t="s">
        <v>131</v>
      </c>
    </row>
    <row r="42" spans="1:11">
      <c r="A42" t="s">
        <v>186</v>
      </c>
      <c r="B42" s="19">
        <v>3.4499999999999999E-3</v>
      </c>
      <c r="D42" t="s">
        <v>17</v>
      </c>
      <c r="E42" t="s">
        <v>15</v>
      </c>
      <c r="G42" t="s">
        <v>16</v>
      </c>
    </row>
    <row r="43" spans="1:11">
      <c r="A43" t="s">
        <v>187</v>
      </c>
      <c r="B43" s="19">
        <v>2.3E-5</v>
      </c>
      <c r="D43" t="s">
        <v>188</v>
      </c>
      <c r="E43" t="s">
        <v>15</v>
      </c>
      <c r="G43" t="s">
        <v>16</v>
      </c>
    </row>
    <row r="44" spans="1:11">
      <c r="A44" t="s">
        <v>189</v>
      </c>
      <c r="B44" s="19">
        <v>2.2999999999999999E-7</v>
      </c>
      <c r="D44" t="s">
        <v>188</v>
      </c>
      <c r="E44" t="s">
        <v>15</v>
      </c>
      <c r="G44" t="s">
        <v>16</v>
      </c>
    </row>
    <row r="45" spans="1:11">
      <c r="A45" t="s">
        <v>190</v>
      </c>
      <c r="B45" s="19">
        <v>2.2770000000000001E-5</v>
      </c>
      <c r="D45" t="s">
        <v>188</v>
      </c>
      <c r="E45" t="s">
        <v>15</v>
      </c>
      <c r="G45" t="s">
        <v>16</v>
      </c>
    </row>
    <row r="46" spans="1:11">
      <c r="A46" t="s">
        <v>191</v>
      </c>
      <c r="B46" s="19">
        <v>0.15</v>
      </c>
      <c r="D46" t="s">
        <v>192</v>
      </c>
      <c r="E46" t="s">
        <v>15</v>
      </c>
      <c r="G46" t="s">
        <v>129</v>
      </c>
    </row>
    <row r="47" spans="1:11">
      <c r="A47" t="s">
        <v>193</v>
      </c>
      <c r="B47" s="19">
        <v>1.1583000000000001</v>
      </c>
      <c r="D47" t="s">
        <v>128</v>
      </c>
      <c r="E47" t="s">
        <v>15</v>
      </c>
      <c r="G47" t="s">
        <v>129</v>
      </c>
    </row>
    <row r="48" spans="1:11">
      <c r="B48"/>
      <c r="I48"/>
    </row>
    <row r="49" spans="1:20">
      <c r="B49"/>
      <c r="I49"/>
    </row>
    <row r="50" spans="1:20" s="25" customFormat="1" ht="15.6">
      <c r="A50" s="4" t="s">
        <v>1</v>
      </c>
      <c r="B50" s="39" t="s">
        <v>172</v>
      </c>
      <c r="C50" s="4"/>
      <c r="D50" s="39"/>
      <c r="E50" s="4"/>
      <c r="F50" s="39"/>
      <c r="G50" s="4"/>
      <c r="H50" s="39"/>
      <c r="K50" s="26"/>
      <c r="L50" s="26"/>
      <c r="M50" s="26"/>
      <c r="N50" s="26"/>
      <c r="O50" s="26"/>
      <c r="P50" s="26"/>
    </row>
    <row r="51" spans="1:20" s="25" customFormat="1" ht="15.6">
      <c r="A51" s="4" t="s">
        <v>3</v>
      </c>
      <c r="B51">
        <v>1</v>
      </c>
      <c r="C51" s="4"/>
      <c r="D51" s="39"/>
      <c r="E51" s="4"/>
      <c r="F51" s="39"/>
      <c r="G51" s="4"/>
      <c r="H51" s="39"/>
      <c r="K51" s="26"/>
      <c r="L51" s="26"/>
      <c r="M51" s="26"/>
      <c r="N51" s="26"/>
      <c r="O51" s="26"/>
      <c r="P51" s="26"/>
    </row>
    <row r="52" spans="1:20" s="25" customFormat="1" ht="15.6">
      <c r="A52" s="4" t="s">
        <v>11</v>
      </c>
      <c r="B52" t="s">
        <v>56</v>
      </c>
      <c r="C52" s="4"/>
      <c r="D52" s="39"/>
      <c r="E52" s="4"/>
      <c r="F52" s="39"/>
      <c r="G52" s="4"/>
      <c r="H52" s="39"/>
      <c r="K52" s="26"/>
      <c r="L52" s="26"/>
      <c r="M52" s="26"/>
      <c r="N52" s="26"/>
      <c r="O52" s="26"/>
      <c r="P52" s="26"/>
    </row>
    <row r="53" spans="1:20" s="25" customFormat="1" ht="15.6">
      <c r="A53" s="4" t="s">
        <v>4</v>
      </c>
      <c r="B53" t="s">
        <v>57</v>
      </c>
      <c r="C53" s="4"/>
      <c r="D53" s="39"/>
      <c r="E53" s="4"/>
      <c r="F53" s="39"/>
      <c r="G53" s="4"/>
      <c r="H53" s="39"/>
      <c r="K53" s="26"/>
      <c r="L53" s="26"/>
      <c r="M53" s="26"/>
      <c r="N53" s="26"/>
      <c r="O53" s="26"/>
      <c r="P53" s="26"/>
    </row>
    <row r="54" spans="1:20" s="25" customFormat="1" ht="15.6">
      <c r="A54" s="4" t="s">
        <v>2</v>
      </c>
      <c r="B54" t="s">
        <v>29</v>
      </c>
      <c r="C54" s="4"/>
      <c r="D54" s="39"/>
      <c r="E54" s="4"/>
      <c r="F54" s="39"/>
      <c r="G54" s="4"/>
      <c r="H54" s="39"/>
      <c r="K54" s="26"/>
      <c r="L54" s="26"/>
      <c r="M54" s="26"/>
      <c r="N54" s="26"/>
      <c r="O54" s="26"/>
      <c r="P54" s="26"/>
    </row>
    <row r="55" spans="1:20" s="25" customFormat="1" ht="15.6">
      <c r="A55" s="4" t="s">
        <v>6</v>
      </c>
      <c r="B55" t="s">
        <v>13</v>
      </c>
      <c r="C55" s="4"/>
      <c r="D55" s="39"/>
      <c r="E55" s="4"/>
      <c r="F55" s="39"/>
      <c r="G55" s="4"/>
      <c r="H55" s="39"/>
      <c r="I55" s="29"/>
      <c r="J55" s="29"/>
      <c r="K55" s="26"/>
      <c r="L55" s="26"/>
      <c r="M55" s="26"/>
      <c r="N55" s="26"/>
      <c r="O55" s="26"/>
      <c r="P55" s="26"/>
    </row>
    <row r="56" spans="1:20" s="25" customFormat="1" ht="15.6">
      <c r="A56" s="4" t="s">
        <v>7</v>
      </c>
      <c r="B56" s="39"/>
      <c r="C56" s="4"/>
      <c r="D56" s="39"/>
      <c r="E56" s="4"/>
      <c r="F56" s="39"/>
      <c r="G56" s="4"/>
      <c r="H56" s="39"/>
      <c r="I56" s="24"/>
      <c r="J56" s="24"/>
      <c r="K56" s="26"/>
      <c r="L56" s="26"/>
      <c r="M56" s="26"/>
      <c r="N56" s="26"/>
      <c r="O56" s="26"/>
      <c r="P56" s="26"/>
    </row>
    <row r="57" spans="1:20" s="25" customFormat="1" ht="15.6">
      <c r="A57" s="4" t="s">
        <v>8</v>
      </c>
      <c r="B57" s="39" t="s">
        <v>9</v>
      </c>
      <c r="C57" s="4" t="s">
        <v>2</v>
      </c>
      <c r="D57" s="39" t="s">
        <v>6</v>
      </c>
      <c r="E57" s="4" t="s">
        <v>10</v>
      </c>
      <c r="F57" s="39" t="s">
        <v>5</v>
      </c>
      <c r="G57" s="4" t="s">
        <v>4</v>
      </c>
      <c r="H57" s="39" t="s">
        <v>11</v>
      </c>
      <c r="I57" s="29"/>
      <c r="J57" s="30"/>
      <c r="K57" s="31"/>
      <c r="L57" s="31"/>
      <c r="M57" s="31"/>
      <c r="N57" s="31"/>
      <c r="O57" s="31"/>
      <c r="P57" s="31"/>
      <c r="Q57" s="30"/>
      <c r="R57" s="30"/>
      <c r="S57" s="29"/>
      <c r="T57" s="30"/>
    </row>
    <row r="58" spans="1:20" s="25" customFormat="1" ht="15.6">
      <c r="A58" t="s">
        <v>73</v>
      </c>
      <c r="B58">
        <v>1</v>
      </c>
      <c r="C58" t="str">
        <f>B54</f>
        <v>FR</v>
      </c>
      <c r="D58" t="str">
        <f>B55</f>
        <v>kilogram</v>
      </c>
      <c r="E58"/>
      <c r="F58" t="s">
        <v>18</v>
      </c>
      <c r="G58" t="s">
        <v>57</v>
      </c>
      <c r="H58"/>
      <c r="I58" s="24"/>
      <c r="K58" s="26"/>
      <c r="L58" s="26"/>
      <c r="M58" s="26"/>
      <c r="N58" s="26"/>
      <c r="O58" s="26"/>
      <c r="P58" s="26"/>
      <c r="T58"/>
    </row>
    <row r="59" spans="1:20" s="25" customFormat="1" ht="15.6">
      <c r="A59" t="s">
        <v>71</v>
      </c>
      <c r="B59">
        <f>(1/2963200)*4</f>
        <v>1.3498920086393089E-6</v>
      </c>
      <c r="C59" t="s">
        <v>49</v>
      </c>
      <c r="D59" t="s">
        <v>6</v>
      </c>
      <c r="E59"/>
      <c r="F59" t="s">
        <v>12</v>
      </c>
      <c r="G59" t="s">
        <v>58</v>
      </c>
      <c r="H59" t="s">
        <v>59</v>
      </c>
      <c r="J59"/>
      <c r="K59" s="32"/>
      <c r="L59" s="32"/>
      <c r="M59" s="32"/>
      <c r="N59" s="32"/>
      <c r="O59" s="32"/>
      <c r="P59" s="32"/>
      <c r="Q59"/>
      <c r="R59"/>
    </row>
    <row r="60" spans="1:20" s="25" customFormat="1" ht="15.6">
      <c r="A60" t="s">
        <v>72</v>
      </c>
      <c r="B60">
        <f>1/2963200</f>
        <v>3.3747300215982723E-7</v>
      </c>
      <c r="C60" t="s">
        <v>49</v>
      </c>
      <c r="D60" t="s">
        <v>6</v>
      </c>
      <c r="E60"/>
      <c r="F60" t="s">
        <v>12</v>
      </c>
      <c r="G60" t="s">
        <v>60</v>
      </c>
      <c r="H60" t="s">
        <v>61</v>
      </c>
      <c r="J60"/>
      <c r="K60" s="32"/>
      <c r="L60" s="32"/>
      <c r="M60" s="32"/>
      <c r="N60" s="32"/>
      <c r="O60" s="32"/>
      <c r="P60" s="32"/>
      <c r="Q60"/>
      <c r="R60"/>
    </row>
    <row r="61" spans="1:20" s="25" customFormat="1" ht="15.6">
      <c r="A61" t="s">
        <v>62</v>
      </c>
      <c r="B61">
        <f>B59*-1</f>
        <v>-1.3498920086393089E-6</v>
      </c>
      <c r="C61" t="s">
        <v>49</v>
      </c>
      <c r="D61" t="s">
        <v>6</v>
      </c>
      <c r="E61"/>
      <c r="F61" t="s">
        <v>12</v>
      </c>
      <c r="G61" t="s">
        <v>63</v>
      </c>
      <c r="H61" t="s">
        <v>64</v>
      </c>
      <c r="J61"/>
      <c r="K61" s="32"/>
      <c r="L61" s="32"/>
      <c r="M61" s="32"/>
      <c r="N61" s="32"/>
      <c r="O61" s="32"/>
      <c r="P61" s="32"/>
      <c r="Q61"/>
      <c r="R61"/>
    </row>
    <row r="62" spans="1:20" s="25" customFormat="1" ht="15.6">
      <c r="A62" t="s">
        <v>65</v>
      </c>
      <c r="B62">
        <f>-1*B60</f>
        <v>-3.3747300215982723E-7</v>
      </c>
      <c r="C62" t="s">
        <v>49</v>
      </c>
      <c r="D62" t="s">
        <v>6</v>
      </c>
      <c r="E62"/>
      <c r="F62" t="s">
        <v>12</v>
      </c>
      <c r="G62" t="s">
        <v>66</v>
      </c>
      <c r="H62" t="s">
        <v>67</v>
      </c>
      <c r="J62"/>
      <c r="K62" s="32"/>
      <c r="L62" s="32"/>
      <c r="M62" s="32"/>
      <c r="N62" s="32"/>
      <c r="O62" s="32"/>
      <c r="P62" s="32"/>
      <c r="Q62"/>
      <c r="R62"/>
    </row>
    <row r="63" spans="1:20" s="25" customFormat="1" ht="15.6">
      <c r="A63" t="s">
        <v>28</v>
      </c>
      <c r="B63">
        <v>54</v>
      </c>
      <c r="C63" t="s">
        <v>29</v>
      </c>
      <c r="D63" t="s">
        <v>19</v>
      </c>
      <c r="E63"/>
      <c r="F63" t="s">
        <v>12</v>
      </c>
      <c r="G63" t="s">
        <v>20</v>
      </c>
      <c r="H63" t="s">
        <v>68</v>
      </c>
      <c r="J63"/>
      <c r="K63" s="32"/>
      <c r="L63" s="32"/>
      <c r="M63" s="32"/>
      <c r="N63" s="32"/>
      <c r="O63" s="32"/>
      <c r="P63" s="32"/>
      <c r="Q63"/>
      <c r="R63"/>
    </row>
    <row r="64" spans="1:20" s="25" customFormat="1" ht="15.6">
      <c r="A64" t="s">
        <v>21</v>
      </c>
      <c r="B64">
        <v>14</v>
      </c>
      <c r="C64" t="s">
        <v>22</v>
      </c>
      <c r="D64" t="s">
        <v>13</v>
      </c>
      <c r="E64"/>
      <c r="F64" t="s">
        <v>12</v>
      </c>
      <c r="G64" t="s">
        <v>23</v>
      </c>
      <c r="H64" t="s">
        <v>69</v>
      </c>
      <c r="J64"/>
      <c r="K64" s="32"/>
      <c r="L64" s="32"/>
      <c r="M64" s="32"/>
      <c r="N64" s="32"/>
      <c r="O64" s="32"/>
      <c r="P64" s="32"/>
      <c r="Q64"/>
      <c r="R64"/>
    </row>
    <row r="65" spans="1:18" s="25" customFormat="1" ht="15.6">
      <c r="A65" t="s">
        <v>24</v>
      </c>
      <c r="B65">
        <v>8</v>
      </c>
      <c r="C65"/>
      <c r="D65" t="s">
        <v>13</v>
      </c>
      <c r="E65" t="s">
        <v>25</v>
      </c>
      <c r="F65" t="s">
        <v>15</v>
      </c>
      <c r="G65"/>
      <c r="H65"/>
      <c r="J65"/>
      <c r="K65" s="32"/>
      <c r="L65" s="32"/>
      <c r="M65" s="32"/>
      <c r="N65" s="32"/>
      <c r="O65" s="32"/>
      <c r="P65" s="32"/>
      <c r="Q65" s="32"/>
      <c r="R65"/>
    </row>
    <row r="66" spans="1:18" s="25" customFormat="1" ht="15.6">
      <c r="A66" t="s">
        <v>70</v>
      </c>
      <c r="B66">
        <f>(0.09*1000*20)/2963200</f>
        <v>6.0745140388768898E-4</v>
      </c>
      <c r="C66"/>
      <c r="D66" t="s">
        <v>17</v>
      </c>
      <c r="E66" t="s">
        <v>16</v>
      </c>
      <c r="F66" t="s">
        <v>15</v>
      </c>
      <c r="G66"/>
      <c r="H66"/>
      <c r="J66"/>
      <c r="K66" s="32"/>
      <c r="L66" s="32"/>
      <c r="M66" s="32"/>
      <c r="N66" s="32"/>
      <c r="O66" s="32"/>
      <c r="P66" s="32"/>
      <c r="Q66" s="32"/>
      <c r="R66"/>
    </row>
    <row r="67" spans="1:18" s="25" customFormat="1" ht="15">
      <c r="K67" s="26"/>
      <c r="L67" s="26"/>
      <c r="M67" s="26"/>
      <c r="N67" s="26"/>
      <c r="O67" s="26"/>
      <c r="P67" s="26"/>
    </row>
    <row r="70" spans="1:18" ht="15.6">
      <c r="A70" s="35" t="s">
        <v>1</v>
      </c>
      <c r="B70" s="35" t="s">
        <v>175</v>
      </c>
      <c r="C70" s="36"/>
      <c r="D70" s="36"/>
      <c r="E70" s="36"/>
      <c r="F70" s="36"/>
      <c r="G70" s="36"/>
      <c r="H70" s="36"/>
      <c r="I70" s="36"/>
    </row>
    <row r="71" spans="1:18">
      <c r="A71" s="36" t="s">
        <v>103</v>
      </c>
      <c r="B71" s="36">
        <v>1.310870633</v>
      </c>
      <c r="C71" s="36"/>
      <c r="D71" s="36"/>
      <c r="E71" s="36"/>
      <c r="F71" s="36"/>
      <c r="G71" s="36"/>
      <c r="H71" s="36"/>
      <c r="I71" s="36"/>
    </row>
    <row r="72" spans="1:18">
      <c r="A72" s="36" t="s">
        <v>2</v>
      </c>
      <c r="B72" s="36" t="s">
        <v>29</v>
      </c>
      <c r="C72" s="36"/>
      <c r="D72" s="36"/>
      <c r="E72" s="36"/>
      <c r="F72" s="36"/>
      <c r="G72" s="36"/>
      <c r="H72" s="36"/>
      <c r="I72" s="36"/>
    </row>
    <row r="73" spans="1:18">
      <c r="A73" s="36" t="s">
        <v>4</v>
      </c>
      <c r="B73" s="36" t="s">
        <v>104</v>
      </c>
      <c r="C73" s="36"/>
      <c r="D73" s="36"/>
      <c r="E73" s="36"/>
      <c r="F73" s="36"/>
      <c r="G73" s="36"/>
      <c r="H73" s="36"/>
      <c r="I73" s="36"/>
    </row>
    <row r="74" spans="1:18">
      <c r="A74" s="36" t="s">
        <v>6</v>
      </c>
      <c r="B74" s="36" t="s">
        <v>13</v>
      </c>
      <c r="C74" s="36"/>
      <c r="D74" s="36"/>
      <c r="E74" s="36"/>
      <c r="F74" s="36"/>
      <c r="G74" s="36"/>
      <c r="H74" s="36"/>
      <c r="I74" s="36"/>
    </row>
    <row r="75" spans="1:18">
      <c r="A75" s="36" t="s">
        <v>11</v>
      </c>
      <c r="B75" s="36" t="s">
        <v>105</v>
      </c>
      <c r="C75" s="36"/>
      <c r="D75" s="36"/>
      <c r="E75" s="36"/>
      <c r="F75" s="36"/>
      <c r="G75" s="36"/>
      <c r="H75" s="36"/>
      <c r="I75" s="36"/>
    </row>
    <row r="76" spans="1:18" ht="15.6">
      <c r="A76" s="35" t="s">
        <v>7</v>
      </c>
      <c r="B76" s="36"/>
      <c r="C76" s="36"/>
      <c r="D76" s="36"/>
      <c r="E76" s="36"/>
      <c r="F76" s="36"/>
      <c r="G76" s="36"/>
      <c r="H76" s="36"/>
      <c r="I76" s="36"/>
    </row>
    <row r="77" spans="1:18">
      <c r="A77" s="36" t="s">
        <v>8</v>
      </c>
      <c r="B77" s="36" t="s">
        <v>9</v>
      </c>
      <c r="C77" s="36" t="s">
        <v>106</v>
      </c>
      <c r="D77" s="36" t="s">
        <v>2</v>
      </c>
      <c r="E77" s="36" t="s">
        <v>6</v>
      </c>
      <c r="F77" s="36" t="s">
        <v>10</v>
      </c>
      <c r="G77" s="36" t="s">
        <v>5</v>
      </c>
      <c r="H77" s="36" t="s">
        <v>4</v>
      </c>
      <c r="I77" s="36" t="s">
        <v>11</v>
      </c>
    </row>
    <row r="78" spans="1:18">
      <c r="A78" s="36" t="s">
        <v>102</v>
      </c>
      <c r="B78" s="36">
        <v>1</v>
      </c>
      <c r="C78" s="36" t="s">
        <v>107</v>
      </c>
      <c r="D78" s="36" t="s">
        <v>29</v>
      </c>
      <c r="E78" s="36" t="s">
        <v>13</v>
      </c>
      <c r="F78" s="36"/>
      <c r="G78" s="36" t="s">
        <v>18</v>
      </c>
      <c r="H78" s="36" t="s">
        <v>104</v>
      </c>
      <c r="I78" s="36"/>
    </row>
    <row r="79" spans="1:18">
      <c r="A79" s="36" t="s">
        <v>108</v>
      </c>
      <c r="B79" s="37">
        <v>3.0676600000000002E-8</v>
      </c>
      <c r="C79" s="36" t="s">
        <v>109</v>
      </c>
      <c r="D79" s="36"/>
      <c r="E79" s="36" t="s">
        <v>13</v>
      </c>
      <c r="F79" s="36" t="s">
        <v>25</v>
      </c>
      <c r="G79" s="36" t="s">
        <v>15</v>
      </c>
      <c r="H79" s="36"/>
      <c r="I79" s="36"/>
    </row>
    <row r="80" spans="1:18">
      <c r="A80" s="36" t="s">
        <v>110</v>
      </c>
      <c r="B80" s="37">
        <v>4.6014800000000002E-6</v>
      </c>
      <c r="C80" s="36" t="s">
        <v>109</v>
      </c>
      <c r="D80" s="36"/>
      <c r="E80" s="36" t="s">
        <v>13</v>
      </c>
      <c r="F80" s="36" t="s">
        <v>25</v>
      </c>
      <c r="G80" s="36" t="s">
        <v>15</v>
      </c>
      <c r="H80" s="36"/>
      <c r="I80" s="36"/>
    </row>
    <row r="81" spans="1:9">
      <c r="A81" s="36" t="s">
        <v>111</v>
      </c>
      <c r="B81" s="37">
        <v>1.22709E-5</v>
      </c>
      <c r="C81" s="36" t="s">
        <v>109</v>
      </c>
      <c r="D81" s="36"/>
      <c r="E81" s="36" t="s">
        <v>13</v>
      </c>
      <c r="F81" s="36" t="s">
        <v>25</v>
      </c>
      <c r="G81" s="36" t="s">
        <v>15</v>
      </c>
      <c r="H81" s="36"/>
      <c r="I81" s="36"/>
    </row>
    <row r="82" spans="1:9">
      <c r="A82" s="36" t="s">
        <v>112</v>
      </c>
      <c r="B82" s="37">
        <v>3.0676599999999998E-10</v>
      </c>
      <c r="C82" s="36" t="s">
        <v>109</v>
      </c>
      <c r="D82" s="36"/>
      <c r="E82" s="36" t="s">
        <v>13</v>
      </c>
      <c r="F82" s="36" t="s">
        <v>25</v>
      </c>
      <c r="G82" s="36" t="s">
        <v>15</v>
      </c>
      <c r="H82" s="36"/>
      <c r="I82" s="36"/>
    </row>
    <row r="83" spans="1:9">
      <c r="A83" s="36" t="s">
        <v>113</v>
      </c>
      <c r="B83" s="37">
        <v>2.1474199999999998E-5</v>
      </c>
      <c r="C83" s="36" t="s">
        <v>109</v>
      </c>
      <c r="D83" s="36"/>
      <c r="E83" s="36" t="s">
        <v>13</v>
      </c>
      <c r="F83" s="36" t="s">
        <v>25</v>
      </c>
      <c r="G83" s="36" t="s">
        <v>15</v>
      </c>
      <c r="H83" s="36"/>
      <c r="I83" s="36"/>
    </row>
    <row r="84" spans="1:9">
      <c r="A84" s="36" t="s">
        <v>40</v>
      </c>
      <c r="B84" s="36">
        <v>8.9222937859999991</v>
      </c>
      <c r="C84" s="36" t="s">
        <v>109</v>
      </c>
      <c r="D84" s="36"/>
      <c r="E84" s="36" t="s">
        <v>13</v>
      </c>
      <c r="F84" s="36" t="s">
        <v>25</v>
      </c>
      <c r="G84" s="36" t="s">
        <v>15</v>
      </c>
      <c r="H84" s="36"/>
      <c r="I84" s="36"/>
    </row>
    <row r="85" spans="1:9">
      <c r="A85" s="36" t="s">
        <v>114</v>
      </c>
      <c r="B85" s="37">
        <v>6.4421899999999994E-5</v>
      </c>
      <c r="C85" s="36" t="s">
        <v>109</v>
      </c>
      <c r="D85" s="36"/>
      <c r="E85" s="36" t="s">
        <v>13</v>
      </c>
      <c r="F85" s="36" t="s">
        <v>25</v>
      </c>
      <c r="G85" s="36" t="s">
        <v>15</v>
      </c>
      <c r="H85" s="36"/>
      <c r="I85" s="36"/>
    </row>
    <row r="86" spans="1:9">
      <c r="A86" s="36" t="s">
        <v>115</v>
      </c>
      <c r="B86" s="37">
        <v>3.06766E-6</v>
      </c>
      <c r="C86" s="36" t="s">
        <v>109</v>
      </c>
      <c r="D86" s="36"/>
      <c r="E86" s="36" t="s">
        <v>13</v>
      </c>
      <c r="F86" s="36" t="s">
        <v>25</v>
      </c>
      <c r="G86" s="36" t="s">
        <v>15</v>
      </c>
      <c r="H86" s="36"/>
      <c r="I86" s="36"/>
    </row>
    <row r="87" spans="1:9">
      <c r="A87" s="36" t="s">
        <v>116</v>
      </c>
      <c r="B87" s="37">
        <v>3.06766E-6</v>
      </c>
      <c r="C87" s="36" t="s">
        <v>109</v>
      </c>
      <c r="D87" s="36"/>
      <c r="E87" s="36" t="s">
        <v>13</v>
      </c>
      <c r="F87" s="36" t="s">
        <v>25</v>
      </c>
      <c r="G87" s="36" t="s">
        <v>15</v>
      </c>
      <c r="H87" s="36"/>
      <c r="I87" s="36"/>
    </row>
    <row r="88" spans="1:9">
      <c r="A88" s="36" t="s">
        <v>117</v>
      </c>
      <c r="B88" s="37">
        <v>9.2032600000000003E-10</v>
      </c>
      <c r="C88" s="36" t="s">
        <v>109</v>
      </c>
      <c r="D88" s="36"/>
      <c r="E88" s="36" t="s">
        <v>13</v>
      </c>
      <c r="F88" s="36" t="s">
        <v>25</v>
      </c>
      <c r="G88" s="36" t="s">
        <v>15</v>
      </c>
      <c r="H88" s="36"/>
      <c r="I88" s="36"/>
    </row>
    <row r="89" spans="1:9">
      <c r="A89" s="36" t="s">
        <v>118</v>
      </c>
      <c r="B89" s="37">
        <v>6.1356E-5</v>
      </c>
      <c r="C89" s="36" t="s">
        <v>109</v>
      </c>
      <c r="D89" s="36"/>
      <c r="E89" s="36" t="s">
        <v>13</v>
      </c>
      <c r="F89" s="36" t="s">
        <v>25</v>
      </c>
      <c r="G89" s="36" t="s">
        <v>15</v>
      </c>
      <c r="H89" s="36"/>
      <c r="I89" s="36"/>
    </row>
    <row r="90" spans="1:9">
      <c r="A90" s="36" t="s">
        <v>119</v>
      </c>
      <c r="B90" s="36">
        <v>5.4912400000000001E-4</v>
      </c>
      <c r="C90" s="36" t="s">
        <v>109</v>
      </c>
      <c r="D90" s="36"/>
      <c r="E90" s="36" t="s">
        <v>13</v>
      </c>
      <c r="F90" s="36" t="s">
        <v>25</v>
      </c>
      <c r="G90" s="36" t="s">
        <v>15</v>
      </c>
      <c r="H90" s="36"/>
      <c r="I90" s="36"/>
    </row>
    <row r="91" spans="1:9">
      <c r="A91" s="36" t="s">
        <v>120</v>
      </c>
      <c r="B91" s="37">
        <v>3.0676599999999998E-7</v>
      </c>
      <c r="C91" s="36" t="s">
        <v>109</v>
      </c>
      <c r="D91" s="36"/>
      <c r="E91" s="36" t="s">
        <v>13</v>
      </c>
      <c r="F91" s="36" t="s">
        <v>25</v>
      </c>
      <c r="G91" s="36" t="s">
        <v>15</v>
      </c>
      <c r="H91" s="36"/>
      <c r="I91" s="36"/>
    </row>
    <row r="92" spans="1:9">
      <c r="A92" s="36" t="s">
        <v>121</v>
      </c>
      <c r="B92" s="37">
        <v>6.1356000000000002E-6</v>
      </c>
      <c r="C92" s="36" t="s">
        <v>109</v>
      </c>
      <c r="D92" s="36"/>
      <c r="E92" s="36" t="s">
        <v>13</v>
      </c>
      <c r="F92" s="36" t="s">
        <v>25</v>
      </c>
      <c r="G92" s="36" t="s">
        <v>15</v>
      </c>
      <c r="H92" s="36"/>
      <c r="I92" s="36"/>
    </row>
    <row r="93" spans="1:9">
      <c r="A93" s="36" t="s">
        <v>122</v>
      </c>
      <c r="B93" s="37">
        <v>3.6814199999999997E-5</v>
      </c>
      <c r="C93" s="36" t="s">
        <v>109</v>
      </c>
      <c r="D93" s="36"/>
      <c r="E93" s="36" t="s">
        <v>13</v>
      </c>
      <c r="F93" s="36" t="s">
        <v>25</v>
      </c>
      <c r="G93" s="36" t="s">
        <v>15</v>
      </c>
      <c r="H93" s="36"/>
      <c r="I93" s="36"/>
    </row>
    <row r="94" spans="1:9">
      <c r="A94" s="36" t="s">
        <v>123</v>
      </c>
      <c r="B94" s="37">
        <v>6.1356000000000002E-6</v>
      </c>
      <c r="C94" s="36" t="s">
        <v>109</v>
      </c>
      <c r="D94" s="36"/>
      <c r="E94" s="36" t="s">
        <v>13</v>
      </c>
      <c r="F94" s="36" t="s">
        <v>25</v>
      </c>
      <c r="G94" s="36" t="s">
        <v>15</v>
      </c>
      <c r="H94" s="36"/>
      <c r="I94" s="36"/>
    </row>
    <row r="95" spans="1:9">
      <c r="A95" s="36" t="s">
        <v>124</v>
      </c>
      <c r="B95" s="37">
        <v>6.1356E-7</v>
      </c>
      <c r="C95" s="36" t="s">
        <v>109</v>
      </c>
      <c r="D95" s="36"/>
      <c r="E95" s="36" t="s">
        <v>13</v>
      </c>
      <c r="F95" s="36" t="s">
        <v>25</v>
      </c>
      <c r="G95" s="36" t="s">
        <v>15</v>
      </c>
      <c r="H95" s="36"/>
      <c r="I95" s="36"/>
    </row>
    <row r="96" spans="1:9">
      <c r="A96" s="36" t="s">
        <v>125</v>
      </c>
      <c r="B96" s="37">
        <v>1.6872699999999999E-5</v>
      </c>
      <c r="C96" s="36" t="s">
        <v>109</v>
      </c>
      <c r="D96" s="36"/>
      <c r="E96" s="36" t="s">
        <v>13</v>
      </c>
      <c r="F96" s="36" t="s">
        <v>25</v>
      </c>
      <c r="G96" s="36" t="s">
        <v>15</v>
      </c>
      <c r="H96" s="36"/>
      <c r="I96" s="36"/>
    </row>
    <row r="97" spans="1:9">
      <c r="A97" s="36" t="s">
        <v>126</v>
      </c>
      <c r="B97" s="37">
        <v>6.1356000000000002E-6</v>
      </c>
      <c r="C97" s="36" t="s">
        <v>109</v>
      </c>
      <c r="D97" s="36"/>
      <c r="E97" s="36" t="s">
        <v>13</v>
      </c>
      <c r="F97" s="36" t="s">
        <v>25</v>
      </c>
      <c r="G97" s="36" t="s">
        <v>15</v>
      </c>
      <c r="H97" s="36"/>
      <c r="I97" s="36"/>
    </row>
    <row r="98" spans="1:9">
      <c r="A98" s="36" t="s">
        <v>127</v>
      </c>
      <c r="B98" s="36">
        <v>0.38040000000000002</v>
      </c>
      <c r="C98" s="36" t="s">
        <v>109</v>
      </c>
      <c r="D98" s="36"/>
      <c r="E98" s="36" t="s">
        <v>128</v>
      </c>
      <c r="F98" s="36" t="s">
        <v>129</v>
      </c>
      <c r="G98" s="36" t="s">
        <v>15</v>
      </c>
      <c r="H98" s="36"/>
      <c r="I98" s="36"/>
    </row>
    <row r="99" spans="1:9">
      <c r="A99" s="36" t="s">
        <v>130</v>
      </c>
      <c r="B99" s="36">
        <v>0.37130000000000002</v>
      </c>
      <c r="C99" s="36" t="s">
        <v>109</v>
      </c>
      <c r="D99" s="36"/>
      <c r="E99" s="36" t="s">
        <v>128</v>
      </c>
      <c r="F99" s="36" t="s">
        <v>131</v>
      </c>
      <c r="G99" s="36" t="s">
        <v>15</v>
      </c>
      <c r="H99" s="36"/>
      <c r="I99" s="36"/>
    </row>
    <row r="100" spans="1:9">
      <c r="A100" s="36" t="s">
        <v>130</v>
      </c>
      <c r="B100" s="36">
        <v>9.1000000000000004E-3</v>
      </c>
      <c r="C100" s="36" t="s">
        <v>109</v>
      </c>
      <c r="D100" s="36"/>
      <c r="E100" s="36" t="s">
        <v>128</v>
      </c>
      <c r="F100" s="36" t="s">
        <v>25</v>
      </c>
      <c r="G100" s="36" t="s">
        <v>15</v>
      </c>
      <c r="H100" s="36"/>
      <c r="I100" s="36" t="s">
        <v>132</v>
      </c>
    </row>
    <row r="101" spans="1:9">
      <c r="A101" s="36" t="s">
        <v>133</v>
      </c>
      <c r="B101" s="37">
        <v>5.3483200000000002E-10</v>
      </c>
      <c r="C101" s="36" t="s">
        <v>134</v>
      </c>
      <c r="D101" s="36" t="s">
        <v>49</v>
      </c>
      <c r="E101" s="36" t="s">
        <v>6</v>
      </c>
      <c r="F101" s="36"/>
      <c r="G101" s="36" t="s">
        <v>12</v>
      </c>
      <c r="H101" s="36" t="s">
        <v>135</v>
      </c>
      <c r="I101" s="36"/>
    </row>
    <row r="102" spans="1:9">
      <c r="A102" s="36" t="s">
        <v>136</v>
      </c>
      <c r="B102" s="36">
        <v>5.32728E-4</v>
      </c>
      <c r="C102" s="36" t="s">
        <v>134</v>
      </c>
      <c r="D102" s="36" t="s">
        <v>137</v>
      </c>
      <c r="E102" s="36" t="s">
        <v>13</v>
      </c>
      <c r="F102" s="36"/>
      <c r="G102" s="36" t="s">
        <v>12</v>
      </c>
      <c r="H102" s="36" t="s">
        <v>138</v>
      </c>
      <c r="I102" s="36"/>
    </row>
    <row r="103" spans="1:9">
      <c r="A103" s="36" t="s">
        <v>139</v>
      </c>
      <c r="B103" s="36">
        <v>3.6000000000000001E-5</v>
      </c>
      <c r="C103" s="36" t="s">
        <v>134</v>
      </c>
      <c r="D103" s="36" t="s">
        <v>140</v>
      </c>
      <c r="E103" s="36" t="s">
        <v>13</v>
      </c>
      <c r="F103" s="36"/>
      <c r="G103" s="36" t="s">
        <v>12</v>
      </c>
      <c r="H103" s="36" t="s">
        <v>141</v>
      </c>
      <c r="I103" s="36"/>
    </row>
    <row r="104" spans="1:9">
      <c r="A104" s="36" t="s">
        <v>142</v>
      </c>
      <c r="B104" s="36">
        <v>3.6240000000000003E-4</v>
      </c>
      <c r="C104" s="36" t="s">
        <v>134</v>
      </c>
      <c r="D104" s="36" t="s">
        <v>140</v>
      </c>
      <c r="E104" s="36" t="s">
        <v>13</v>
      </c>
      <c r="F104" s="36"/>
      <c r="G104" s="36" t="s">
        <v>12</v>
      </c>
      <c r="H104" s="36" t="s">
        <v>143</v>
      </c>
      <c r="I104" s="36"/>
    </row>
    <row r="105" spans="1:9">
      <c r="A105" s="36" t="s">
        <v>144</v>
      </c>
      <c r="B105" s="37">
        <v>2.54628E-9</v>
      </c>
      <c r="C105" s="36" t="s">
        <v>134</v>
      </c>
      <c r="D105" s="36" t="s">
        <v>140</v>
      </c>
      <c r="E105" s="36" t="s">
        <v>6</v>
      </c>
      <c r="F105" s="36"/>
      <c r="G105" s="36" t="s">
        <v>12</v>
      </c>
      <c r="H105" s="36" t="s">
        <v>145</v>
      </c>
      <c r="I105" s="36"/>
    </row>
    <row r="106" spans="1:9">
      <c r="A106" s="36" t="s">
        <v>146</v>
      </c>
      <c r="B106" s="36">
        <v>2.796E-5</v>
      </c>
      <c r="C106" s="36" t="s">
        <v>134</v>
      </c>
      <c r="D106" s="36" t="s">
        <v>140</v>
      </c>
      <c r="E106" s="36" t="s">
        <v>13</v>
      </c>
      <c r="F106" s="36"/>
      <c r="G106" s="36" t="s">
        <v>12</v>
      </c>
      <c r="H106" s="36" t="s">
        <v>147</v>
      </c>
      <c r="I106" s="36"/>
    </row>
    <row r="107" spans="1:9">
      <c r="A107" s="36" t="s">
        <v>148</v>
      </c>
      <c r="B107" s="36">
        <v>1.668E-5</v>
      </c>
      <c r="C107" s="36" t="s">
        <v>134</v>
      </c>
      <c r="D107" s="36" t="s">
        <v>140</v>
      </c>
      <c r="E107" s="36" t="s">
        <v>13</v>
      </c>
      <c r="F107" s="36"/>
      <c r="G107" s="36" t="s">
        <v>12</v>
      </c>
      <c r="H107" s="36" t="s">
        <v>149</v>
      </c>
      <c r="I107" s="36"/>
    </row>
    <row r="108" spans="1:9">
      <c r="A108" s="36" t="s">
        <v>150</v>
      </c>
      <c r="B108" s="36">
        <v>2.0291999999999999E-4</v>
      </c>
      <c r="C108" s="36" t="s">
        <v>134</v>
      </c>
      <c r="D108" s="36" t="s">
        <v>140</v>
      </c>
      <c r="E108" s="36" t="s">
        <v>13</v>
      </c>
      <c r="F108" s="36"/>
      <c r="G108" s="36" t="s">
        <v>12</v>
      </c>
      <c r="H108" s="36" t="s">
        <v>151</v>
      </c>
      <c r="I108" s="36"/>
    </row>
    <row r="109" spans="1:9">
      <c r="A109" s="36" t="s">
        <v>152</v>
      </c>
      <c r="B109" s="36">
        <v>3.1236000000000002E-4</v>
      </c>
      <c r="C109" s="36" t="s">
        <v>134</v>
      </c>
      <c r="D109" s="36" t="s">
        <v>140</v>
      </c>
      <c r="E109" s="36" t="s">
        <v>13</v>
      </c>
      <c r="F109" s="36"/>
      <c r="G109" s="36" t="s">
        <v>12</v>
      </c>
      <c r="H109" s="36" t="s">
        <v>153</v>
      </c>
      <c r="I109" s="36"/>
    </row>
    <row r="110" spans="1:9">
      <c r="A110" s="36" t="s">
        <v>154</v>
      </c>
      <c r="B110" s="36">
        <v>4.8000000000000001E-5</v>
      </c>
      <c r="C110" s="36" t="s">
        <v>134</v>
      </c>
      <c r="D110" s="36" t="s">
        <v>49</v>
      </c>
      <c r="E110" s="36" t="s">
        <v>13</v>
      </c>
      <c r="F110" s="36"/>
      <c r="G110" s="36" t="s">
        <v>12</v>
      </c>
      <c r="H110" s="36" t="s">
        <v>155</v>
      </c>
      <c r="I110" s="36"/>
    </row>
    <row r="111" spans="1:9">
      <c r="A111" s="36" t="s">
        <v>156</v>
      </c>
      <c r="B111" s="36">
        <v>1.1592E-5</v>
      </c>
      <c r="C111" s="36" t="s">
        <v>134</v>
      </c>
      <c r="D111" s="36" t="s">
        <v>140</v>
      </c>
      <c r="E111" s="36" t="s">
        <v>13</v>
      </c>
      <c r="F111" s="36"/>
      <c r="G111" s="36" t="s">
        <v>12</v>
      </c>
      <c r="H111" s="36" t="s">
        <v>157</v>
      </c>
      <c r="I111" s="36"/>
    </row>
    <row r="112" spans="1:9">
      <c r="A112" s="36" t="s">
        <v>21</v>
      </c>
      <c r="B112" s="36">
        <v>7.538413555</v>
      </c>
      <c r="C112" s="36" t="s">
        <v>134</v>
      </c>
      <c r="D112" s="36" t="s">
        <v>22</v>
      </c>
      <c r="E112" s="36" t="s">
        <v>13</v>
      </c>
      <c r="F112" s="36"/>
      <c r="G112" s="36" t="s">
        <v>12</v>
      </c>
      <c r="H112" s="36" t="s">
        <v>23</v>
      </c>
      <c r="I112" s="36"/>
    </row>
    <row r="113" spans="1:9">
      <c r="A113" s="36" t="s">
        <v>158</v>
      </c>
      <c r="B113" s="36">
        <v>8.8290199999999997E-4</v>
      </c>
      <c r="C113" s="36" t="s">
        <v>134</v>
      </c>
      <c r="D113" s="36" t="s">
        <v>140</v>
      </c>
      <c r="E113" s="36" t="s">
        <v>13</v>
      </c>
      <c r="F113" s="36"/>
      <c r="G113" s="36" t="s">
        <v>12</v>
      </c>
      <c r="H113" s="36" t="s">
        <v>159</v>
      </c>
      <c r="I113" s="36"/>
    </row>
    <row r="114" spans="1:9">
      <c r="A114" s="36" t="s">
        <v>160</v>
      </c>
      <c r="B114" s="36">
        <v>3.7139999999999997E-4</v>
      </c>
      <c r="C114" s="36" t="s">
        <v>134</v>
      </c>
      <c r="D114" s="36" t="s">
        <v>140</v>
      </c>
      <c r="E114" s="36" t="s">
        <v>13</v>
      </c>
      <c r="F114" s="36"/>
      <c r="G114" s="36" t="s">
        <v>12</v>
      </c>
      <c r="H114" s="36" t="s">
        <v>161</v>
      </c>
      <c r="I114" s="36"/>
    </row>
    <row r="115" spans="1:9">
      <c r="A115" s="36" t="s">
        <v>98</v>
      </c>
      <c r="B115" s="36">
        <v>0</v>
      </c>
      <c r="C115" s="36" t="s">
        <v>134</v>
      </c>
      <c r="D115" s="36" t="s">
        <v>29</v>
      </c>
      <c r="E115" s="36" t="s">
        <v>19</v>
      </c>
      <c r="F115" s="36"/>
      <c r="G115" s="36" t="s">
        <v>12</v>
      </c>
      <c r="H115" s="36" t="s">
        <v>31</v>
      </c>
      <c r="I115" s="36"/>
    </row>
    <row r="116" spans="1:9">
      <c r="A116" s="38" t="s">
        <v>162</v>
      </c>
      <c r="B116" s="36">
        <v>4.3695687769999996</v>
      </c>
      <c r="C116" s="36" t="s">
        <v>134</v>
      </c>
      <c r="D116" s="36" t="s">
        <v>22</v>
      </c>
      <c r="E116" s="36" t="s">
        <v>128</v>
      </c>
      <c r="F116" s="36"/>
      <c r="G116" s="36" t="s">
        <v>12</v>
      </c>
      <c r="H116" s="36" t="s">
        <v>163</v>
      </c>
      <c r="I116" s="36"/>
    </row>
    <row r="117" spans="1:9">
      <c r="A117" s="36"/>
      <c r="B117" s="36"/>
      <c r="C117" s="36"/>
      <c r="D117" s="36"/>
      <c r="E117" s="36"/>
      <c r="F117" s="36"/>
      <c r="G117" s="36"/>
      <c r="H117" s="36"/>
      <c r="I117" s="36"/>
    </row>
    <row r="118" spans="1:9">
      <c r="A118" s="55" t="s">
        <v>1</v>
      </c>
      <c r="B118" s="55" t="s">
        <v>176</v>
      </c>
      <c r="C118" s="36"/>
      <c r="D118" s="36"/>
      <c r="E118" s="36"/>
      <c r="F118" s="36"/>
      <c r="G118" s="36"/>
      <c r="H118" s="36"/>
      <c r="I118" s="36"/>
    </row>
    <row r="119" spans="1:9">
      <c r="A119" s="36" t="s">
        <v>103</v>
      </c>
      <c r="B119" s="36">
        <v>1.290350439</v>
      </c>
      <c r="C119" s="36"/>
      <c r="D119" s="36"/>
      <c r="E119" s="36"/>
      <c r="F119" s="36"/>
      <c r="G119" s="36"/>
      <c r="H119" s="36"/>
      <c r="I119" s="36"/>
    </row>
    <row r="120" spans="1:9">
      <c r="A120" s="36" t="s">
        <v>2</v>
      </c>
      <c r="B120" s="36" t="s">
        <v>29</v>
      </c>
      <c r="C120" s="36"/>
      <c r="D120" s="36"/>
      <c r="E120" s="36"/>
      <c r="F120" s="36"/>
      <c r="G120" s="36"/>
      <c r="H120" s="36"/>
      <c r="I120" s="36"/>
    </row>
    <row r="121" spans="1:9">
      <c r="A121" s="36" t="s">
        <v>4</v>
      </c>
      <c r="B121" s="36" t="s">
        <v>104</v>
      </c>
      <c r="C121" s="36"/>
      <c r="D121" s="36"/>
      <c r="E121" s="36"/>
      <c r="F121" s="36"/>
      <c r="G121" s="36"/>
      <c r="H121" s="36"/>
      <c r="I121" s="36"/>
    </row>
    <row r="122" spans="1:9">
      <c r="A122" s="36" t="s">
        <v>6</v>
      </c>
      <c r="B122" s="36" t="s">
        <v>13</v>
      </c>
      <c r="C122" s="36"/>
      <c r="D122" s="36"/>
      <c r="E122" s="36"/>
      <c r="F122" s="36"/>
      <c r="G122" s="36"/>
      <c r="H122" s="36"/>
      <c r="I122" s="36"/>
    </row>
    <row r="123" spans="1:9">
      <c r="A123" s="36" t="s">
        <v>11</v>
      </c>
      <c r="B123" s="36" t="s">
        <v>105</v>
      </c>
      <c r="C123" s="36"/>
      <c r="D123" s="36"/>
      <c r="E123" s="36"/>
      <c r="F123" s="36"/>
      <c r="G123" s="36"/>
      <c r="H123" s="36"/>
      <c r="I123" s="36"/>
    </row>
    <row r="124" spans="1:9">
      <c r="A124" s="55" t="s">
        <v>7</v>
      </c>
      <c r="B124" s="36"/>
      <c r="C124" s="36"/>
      <c r="D124" s="36"/>
      <c r="E124" s="36"/>
      <c r="F124" s="36"/>
      <c r="G124" s="36"/>
      <c r="H124" s="36"/>
      <c r="I124" s="36"/>
    </row>
    <row r="125" spans="1:9">
      <c r="A125" s="36" t="s">
        <v>8</v>
      </c>
      <c r="B125" s="36" t="s">
        <v>9</v>
      </c>
      <c r="C125" s="36" t="s">
        <v>106</v>
      </c>
      <c r="D125" s="36" t="s">
        <v>2</v>
      </c>
      <c r="E125" s="36" t="s">
        <v>6</v>
      </c>
      <c r="F125" s="36" t="s">
        <v>10</v>
      </c>
      <c r="G125" s="36" t="s">
        <v>5</v>
      </c>
      <c r="H125" s="36" t="s">
        <v>4</v>
      </c>
      <c r="I125" s="36" t="s">
        <v>11</v>
      </c>
    </row>
    <row r="126" spans="1:9">
      <c r="A126" s="36" t="s">
        <v>164</v>
      </c>
      <c r="B126" s="36">
        <v>1</v>
      </c>
      <c r="C126" s="36" t="s">
        <v>107</v>
      </c>
      <c r="D126" s="36" t="s">
        <v>29</v>
      </c>
      <c r="E126" s="36" t="s">
        <v>13</v>
      </c>
      <c r="F126" s="36"/>
      <c r="G126" s="36" t="s">
        <v>18</v>
      </c>
      <c r="H126" s="36" t="s">
        <v>104</v>
      </c>
      <c r="I126" s="36"/>
    </row>
    <row r="127" spans="1:9">
      <c r="A127" s="36" t="s">
        <v>108</v>
      </c>
      <c r="B127" s="37">
        <v>2.8033E-8</v>
      </c>
      <c r="C127" s="36" t="s">
        <v>109</v>
      </c>
      <c r="D127" s="36"/>
      <c r="E127" s="36" t="s">
        <v>13</v>
      </c>
      <c r="F127" s="36" t="s">
        <v>25</v>
      </c>
      <c r="G127" s="36" t="s">
        <v>15</v>
      </c>
      <c r="H127" s="36"/>
      <c r="I127" s="36"/>
    </row>
    <row r="128" spans="1:9">
      <c r="A128" s="36" t="s">
        <v>110</v>
      </c>
      <c r="B128" s="37">
        <v>4.2049500000000003E-6</v>
      </c>
      <c r="C128" s="36" t="s">
        <v>109</v>
      </c>
      <c r="D128" s="36"/>
      <c r="E128" s="36" t="s">
        <v>13</v>
      </c>
      <c r="F128" s="36" t="s">
        <v>25</v>
      </c>
      <c r="G128" s="36" t="s">
        <v>15</v>
      </c>
      <c r="H128" s="36"/>
      <c r="I128" s="36"/>
    </row>
    <row r="129" spans="1:9">
      <c r="A129" s="36" t="s">
        <v>111</v>
      </c>
      <c r="B129" s="37">
        <v>1.12135E-5</v>
      </c>
      <c r="C129" s="36" t="s">
        <v>109</v>
      </c>
      <c r="D129" s="36"/>
      <c r="E129" s="36" t="s">
        <v>13</v>
      </c>
      <c r="F129" s="36" t="s">
        <v>25</v>
      </c>
      <c r="G129" s="36" t="s">
        <v>15</v>
      </c>
      <c r="H129" s="36"/>
      <c r="I129" s="36"/>
    </row>
    <row r="130" spans="1:9">
      <c r="A130" s="36" t="s">
        <v>112</v>
      </c>
      <c r="B130" s="37">
        <v>2.8033E-10</v>
      </c>
      <c r="C130" s="36" t="s">
        <v>109</v>
      </c>
      <c r="D130" s="36"/>
      <c r="E130" s="36" t="s">
        <v>13</v>
      </c>
      <c r="F130" s="36" t="s">
        <v>25</v>
      </c>
      <c r="G130" s="36" t="s">
        <v>15</v>
      </c>
      <c r="H130" s="36"/>
      <c r="I130" s="36"/>
    </row>
    <row r="131" spans="1:9">
      <c r="A131" s="36" t="s">
        <v>113</v>
      </c>
      <c r="B131" s="37">
        <v>1.96236E-5</v>
      </c>
      <c r="C131" s="36" t="s">
        <v>109</v>
      </c>
      <c r="D131" s="36"/>
      <c r="E131" s="36" t="s">
        <v>13</v>
      </c>
      <c r="F131" s="36" t="s">
        <v>25</v>
      </c>
      <c r="G131" s="36" t="s">
        <v>15</v>
      </c>
      <c r="H131" s="36"/>
      <c r="I131" s="36"/>
    </row>
    <row r="132" spans="1:9">
      <c r="A132" s="36" t="s">
        <v>40</v>
      </c>
      <c r="B132" s="36">
        <v>2.6104586730000001</v>
      </c>
      <c r="C132" s="36" t="s">
        <v>109</v>
      </c>
      <c r="D132" s="36"/>
      <c r="E132" s="36" t="s">
        <v>13</v>
      </c>
      <c r="F132" s="36" t="s">
        <v>25</v>
      </c>
      <c r="G132" s="36" t="s">
        <v>15</v>
      </c>
      <c r="H132" s="36"/>
      <c r="I132" s="36"/>
    </row>
    <row r="133" spans="1:9">
      <c r="A133" s="36" t="s">
        <v>114</v>
      </c>
      <c r="B133" s="37">
        <v>5.8870399999999998E-5</v>
      </c>
      <c r="C133" s="36" t="s">
        <v>109</v>
      </c>
      <c r="D133" s="36"/>
      <c r="E133" s="36" t="s">
        <v>13</v>
      </c>
      <c r="F133" s="36" t="s">
        <v>25</v>
      </c>
      <c r="G133" s="36" t="s">
        <v>15</v>
      </c>
      <c r="H133" s="36"/>
      <c r="I133" s="36"/>
    </row>
    <row r="134" spans="1:9">
      <c r="A134" s="36" t="s">
        <v>115</v>
      </c>
      <c r="B134" s="37">
        <v>2.8032999999999999E-6</v>
      </c>
      <c r="C134" s="36" t="s">
        <v>109</v>
      </c>
      <c r="D134" s="36"/>
      <c r="E134" s="36" t="s">
        <v>13</v>
      </c>
      <c r="F134" s="36" t="s">
        <v>25</v>
      </c>
      <c r="G134" s="36" t="s">
        <v>15</v>
      </c>
      <c r="H134" s="36"/>
      <c r="I134" s="36"/>
    </row>
    <row r="135" spans="1:9">
      <c r="A135" s="36" t="s">
        <v>116</v>
      </c>
      <c r="B135" s="37">
        <v>2.8032999999999999E-6</v>
      </c>
      <c r="C135" s="36" t="s">
        <v>109</v>
      </c>
      <c r="D135" s="36"/>
      <c r="E135" s="36" t="s">
        <v>13</v>
      </c>
      <c r="F135" s="36" t="s">
        <v>25</v>
      </c>
      <c r="G135" s="36" t="s">
        <v>15</v>
      </c>
      <c r="H135" s="36"/>
      <c r="I135" s="36"/>
    </row>
    <row r="136" spans="1:9">
      <c r="A136" s="36" t="s">
        <v>117</v>
      </c>
      <c r="B136" s="37">
        <v>8.4101700000000003E-10</v>
      </c>
      <c r="C136" s="36" t="s">
        <v>109</v>
      </c>
      <c r="D136" s="36"/>
      <c r="E136" s="36" t="s">
        <v>13</v>
      </c>
      <c r="F136" s="36" t="s">
        <v>25</v>
      </c>
      <c r="G136" s="36" t="s">
        <v>15</v>
      </c>
      <c r="H136" s="36"/>
      <c r="I136" s="36"/>
    </row>
    <row r="137" spans="1:9">
      <c r="A137" s="36" t="s">
        <v>118</v>
      </c>
      <c r="B137" s="37">
        <v>5.6068700000000001E-5</v>
      </c>
      <c r="C137" s="36" t="s">
        <v>109</v>
      </c>
      <c r="D137" s="36"/>
      <c r="E137" s="36" t="s">
        <v>13</v>
      </c>
      <c r="F137" s="36" t="s">
        <v>25</v>
      </c>
      <c r="G137" s="36" t="s">
        <v>15</v>
      </c>
      <c r="H137" s="36"/>
      <c r="I137" s="36"/>
    </row>
    <row r="138" spans="1:9">
      <c r="A138" s="36" t="s">
        <v>119</v>
      </c>
      <c r="B138" s="36">
        <v>5.0180299999999999E-4</v>
      </c>
      <c r="C138" s="36" t="s">
        <v>109</v>
      </c>
      <c r="D138" s="36"/>
      <c r="E138" s="36" t="s">
        <v>13</v>
      </c>
      <c r="F138" s="36" t="s">
        <v>25</v>
      </c>
      <c r="G138" s="36" t="s">
        <v>15</v>
      </c>
      <c r="H138" s="36"/>
      <c r="I138" s="36"/>
    </row>
    <row r="139" spans="1:9">
      <c r="A139" s="36" t="s">
        <v>120</v>
      </c>
      <c r="B139" s="37">
        <v>2.8033000000000002E-7</v>
      </c>
      <c r="C139" s="36" t="s">
        <v>109</v>
      </c>
      <c r="D139" s="36"/>
      <c r="E139" s="36" t="s">
        <v>13</v>
      </c>
      <c r="F139" s="36" t="s">
        <v>25</v>
      </c>
      <c r="G139" s="36" t="s">
        <v>15</v>
      </c>
      <c r="H139" s="36"/>
      <c r="I139" s="36"/>
    </row>
    <row r="140" spans="1:9">
      <c r="A140" s="36" t="s">
        <v>121</v>
      </c>
      <c r="B140" s="37">
        <v>5.6068700000000001E-6</v>
      </c>
      <c r="C140" s="36" t="s">
        <v>109</v>
      </c>
      <c r="D140" s="36"/>
      <c r="E140" s="36" t="s">
        <v>13</v>
      </c>
      <c r="F140" s="36" t="s">
        <v>25</v>
      </c>
      <c r="G140" s="36" t="s">
        <v>15</v>
      </c>
      <c r="H140" s="36"/>
      <c r="I140" s="36"/>
    </row>
    <row r="141" spans="1:9">
      <c r="A141" s="36" t="s">
        <v>122</v>
      </c>
      <c r="B141" s="37">
        <v>3.36417E-5</v>
      </c>
      <c r="C141" s="36" t="s">
        <v>109</v>
      </c>
      <c r="D141" s="36"/>
      <c r="E141" s="36" t="s">
        <v>13</v>
      </c>
      <c r="F141" s="36" t="s">
        <v>25</v>
      </c>
      <c r="G141" s="36" t="s">
        <v>15</v>
      </c>
      <c r="H141" s="36"/>
      <c r="I141" s="36"/>
    </row>
    <row r="142" spans="1:9">
      <c r="A142" s="36" t="s">
        <v>123</v>
      </c>
      <c r="B142" s="37">
        <v>5.6068700000000001E-6</v>
      </c>
      <c r="C142" s="36" t="s">
        <v>109</v>
      </c>
      <c r="D142" s="36"/>
      <c r="E142" s="36" t="s">
        <v>13</v>
      </c>
      <c r="F142" s="36" t="s">
        <v>25</v>
      </c>
      <c r="G142" s="36" t="s">
        <v>15</v>
      </c>
      <c r="H142" s="36"/>
      <c r="I142" s="36"/>
    </row>
    <row r="143" spans="1:9">
      <c r="A143" s="36" t="s">
        <v>124</v>
      </c>
      <c r="B143" s="37">
        <v>5.6068700000000005E-7</v>
      </c>
      <c r="C143" s="36" t="s">
        <v>109</v>
      </c>
      <c r="D143" s="36"/>
      <c r="E143" s="36" t="s">
        <v>13</v>
      </c>
      <c r="F143" s="36" t="s">
        <v>25</v>
      </c>
      <c r="G143" s="36" t="s">
        <v>15</v>
      </c>
      <c r="H143" s="36"/>
      <c r="I143" s="36"/>
    </row>
    <row r="144" spans="1:9">
      <c r="A144" s="36" t="s">
        <v>125</v>
      </c>
      <c r="B144" s="37">
        <v>1.5418699999999999E-5</v>
      </c>
      <c r="C144" s="36" t="s">
        <v>109</v>
      </c>
      <c r="D144" s="36"/>
      <c r="E144" s="36" t="s">
        <v>13</v>
      </c>
      <c r="F144" s="36" t="s">
        <v>25</v>
      </c>
      <c r="G144" s="36" t="s">
        <v>15</v>
      </c>
      <c r="H144" s="36"/>
      <c r="I144" s="36"/>
    </row>
    <row r="145" spans="1:9">
      <c r="A145" s="36" t="s">
        <v>126</v>
      </c>
      <c r="B145" s="37">
        <v>5.6068700000000001E-6</v>
      </c>
      <c r="C145" s="36" t="s">
        <v>109</v>
      </c>
      <c r="D145" s="36"/>
      <c r="E145" s="36" t="s">
        <v>13</v>
      </c>
      <c r="F145" s="36" t="s">
        <v>25</v>
      </c>
      <c r="G145" s="36" t="s">
        <v>15</v>
      </c>
      <c r="H145" s="36"/>
      <c r="I145" s="36"/>
    </row>
    <row r="146" spans="1:9">
      <c r="A146" s="36" t="s">
        <v>127</v>
      </c>
      <c r="B146" s="36">
        <v>0.38033800800000001</v>
      </c>
      <c r="C146" s="36" t="s">
        <v>109</v>
      </c>
      <c r="D146" s="36"/>
      <c r="E146" s="36" t="s">
        <v>128</v>
      </c>
      <c r="F146" s="36" t="s">
        <v>129</v>
      </c>
      <c r="G146" s="36" t="s">
        <v>15</v>
      </c>
      <c r="H146" s="36"/>
      <c r="I146" s="36"/>
    </row>
    <row r="147" spans="1:9">
      <c r="A147" s="36" t="s">
        <v>130</v>
      </c>
      <c r="B147" s="36">
        <v>0.36940000000000001</v>
      </c>
      <c r="C147" s="36" t="s">
        <v>109</v>
      </c>
      <c r="D147" s="36"/>
      <c r="E147" s="36" t="s">
        <v>128</v>
      </c>
      <c r="F147" s="36" t="s">
        <v>131</v>
      </c>
      <c r="G147" s="36" t="s">
        <v>15</v>
      </c>
      <c r="H147" s="36"/>
      <c r="I147" s="36"/>
    </row>
    <row r="148" spans="1:9">
      <c r="A148" s="36" t="s">
        <v>130</v>
      </c>
      <c r="B148" s="36">
        <v>1.0999999999999999E-2</v>
      </c>
      <c r="C148" s="36" t="s">
        <v>109</v>
      </c>
      <c r="D148" s="36"/>
      <c r="E148" s="36" t="s">
        <v>128</v>
      </c>
      <c r="F148" s="36" t="s">
        <v>25</v>
      </c>
      <c r="G148" s="36" t="s">
        <v>15</v>
      </c>
      <c r="H148" s="36"/>
      <c r="I148" s="36" t="s">
        <v>165</v>
      </c>
    </row>
    <row r="149" spans="1:9">
      <c r="A149" s="36" t="s">
        <v>166</v>
      </c>
      <c r="B149" s="36">
        <v>6.1611670199999997</v>
      </c>
      <c r="C149" s="36" t="s">
        <v>167</v>
      </c>
      <c r="D149" s="36" t="s">
        <v>49</v>
      </c>
      <c r="E149" s="36" t="s">
        <v>13</v>
      </c>
      <c r="F149" s="36"/>
      <c r="G149" s="36" t="s">
        <v>12</v>
      </c>
      <c r="H149" s="36" t="s">
        <v>166</v>
      </c>
      <c r="I149" s="36"/>
    </row>
    <row r="150" spans="1:9">
      <c r="A150" s="36" t="s">
        <v>133</v>
      </c>
      <c r="B150" s="37">
        <v>5.3477100000000001E-10</v>
      </c>
      <c r="C150" s="36" t="s">
        <v>167</v>
      </c>
      <c r="D150" s="36" t="s">
        <v>49</v>
      </c>
      <c r="E150" s="36" t="s">
        <v>6</v>
      </c>
      <c r="F150" s="36"/>
      <c r="G150" s="36" t="s">
        <v>12</v>
      </c>
      <c r="H150" s="36" t="s">
        <v>135</v>
      </c>
      <c r="I150" s="36"/>
    </row>
    <row r="151" spans="1:9">
      <c r="A151" s="36" t="s">
        <v>136</v>
      </c>
      <c r="B151" s="36">
        <v>5.32728E-4</v>
      </c>
      <c r="C151" s="36" t="s">
        <v>167</v>
      </c>
      <c r="D151" s="36" t="s">
        <v>137</v>
      </c>
      <c r="E151" s="36" t="s">
        <v>13</v>
      </c>
      <c r="F151" s="36"/>
      <c r="G151" s="36" t="s">
        <v>12</v>
      </c>
      <c r="H151" s="36" t="s">
        <v>138</v>
      </c>
      <c r="I151" s="36"/>
    </row>
    <row r="152" spans="1:9">
      <c r="A152" s="36" t="s">
        <v>139</v>
      </c>
      <c r="B152" s="36">
        <v>3.6000000000000001E-5</v>
      </c>
      <c r="C152" s="36" t="s">
        <v>167</v>
      </c>
      <c r="D152" s="36" t="s">
        <v>140</v>
      </c>
      <c r="E152" s="36" t="s">
        <v>13</v>
      </c>
      <c r="F152" s="36"/>
      <c r="G152" s="36" t="s">
        <v>12</v>
      </c>
      <c r="H152" s="36" t="s">
        <v>141</v>
      </c>
      <c r="I152" s="36"/>
    </row>
    <row r="153" spans="1:9">
      <c r="A153" s="36" t="s">
        <v>142</v>
      </c>
      <c r="B153" s="36">
        <v>3.6240000000000003E-4</v>
      </c>
      <c r="C153" s="36" t="s">
        <v>167</v>
      </c>
      <c r="D153" s="36" t="s">
        <v>140</v>
      </c>
      <c r="E153" s="36" t="s">
        <v>13</v>
      </c>
      <c r="F153" s="36"/>
      <c r="G153" s="36" t="s">
        <v>12</v>
      </c>
      <c r="H153" s="36" t="s">
        <v>143</v>
      </c>
      <c r="I153" s="36"/>
    </row>
    <row r="154" spans="1:9">
      <c r="A154" s="36" t="s">
        <v>168</v>
      </c>
      <c r="B154" s="36">
        <v>2.0948000000000001E-4</v>
      </c>
      <c r="C154" s="36" t="s">
        <v>167</v>
      </c>
      <c r="D154" s="36" t="s">
        <v>140</v>
      </c>
      <c r="E154" s="36" t="s">
        <v>13</v>
      </c>
      <c r="F154" s="36"/>
      <c r="G154" s="36" t="s">
        <v>12</v>
      </c>
      <c r="H154" s="36" t="s">
        <v>169</v>
      </c>
      <c r="I154" s="36"/>
    </row>
    <row r="155" spans="1:9">
      <c r="A155" s="36" t="s">
        <v>144</v>
      </c>
      <c r="B155" s="37">
        <v>2.54628E-9</v>
      </c>
      <c r="C155" s="36" t="s">
        <v>167</v>
      </c>
      <c r="D155" s="36" t="s">
        <v>140</v>
      </c>
      <c r="E155" s="36" t="s">
        <v>6</v>
      </c>
      <c r="F155" s="36"/>
      <c r="G155" s="36" t="s">
        <v>12</v>
      </c>
      <c r="H155" s="36" t="s">
        <v>145</v>
      </c>
      <c r="I155" s="36"/>
    </row>
    <row r="156" spans="1:9">
      <c r="A156" s="36" t="s">
        <v>146</v>
      </c>
      <c r="B156" s="36">
        <v>2.796E-5</v>
      </c>
      <c r="C156" s="36" t="s">
        <v>167</v>
      </c>
      <c r="D156" s="36" t="s">
        <v>140</v>
      </c>
      <c r="E156" s="36" t="s">
        <v>13</v>
      </c>
      <c r="F156" s="36"/>
      <c r="G156" s="36" t="s">
        <v>12</v>
      </c>
      <c r="H156" s="36" t="s">
        <v>147</v>
      </c>
      <c r="I156" s="36"/>
    </row>
    <row r="157" spans="1:9">
      <c r="A157" s="36" t="s">
        <v>148</v>
      </c>
      <c r="B157" s="36">
        <v>1.668E-5</v>
      </c>
      <c r="C157" s="36" t="s">
        <v>167</v>
      </c>
      <c r="D157" s="36" t="s">
        <v>140</v>
      </c>
      <c r="E157" s="36" t="s">
        <v>13</v>
      </c>
      <c r="F157" s="36"/>
      <c r="G157" s="36" t="s">
        <v>12</v>
      </c>
      <c r="H157" s="36" t="s">
        <v>149</v>
      </c>
      <c r="I157" s="36"/>
    </row>
    <row r="158" spans="1:9">
      <c r="A158" s="36" t="s">
        <v>150</v>
      </c>
      <c r="B158" s="36">
        <v>2.0291999999999999E-4</v>
      </c>
      <c r="C158" s="36" t="s">
        <v>167</v>
      </c>
      <c r="D158" s="36" t="s">
        <v>140</v>
      </c>
      <c r="E158" s="36" t="s">
        <v>13</v>
      </c>
      <c r="F158" s="36"/>
      <c r="G158" s="36" t="s">
        <v>12</v>
      </c>
      <c r="H158" s="36" t="s">
        <v>151</v>
      </c>
      <c r="I158" s="36"/>
    </row>
    <row r="159" spans="1:9">
      <c r="A159" s="36" t="s">
        <v>152</v>
      </c>
      <c r="B159" s="36">
        <v>3.1236000000000002E-4</v>
      </c>
      <c r="C159" s="36" t="s">
        <v>167</v>
      </c>
      <c r="D159" s="36" t="s">
        <v>140</v>
      </c>
      <c r="E159" s="36" t="s">
        <v>13</v>
      </c>
      <c r="F159" s="36"/>
      <c r="G159" s="36" t="s">
        <v>12</v>
      </c>
      <c r="H159" s="36" t="s">
        <v>153</v>
      </c>
      <c r="I159" s="36"/>
    </row>
    <row r="160" spans="1:9">
      <c r="A160" s="36" t="s">
        <v>154</v>
      </c>
      <c r="B160" s="36">
        <v>4.8000000000000001E-5</v>
      </c>
      <c r="C160" s="36" t="s">
        <v>167</v>
      </c>
      <c r="D160" s="36" t="s">
        <v>49</v>
      </c>
      <c r="E160" s="36" t="s">
        <v>13</v>
      </c>
      <c r="F160" s="36"/>
      <c r="G160" s="36" t="s">
        <v>12</v>
      </c>
      <c r="H160" s="36" t="s">
        <v>155</v>
      </c>
      <c r="I160" s="36"/>
    </row>
    <row r="161" spans="1:9">
      <c r="A161" s="36" t="s">
        <v>156</v>
      </c>
      <c r="B161" s="36">
        <v>1.1592E-5</v>
      </c>
      <c r="C161" s="36" t="s">
        <v>167</v>
      </c>
      <c r="D161" s="36" t="s">
        <v>140</v>
      </c>
      <c r="E161" s="36" t="s">
        <v>13</v>
      </c>
      <c r="F161" s="36"/>
      <c r="G161" s="36" t="s">
        <v>12</v>
      </c>
      <c r="H161" s="36" t="s">
        <v>157</v>
      </c>
      <c r="I161" s="36"/>
    </row>
    <row r="162" spans="1:9">
      <c r="A162" s="36" t="s">
        <v>21</v>
      </c>
      <c r="B162" s="36">
        <v>7.5375498600000004</v>
      </c>
      <c r="C162" s="36" t="s">
        <v>167</v>
      </c>
      <c r="D162" s="36" t="s">
        <v>22</v>
      </c>
      <c r="E162" s="36" t="s">
        <v>13</v>
      </c>
      <c r="F162" s="36"/>
      <c r="G162" s="36" t="s">
        <v>12</v>
      </c>
      <c r="H162" s="36" t="s">
        <v>23</v>
      </c>
      <c r="I162" s="36"/>
    </row>
    <row r="163" spans="1:9">
      <c r="A163" s="36" t="s">
        <v>158</v>
      </c>
      <c r="B163" s="36">
        <v>8.8290199999999997E-4</v>
      </c>
      <c r="C163" s="36" t="s">
        <v>167</v>
      </c>
      <c r="D163" s="36" t="s">
        <v>140</v>
      </c>
      <c r="E163" s="36" t="s">
        <v>13</v>
      </c>
      <c r="F163" s="36"/>
      <c r="G163" s="36" t="s">
        <v>12</v>
      </c>
      <c r="H163" s="36" t="s">
        <v>159</v>
      </c>
      <c r="I163" s="36"/>
    </row>
    <row r="164" spans="1:9">
      <c r="A164" s="36" t="s">
        <v>160</v>
      </c>
      <c r="B164" s="36">
        <v>3.7139999999999997E-4</v>
      </c>
      <c r="C164" s="36" t="s">
        <v>167</v>
      </c>
      <c r="D164" s="36" t="s">
        <v>140</v>
      </c>
      <c r="E164" s="36" t="s">
        <v>13</v>
      </c>
      <c r="F164" s="36"/>
      <c r="G164" s="36" t="s">
        <v>12</v>
      </c>
      <c r="H164" s="36" t="s">
        <v>161</v>
      </c>
      <c r="I164" s="36"/>
    </row>
    <row r="165" spans="1:9">
      <c r="A165" s="36" t="s">
        <v>98</v>
      </c>
      <c r="B165" s="36">
        <v>0</v>
      </c>
      <c r="C165" s="36" t="s">
        <v>167</v>
      </c>
      <c r="D165" s="36" t="s">
        <v>29</v>
      </c>
      <c r="E165" s="36" t="s">
        <v>19</v>
      </c>
      <c r="F165" s="36"/>
      <c r="G165" s="36" t="s">
        <v>12</v>
      </c>
      <c r="H165" s="36" t="s">
        <v>31</v>
      </c>
      <c r="I165" s="36"/>
    </row>
    <row r="166" spans="1:9">
      <c r="A166" s="38" t="s">
        <v>162</v>
      </c>
      <c r="B166" s="36">
        <v>4.3011681309999998</v>
      </c>
      <c r="C166" s="36" t="s">
        <v>167</v>
      </c>
      <c r="D166" s="36" t="s">
        <v>22</v>
      </c>
      <c r="E166" s="36" t="s">
        <v>128</v>
      </c>
      <c r="F166" s="36"/>
      <c r="G166" s="36" t="s">
        <v>12</v>
      </c>
      <c r="H166" s="36" t="s">
        <v>163</v>
      </c>
      <c r="I166" s="36"/>
    </row>
    <row r="167" spans="1:9">
      <c r="A167" s="36"/>
      <c r="B167" s="36"/>
      <c r="C167" s="36"/>
      <c r="D167" s="36"/>
      <c r="E167" s="36"/>
      <c r="F167" s="36"/>
      <c r="G167" s="36"/>
      <c r="H167" s="36"/>
      <c r="I167" s="36"/>
    </row>
    <row r="168" spans="1:9" ht="15.6">
      <c r="A168" s="30" t="s">
        <v>1</v>
      </c>
      <c r="B168" s="30" t="s">
        <v>272</v>
      </c>
    </row>
    <row r="169" spans="1:9">
      <c r="A169" t="s">
        <v>2</v>
      </c>
      <c r="B169" t="s">
        <v>29</v>
      </c>
    </row>
    <row r="170" spans="1:9">
      <c r="A170" t="s">
        <v>11</v>
      </c>
      <c r="B170" t="s">
        <v>273</v>
      </c>
    </row>
    <row r="171" spans="1:9">
      <c r="A171" t="s">
        <v>3</v>
      </c>
      <c r="B171">
        <v>1</v>
      </c>
    </row>
    <row r="172" spans="1:9">
      <c r="A172" t="s">
        <v>76</v>
      </c>
      <c r="B172"/>
    </row>
    <row r="173" spans="1:9">
      <c r="A173" t="s">
        <v>4</v>
      </c>
      <c r="B173" t="s">
        <v>274</v>
      </c>
    </row>
    <row r="174" spans="1:9">
      <c r="A174" t="s">
        <v>5</v>
      </c>
      <c r="B174" t="s">
        <v>78</v>
      </c>
    </row>
    <row r="175" spans="1:9">
      <c r="A175" t="s">
        <v>6</v>
      </c>
      <c r="B175" s="36" t="s">
        <v>13</v>
      </c>
    </row>
    <row r="176" spans="1:9" ht="15.6">
      <c r="A176" s="30" t="s">
        <v>7</v>
      </c>
      <c r="B176"/>
    </row>
    <row r="177" spans="1:34" ht="15.6">
      <c r="A177" s="30" t="s">
        <v>8</v>
      </c>
      <c r="B177" s="30" t="s">
        <v>9</v>
      </c>
      <c r="C177" s="30" t="s">
        <v>2</v>
      </c>
      <c r="D177" s="30" t="s">
        <v>6</v>
      </c>
      <c r="E177" s="30" t="s">
        <v>10</v>
      </c>
      <c r="F177" s="30" t="s">
        <v>5</v>
      </c>
      <c r="G177" s="30" t="s">
        <v>4</v>
      </c>
      <c r="H177" s="30" t="s">
        <v>11</v>
      </c>
    </row>
    <row r="178" spans="1:34">
      <c r="A178" t="str">
        <f>B168</f>
        <v>empty activity, for market that does not exist any more in 2050, Tr2050</v>
      </c>
      <c r="B178">
        <v>1</v>
      </c>
      <c r="C178" t="s">
        <v>29</v>
      </c>
      <c r="D178" t="str">
        <f>B175</f>
        <v>kilogram</v>
      </c>
      <c r="F178" t="s">
        <v>18</v>
      </c>
      <c r="G178" t="str">
        <f>B173</f>
        <v>nothing</v>
      </c>
    </row>
    <row r="179" spans="1:34">
      <c r="A179" s="41"/>
      <c r="B179" s="41"/>
      <c r="C179" s="42"/>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row>
    <row r="180" spans="1:34">
      <c r="A180" s="43" t="s">
        <v>1</v>
      </c>
      <c r="B180" s="43" t="s">
        <v>195</v>
      </c>
      <c r="C180" s="44"/>
      <c r="D180" s="45"/>
      <c r="E180" s="45"/>
      <c r="F180" s="45"/>
      <c r="G180" s="45"/>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row>
    <row r="181" spans="1:34">
      <c r="A181" s="43" t="s">
        <v>11</v>
      </c>
      <c r="B181" s="45" t="s">
        <v>196</v>
      </c>
      <c r="C181" s="44"/>
      <c r="D181" s="45"/>
      <c r="E181" s="45"/>
      <c r="F181" s="45"/>
      <c r="G181" s="45"/>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row>
    <row r="182" spans="1:34">
      <c r="A182" s="43" t="s">
        <v>2</v>
      </c>
      <c r="B182" s="45" t="s">
        <v>29</v>
      </c>
      <c r="C182" s="44"/>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row>
    <row r="183" spans="1:34">
      <c r="A183" s="46" t="s">
        <v>4</v>
      </c>
      <c r="B183" s="45" t="s">
        <v>197</v>
      </c>
      <c r="C183" s="44"/>
      <c r="D183" s="45"/>
      <c r="E183" s="45"/>
      <c r="F183" s="45"/>
      <c r="G183" s="45"/>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row>
    <row r="184" spans="1:34">
      <c r="A184" s="43" t="s">
        <v>3</v>
      </c>
      <c r="B184" s="47">
        <v>1</v>
      </c>
      <c r="C184" s="44"/>
      <c r="D184" s="48"/>
      <c r="E184" s="45"/>
      <c r="F184" s="45"/>
      <c r="G184" s="45"/>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row>
    <row r="185" spans="1:34">
      <c r="A185" s="43" t="s">
        <v>6</v>
      </c>
      <c r="B185" s="45" t="s">
        <v>128</v>
      </c>
      <c r="C185" s="44"/>
      <c r="D185" s="48"/>
      <c r="E185" s="45"/>
      <c r="F185" s="45"/>
      <c r="G185" s="45"/>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row>
    <row r="186" spans="1:34">
      <c r="A186" s="43" t="s">
        <v>76</v>
      </c>
      <c r="B186" s="45"/>
      <c r="C186" s="44"/>
      <c r="D186" s="48"/>
      <c r="E186" s="45"/>
      <c r="F186" s="45"/>
      <c r="G186" s="45"/>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row>
    <row r="187" spans="1:34">
      <c r="A187" s="43" t="s">
        <v>7</v>
      </c>
      <c r="B187" s="45"/>
      <c r="C187" s="44"/>
      <c r="D187" s="45"/>
      <c r="E187" s="45"/>
      <c r="F187" s="45"/>
      <c r="G187" s="45"/>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row>
    <row r="188" spans="1:34">
      <c r="A188" s="43" t="s">
        <v>8</v>
      </c>
      <c r="B188" s="43" t="s">
        <v>4</v>
      </c>
      <c r="C188" s="49" t="s">
        <v>9</v>
      </c>
      <c r="D188" s="43" t="s">
        <v>6</v>
      </c>
      <c r="E188" s="43" t="s">
        <v>106</v>
      </c>
      <c r="F188" s="43" t="s">
        <v>10</v>
      </c>
      <c r="G188" s="43" t="s">
        <v>2</v>
      </c>
      <c r="H188" s="43" t="s">
        <v>5</v>
      </c>
      <c r="I188" s="43" t="s">
        <v>11</v>
      </c>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row>
    <row r="189" spans="1:34">
      <c r="A189" s="50" t="s">
        <v>195</v>
      </c>
      <c r="B189" s="50" t="s">
        <v>197</v>
      </c>
      <c r="C189" s="51">
        <v>1</v>
      </c>
      <c r="D189" s="45" t="s">
        <v>128</v>
      </c>
      <c r="E189" s="50" t="s">
        <v>198</v>
      </c>
      <c r="F189" s="50"/>
      <c r="G189" s="50" t="s">
        <v>29</v>
      </c>
      <c r="H189" s="50" t="s">
        <v>18</v>
      </c>
      <c r="I189" s="50"/>
      <c r="J189" s="50"/>
      <c r="K189" s="50"/>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row>
    <row r="190" spans="1:34">
      <c r="A190" s="44" t="s">
        <v>199</v>
      </c>
      <c r="B190" s="45"/>
      <c r="C190" s="51">
        <v>2.4324509555475786</v>
      </c>
      <c r="D190" s="45" t="s">
        <v>13</v>
      </c>
      <c r="E190" s="45" t="s">
        <v>109</v>
      </c>
      <c r="F190" s="45" t="s">
        <v>200</v>
      </c>
      <c r="G190" s="45"/>
      <c r="H190" s="45" t="s">
        <v>15</v>
      </c>
      <c r="I190" s="45" t="s">
        <v>201</v>
      </c>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row>
    <row r="191" spans="1:34">
      <c r="A191" s="41"/>
      <c r="B191" s="41"/>
      <c r="C191" s="42"/>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row>
    <row r="192" spans="1:34">
      <c r="A192" s="43" t="s">
        <v>1</v>
      </c>
      <c r="B192" s="43" t="s">
        <v>202</v>
      </c>
      <c r="C192" s="44"/>
      <c r="D192" s="45"/>
      <c r="E192" s="45"/>
      <c r="F192" s="45"/>
      <c r="G192" s="45"/>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row>
    <row r="193" spans="1:34">
      <c r="A193" s="43" t="s">
        <v>11</v>
      </c>
      <c r="B193" s="45" t="s">
        <v>203</v>
      </c>
      <c r="C193" s="44"/>
      <c r="D193" s="45"/>
      <c r="E193" s="45"/>
      <c r="F193" s="45"/>
      <c r="G193" s="45"/>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row>
    <row r="194" spans="1:34">
      <c r="A194" s="43" t="s">
        <v>2</v>
      </c>
      <c r="B194" s="45" t="s">
        <v>29</v>
      </c>
      <c r="C194" s="44"/>
      <c r="D194" s="45"/>
      <c r="E194" s="45"/>
      <c r="F194" s="45"/>
      <c r="G194" s="45"/>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row>
    <row r="195" spans="1:34">
      <c r="A195" s="46" t="s">
        <v>4</v>
      </c>
      <c r="B195" s="45" t="s">
        <v>197</v>
      </c>
      <c r="C195" s="44"/>
      <c r="D195" s="45"/>
      <c r="E195" s="45"/>
      <c r="F195" s="45"/>
      <c r="G195" s="45"/>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row>
    <row r="196" spans="1:34">
      <c r="A196" s="43" t="s">
        <v>3</v>
      </c>
      <c r="B196" s="47">
        <v>1</v>
      </c>
      <c r="C196" s="44"/>
      <c r="D196" s="48"/>
      <c r="E196" s="45"/>
      <c r="F196" s="45"/>
      <c r="G196" s="45"/>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row>
    <row r="197" spans="1:34">
      <c r="A197" s="43" t="s">
        <v>6</v>
      </c>
      <c r="B197" s="45" t="s">
        <v>128</v>
      </c>
      <c r="C197" s="44"/>
      <c r="D197" s="48"/>
      <c r="E197" s="45"/>
      <c r="F197" s="45"/>
      <c r="G197" s="45"/>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row>
    <row r="198" spans="1:34">
      <c r="A198" s="43" t="s">
        <v>76</v>
      </c>
      <c r="B198" s="45"/>
      <c r="C198" s="44"/>
      <c r="D198" s="48"/>
      <c r="E198" s="45"/>
      <c r="F198" s="45"/>
      <c r="G198" s="45"/>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row>
    <row r="199" spans="1:34">
      <c r="A199" s="43" t="s">
        <v>7</v>
      </c>
      <c r="B199" s="45"/>
      <c r="C199" s="44"/>
      <c r="D199" s="45"/>
      <c r="E199" s="45"/>
      <c r="F199" s="45"/>
      <c r="G199" s="45"/>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row>
    <row r="200" spans="1:34">
      <c r="A200" s="43" t="s">
        <v>8</v>
      </c>
      <c r="B200" s="43" t="s">
        <v>4</v>
      </c>
      <c r="C200" s="49" t="s">
        <v>9</v>
      </c>
      <c r="D200" s="43" t="s">
        <v>6</v>
      </c>
      <c r="E200" s="43" t="s">
        <v>106</v>
      </c>
      <c r="F200" s="43" t="s">
        <v>10</v>
      </c>
      <c r="G200" s="43" t="s">
        <v>2</v>
      </c>
      <c r="H200" s="43" t="s">
        <v>5</v>
      </c>
      <c r="I200" s="43" t="s">
        <v>11</v>
      </c>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row>
    <row r="201" spans="1:34">
      <c r="A201" s="50" t="s">
        <v>202</v>
      </c>
      <c r="B201" s="50" t="s">
        <v>197</v>
      </c>
      <c r="C201" s="51">
        <v>1</v>
      </c>
      <c r="D201" s="45" t="s">
        <v>128</v>
      </c>
      <c r="E201" s="50" t="s">
        <v>198</v>
      </c>
      <c r="F201" s="50"/>
      <c r="G201" s="50" t="s">
        <v>29</v>
      </c>
      <c r="H201" s="50" t="s">
        <v>18</v>
      </c>
      <c r="I201" s="50"/>
      <c r="J201" s="50"/>
      <c r="K201" s="50"/>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row>
    <row r="202" spans="1:34">
      <c r="A202" s="44" t="s">
        <v>199</v>
      </c>
      <c r="B202" s="45"/>
      <c r="C202" s="51">
        <v>2.4411239472074011</v>
      </c>
      <c r="D202" s="45" t="s">
        <v>13</v>
      </c>
      <c r="E202" s="45" t="s">
        <v>109</v>
      </c>
      <c r="F202" s="45" t="s">
        <v>200</v>
      </c>
      <c r="G202" s="45"/>
      <c r="H202" s="45" t="s">
        <v>15</v>
      </c>
      <c r="I202" s="45" t="s">
        <v>201</v>
      </c>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row>
    <row r="203" spans="1:34">
      <c r="A203" s="41"/>
      <c r="B203" s="41"/>
      <c r="C203" s="42"/>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row>
    <row r="204" spans="1:34">
      <c r="A204" s="43" t="s">
        <v>1</v>
      </c>
      <c r="B204" s="43" t="s">
        <v>204</v>
      </c>
      <c r="C204" s="44"/>
      <c r="D204" s="45"/>
      <c r="E204" s="45"/>
      <c r="F204" s="45"/>
      <c r="G204" s="45"/>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row>
    <row r="205" spans="1:34">
      <c r="A205" s="43" t="s">
        <v>11</v>
      </c>
      <c r="B205" s="45" t="s">
        <v>205</v>
      </c>
      <c r="C205" s="44"/>
      <c r="D205" s="45"/>
      <c r="E205" s="45"/>
      <c r="F205" s="45"/>
      <c r="G205" s="45"/>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row>
    <row r="206" spans="1:34">
      <c r="A206" s="43" t="s">
        <v>2</v>
      </c>
      <c r="B206" s="45" t="s">
        <v>29</v>
      </c>
      <c r="C206" s="44"/>
      <c r="D206" s="45"/>
      <c r="E206" s="45"/>
      <c r="F206" s="45"/>
      <c r="G206" s="45"/>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row>
    <row r="207" spans="1:34">
      <c r="A207" s="46" t="s">
        <v>4</v>
      </c>
      <c r="B207" s="45" t="s">
        <v>197</v>
      </c>
      <c r="C207" s="44"/>
      <c r="D207" s="45"/>
      <c r="E207" s="45"/>
      <c r="F207" s="45"/>
      <c r="G207" s="45"/>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row>
    <row r="208" spans="1:34">
      <c r="A208" s="43" t="s">
        <v>3</v>
      </c>
      <c r="B208" s="47">
        <v>1</v>
      </c>
      <c r="C208" s="44"/>
      <c r="D208" s="48"/>
      <c r="E208" s="45"/>
      <c r="F208" s="45"/>
      <c r="G208" s="45"/>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row>
    <row r="209" spans="1:34">
      <c r="A209" s="43" t="s">
        <v>6</v>
      </c>
      <c r="B209" s="45" t="s">
        <v>128</v>
      </c>
      <c r="C209" s="44"/>
      <c r="D209" s="48"/>
      <c r="E209" s="45"/>
      <c r="F209" s="45"/>
      <c r="G209" s="45"/>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row>
    <row r="210" spans="1:34">
      <c r="A210" s="43" t="s">
        <v>76</v>
      </c>
      <c r="B210" s="45"/>
      <c r="C210" s="44"/>
      <c r="D210" s="48"/>
      <c r="E210" s="45"/>
      <c r="F210" s="45"/>
      <c r="G210" s="45"/>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row>
    <row r="211" spans="1:34">
      <c r="A211" s="43" t="s">
        <v>7</v>
      </c>
      <c r="B211" s="45"/>
      <c r="C211" s="44"/>
      <c r="D211" s="45"/>
      <c r="E211" s="45"/>
      <c r="F211" s="45"/>
      <c r="G211" s="45"/>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row>
    <row r="212" spans="1:34">
      <c r="A212" s="43" t="s">
        <v>8</v>
      </c>
      <c r="B212" s="43" t="s">
        <v>4</v>
      </c>
      <c r="C212" s="49" t="s">
        <v>9</v>
      </c>
      <c r="D212" s="43" t="s">
        <v>6</v>
      </c>
      <c r="E212" s="43" t="s">
        <v>106</v>
      </c>
      <c r="F212" s="43" t="s">
        <v>10</v>
      </c>
      <c r="G212" s="43" t="s">
        <v>2</v>
      </c>
      <c r="H212" s="43" t="s">
        <v>5</v>
      </c>
      <c r="I212" s="43" t="s">
        <v>11</v>
      </c>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row>
    <row r="213" spans="1:34">
      <c r="A213" s="50" t="s">
        <v>204</v>
      </c>
      <c r="B213" s="50" t="s">
        <v>197</v>
      </c>
      <c r="C213" s="51">
        <v>1</v>
      </c>
      <c r="D213" s="45" t="s">
        <v>128</v>
      </c>
      <c r="E213" s="50" t="s">
        <v>198</v>
      </c>
      <c r="F213" s="50"/>
      <c r="G213" s="50" t="s">
        <v>29</v>
      </c>
      <c r="H213" s="50" t="s">
        <v>18</v>
      </c>
      <c r="I213" s="50"/>
      <c r="J213" s="50"/>
      <c r="K213" s="50"/>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row>
    <row r="214" spans="1:34">
      <c r="A214" s="44" t="s">
        <v>199</v>
      </c>
      <c r="B214" s="45"/>
      <c r="C214" s="51">
        <v>2.4264812291656459</v>
      </c>
      <c r="D214" s="45" t="s">
        <v>13</v>
      </c>
      <c r="E214" s="45" t="s">
        <v>109</v>
      </c>
      <c r="F214" s="45" t="s">
        <v>200</v>
      </c>
      <c r="G214" s="45"/>
      <c r="H214" s="45" t="s">
        <v>15</v>
      </c>
      <c r="I214" s="45" t="s">
        <v>201</v>
      </c>
      <c r="J214" s="45"/>
      <c r="K214" s="45"/>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row>
    <row r="215" spans="1:34">
      <c r="A215" s="41"/>
      <c r="B215" s="41"/>
      <c r="C215" s="42"/>
      <c r="D215" s="41"/>
      <c r="E215" s="41"/>
      <c r="F215" s="41"/>
      <c r="G215" s="41"/>
      <c r="H215" s="41"/>
      <c r="I215" s="41"/>
      <c r="J215" s="41"/>
      <c r="K215" s="41"/>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row>
    <row r="216" spans="1:34">
      <c r="A216" s="43" t="s">
        <v>1</v>
      </c>
      <c r="B216" s="43" t="s">
        <v>206</v>
      </c>
      <c r="C216" s="44"/>
      <c r="D216" s="45"/>
      <c r="E216" s="45"/>
      <c r="F216" s="45"/>
      <c r="G216" s="45"/>
      <c r="H216" s="45"/>
      <c r="I216" s="45"/>
      <c r="J216" s="45"/>
      <c r="K216" s="45"/>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row>
    <row r="217" spans="1:34">
      <c r="A217" s="43" t="s">
        <v>11</v>
      </c>
      <c r="B217" s="45" t="s">
        <v>207</v>
      </c>
      <c r="C217" s="44"/>
      <c r="D217" s="45"/>
      <c r="E217" s="45"/>
      <c r="F217" s="45"/>
      <c r="G217" s="45"/>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row>
    <row r="218" spans="1:34">
      <c r="A218" s="43" t="s">
        <v>2</v>
      </c>
      <c r="B218" s="45" t="s">
        <v>29</v>
      </c>
      <c r="C218" s="44"/>
      <c r="D218" s="45"/>
      <c r="E218" s="45"/>
      <c r="F218" s="45"/>
      <c r="G218" s="45"/>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row>
    <row r="219" spans="1:34">
      <c r="A219" s="46" t="s">
        <v>4</v>
      </c>
      <c r="B219" s="45" t="s">
        <v>197</v>
      </c>
      <c r="C219" s="44"/>
      <c r="D219" s="45"/>
      <c r="E219" s="45"/>
      <c r="F219" s="45"/>
      <c r="G219" s="45"/>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row>
    <row r="220" spans="1:34">
      <c r="A220" s="43" t="s">
        <v>3</v>
      </c>
      <c r="B220" s="47">
        <v>1</v>
      </c>
      <c r="C220" s="47"/>
      <c r="D220" s="48"/>
      <c r="E220" s="45"/>
      <c r="F220" s="45"/>
      <c r="G220" s="45"/>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row>
    <row r="221" spans="1:34">
      <c r="A221" s="43" t="s">
        <v>6</v>
      </c>
      <c r="B221" s="45" t="s">
        <v>128</v>
      </c>
      <c r="C221" s="44"/>
      <c r="D221" s="48"/>
      <c r="E221" s="45"/>
      <c r="F221" s="45"/>
      <c r="G221" s="45"/>
      <c r="H221" s="45"/>
      <c r="I221" s="45"/>
      <c r="J221" s="45"/>
      <c r="K221" s="52"/>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row>
    <row r="222" spans="1:34">
      <c r="A222" s="43" t="s">
        <v>76</v>
      </c>
      <c r="B222" s="45"/>
      <c r="C222" s="44"/>
      <c r="D222" s="48"/>
      <c r="E222" s="45"/>
      <c r="F222" s="45"/>
      <c r="G222" s="45"/>
      <c r="H222" s="45"/>
      <c r="I222" s="45"/>
      <c r="J222" s="45"/>
      <c r="K222" s="45"/>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row>
    <row r="223" spans="1:34">
      <c r="A223" s="43" t="s">
        <v>7</v>
      </c>
      <c r="B223" s="45"/>
      <c r="C223" s="44"/>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row>
    <row r="224" spans="1:34">
      <c r="A224" s="43" t="s">
        <v>8</v>
      </c>
      <c r="B224" s="43" t="s">
        <v>4</v>
      </c>
      <c r="C224" s="49" t="s">
        <v>9</v>
      </c>
      <c r="D224" s="43" t="s">
        <v>6</v>
      </c>
      <c r="E224" s="43" t="s">
        <v>106</v>
      </c>
      <c r="F224" s="43" t="s">
        <v>10</v>
      </c>
      <c r="G224" s="43" t="s">
        <v>2</v>
      </c>
      <c r="H224" s="43" t="s">
        <v>5</v>
      </c>
      <c r="I224" s="43" t="s">
        <v>11</v>
      </c>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row>
    <row r="225" spans="1:34">
      <c r="A225" s="50" t="s">
        <v>206</v>
      </c>
      <c r="B225" s="50" t="s">
        <v>197</v>
      </c>
      <c r="C225" s="44">
        <v>1</v>
      </c>
      <c r="D225" s="45" t="s">
        <v>128</v>
      </c>
      <c r="E225" s="50" t="s">
        <v>198</v>
      </c>
      <c r="F225" s="50"/>
      <c r="G225" s="50" t="s">
        <v>29</v>
      </c>
      <c r="H225" s="50" t="s">
        <v>18</v>
      </c>
      <c r="I225" s="50"/>
      <c r="J225" s="50"/>
      <c r="K225" s="50"/>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row>
    <row r="226" spans="1:34">
      <c r="A226" s="50" t="s">
        <v>208</v>
      </c>
      <c r="B226" s="50" t="s">
        <v>209</v>
      </c>
      <c r="C226" s="44">
        <v>17.038721711591588</v>
      </c>
      <c r="D226" s="45" t="s">
        <v>13</v>
      </c>
      <c r="E226" s="50" t="s">
        <v>198</v>
      </c>
      <c r="F226" s="50"/>
      <c r="G226" s="50" t="s">
        <v>29</v>
      </c>
      <c r="H226" s="50" t="s">
        <v>12</v>
      </c>
      <c r="I226" s="50" t="s">
        <v>210</v>
      </c>
      <c r="J226" s="50"/>
      <c r="K226" s="50"/>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row>
    <row r="227" spans="1:34">
      <c r="A227" s="50" t="s">
        <v>28</v>
      </c>
      <c r="B227" s="50" t="s">
        <v>20</v>
      </c>
      <c r="C227" s="44">
        <v>0.14860015447290678</v>
      </c>
      <c r="D227" s="45" t="s">
        <v>19</v>
      </c>
      <c r="E227" s="50" t="s">
        <v>211</v>
      </c>
      <c r="F227" s="50"/>
      <c r="G227" s="50" t="s">
        <v>29</v>
      </c>
      <c r="H227" s="50" t="s">
        <v>12</v>
      </c>
      <c r="I227" s="50"/>
      <c r="J227" s="50"/>
      <c r="K227" s="50"/>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row>
    <row r="228" spans="1:34">
      <c r="A228" s="45" t="s">
        <v>212</v>
      </c>
      <c r="B228" s="50" t="s">
        <v>213</v>
      </c>
      <c r="C228" s="44">
        <v>3.5263836979497925E-7</v>
      </c>
      <c r="D228" s="45" t="s">
        <v>6</v>
      </c>
      <c r="E228" s="50" t="s">
        <v>211</v>
      </c>
      <c r="F228" s="50"/>
      <c r="G228" s="50" t="s">
        <v>214</v>
      </c>
      <c r="H228" s="50" t="s">
        <v>12</v>
      </c>
      <c r="I228" s="53"/>
      <c r="J228" s="50"/>
      <c r="K228" s="50"/>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row>
    <row r="229" spans="1:34">
      <c r="A229" s="50" t="s">
        <v>215</v>
      </c>
      <c r="B229" s="50" t="s">
        <v>216</v>
      </c>
      <c r="C229" s="44">
        <v>0</v>
      </c>
      <c r="D229" s="45" t="s">
        <v>6</v>
      </c>
      <c r="E229" s="50" t="s">
        <v>211</v>
      </c>
      <c r="F229" s="50"/>
      <c r="G229" s="50" t="s">
        <v>140</v>
      </c>
      <c r="H229" s="50" t="s">
        <v>12</v>
      </c>
      <c r="I229" s="45"/>
      <c r="J229" s="50"/>
      <c r="K229" s="50"/>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row>
    <row r="230" spans="1:34">
      <c r="A230" s="44" t="s">
        <v>199</v>
      </c>
      <c r="B230" s="45"/>
      <c r="C230" s="44">
        <v>2.4151762731261179</v>
      </c>
      <c r="D230" s="45" t="s">
        <v>13</v>
      </c>
      <c r="E230" s="45" t="s">
        <v>109</v>
      </c>
      <c r="F230" s="45" t="s">
        <v>200</v>
      </c>
      <c r="G230" s="45"/>
      <c r="H230" s="45" t="s">
        <v>15</v>
      </c>
      <c r="I230" s="45" t="s">
        <v>217</v>
      </c>
      <c r="J230" s="45"/>
      <c r="K230" s="45"/>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row>
    <row r="231" spans="1:34">
      <c r="A231" s="50" t="s">
        <v>218</v>
      </c>
      <c r="B231" s="50"/>
      <c r="C231" s="44">
        <v>0.52422840672193516</v>
      </c>
      <c r="D231" s="45" t="s">
        <v>13</v>
      </c>
      <c r="E231" s="45" t="s">
        <v>109</v>
      </c>
      <c r="F231" s="50" t="s">
        <v>184</v>
      </c>
      <c r="G231" s="50"/>
      <c r="H231" s="45" t="s">
        <v>15</v>
      </c>
      <c r="I231" s="45" t="s">
        <v>219</v>
      </c>
      <c r="J231" s="50"/>
      <c r="K231" s="50"/>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row>
    <row r="232" spans="1:34">
      <c r="A232" s="50" t="s">
        <v>185</v>
      </c>
      <c r="B232" s="50"/>
      <c r="C232" s="44">
        <v>1.4002787242345601E-2</v>
      </c>
      <c r="D232" s="45" t="s">
        <v>13</v>
      </c>
      <c r="E232" s="45" t="s">
        <v>109</v>
      </c>
      <c r="F232" s="50" t="s">
        <v>184</v>
      </c>
      <c r="G232" s="50"/>
      <c r="H232" s="45" t="s">
        <v>15</v>
      </c>
      <c r="I232" s="45" t="s">
        <v>219</v>
      </c>
      <c r="J232" s="50"/>
      <c r="K232" s="50"/>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row>
    <row r="233" spans="1:34">
      <c r="A233" s="50" t="s">
        <v>220</v>
      </c>
      <c r="B233" s="50"/>
      <c r="C233" s="44">
        <v>2.704353696000001E-4</v>
      </c>
      <c r="D233" s="45" t="s">
        <v>13</v>
      </c>
      <c r="E233" s="45" t="s">
        <v>109</v>
      </c>
      <c r="F233" s="50" t="s">
        <v>184</v>
      </c>
      <c r="G233" s="50"/>
      <c r="H233" s="45" t="s">
        <v>15</v>
      </c>
      <c r="I233" s="45" t="s">
        <v>221</v>
      </c>
      <c r="J233" s="50"/>
      <c r="K233" s="50"/>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row>
    <row r="234" spans="1:34">
      <c r="A234" s="50" t="s">
        <v>115</v>
      </c>
      <c r="B234" s="50"/>
      <c r="C234" s="44">
        <v>1.4084597223000001E-5</v>
      </c>
      <c r="D234" s="45" t="s">
        <v>13</v>
      </c>
      <c r="E234" s="45" t="s">
        <v>109</v>
      </c>
      <c r="F234" s="50" t="s">
        <v>184</v>
      </c>
      <c r="G234" s="50"/>
      <c r="H234" s="45" t="s">
        <v>15</v>
      </c>
      <c r="I234" s="45" t="s">
        <v>221</v>
      </c>
      <c r="J234" s="50"/>
      <c r="K234" s="50"/>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row>
    <row r="235" spans="1:34">
      <c r="A235" s="50" t="s">
        <v>119</v>
      </c>
      <c r="B235" s="50"/>
      <c r="C235" s="44">
        <v>8.4506096340000004E-5</v>
      </c>
      <c r="D235" s="45" t="s">
        <v>13</v>
      </c>
      <c r="E235" s="45" t="s">
        <v>109</v>
      </c>
      <c r="F235" s="50" t="s">
        <v>184</v>
      </c>
      <c r="G235" s="50"/>
      <c r="H235" s="45" t="s">
        <v>15</v>
      </c>
      <c r="I235" s="45" t="s">
        <v>221</v>
      </c>
      <c r="J235" s="50"/>
      <c r="K235" s="50"/>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row>
    <row r="236" spans="1:34">
      <c r="A236" s="50" t="s">
        <v>125</v>
      </c>
      <c r="B236" s="50"/>
      <c r="C236" s="44">
        <v>1.4084597223000002E-4</v>
      </c>
      <c r="D236" s="45" t="s">
        <v>13</v>
      </c>
      <c r="E236" s="45" t="s">
        <v>109</v>
      </c>
      <c r="F236" s="50" t="s">
        <v>184</v>
      </c>
      <c r="G236" s="50"/>
      <c r="H236" s="45" t="s">
        <v>15</v>
      </c>
      <c r="I236" s="45" t="s">
        <v>221</v>
      </c>
      <c r="J236" s="50"/>
      <c r="K236" s="50"/>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row>
    <row r="237" spans="1:34">
      <c r="A237" s="50" t="s">
        <v>222</v>
      </c>
      <c r="B237" s="50"/>
      <c r="C237" s="44">
        <v>1.1267727345000002E-5</v>
      </c>
      <c r="D237" s="45" t="s">
        <v>13</v>
      </c>
      <c r="E237" s="45" t="s">
        <v>109</v>
      </c>
      <c r="F237" s="50" t="s">
        <v>184</v>
      </c>
      <c r="G237" s="50"/>
      <c r="H237" s="45" t="s">
        <v>15</v>
      </c>
      <c r="I237" s="45" t="s">
        <v>221</v>
      </c>
      <c r="J237" s="50"/>
      <c r="K237" s="50"/>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row>
    <row r="238" spans="1:34">
      <c r="A238" s="50" t="s">
        <v>223</v>
      </c>
      <c r="B238" s="50"/>
      <c r="C238" s="44">
        <v>3.9437665290000002E-11</v>
      </c>
      <c r="D238" s="45" t="s">
        <v>13</v>
      </c>
      <c r="E238" s="45" t="s">
        <v>109</v>
      </c>
      <c r="F238" s="50" t="s">
        <v>184</v>
      </c>
      <c r="G238" s="50"/>
      <c r="H238" s="45" t="s">
        <v>15</v>
      </c>
      <c r="I238" s="45" t="s">
        <v>221</v>
      </c>
      <c r="J238" s="50"/>
      <c r="K238" s="50"/>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row>
    <row r="239" spans="1:34">
      <c r="A239" s="41"/>
      <c r="B239" s="41"/>
      <c r="C239" s="42"/>
      <c r="D239" s="41"/>
      <c r="E239" s="41"/>
      <c r="F239" s="41"/>
      <c r="G239" s="41"/>
      <c r="H239" s="41"/>
      <c r="I239" s="41"/>
      <c r="J239" s="41"/>
      <c r="K239" s="41"/>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row>
    <row r="240" spans="1:34">
      <c r="A240" s="43" t="s">
        <v>1</v>
      </c>
      <c r="B240" s="43" t="s">
        <v>224</v>
      </c>
      <c r="C240" s="44"/>
      <c r="D240" s="45"/>
      <c r="E240" s="45"/>
      <c r="F240" s="45"/>
      <c r="G240" s="45"/>
      <c r="H240" s="45"/>
      <c r="I240" s="45"/>
      <c r="J240" s="45"/>
    </row>
    <row r="241" spans="1:34">
      <c r="A241" s="43" t="s">
        <v>11</v>
      </c>
      <c r="B241" s="45" t="s">
        <v>225</v>
      </c>
      <c r="C241" s="44"/>
      <c r="D241" s="45"/>
      <c r="E241" s="45"/>
      <c r="F241" s="45"/>
      <c r="G241" s="45"/>
      <c r="H241" s="45"/>
      <c r="I241" s="45"/>
      <c r="J241" s="45"/>
    </row>
    <row r="242" spans="1:34">
      <c r="A242" s="43" t="s">
        <v>2</v>
      </c>
      <c r="B242" s="45" t="s">
        <v>29</v>
      </c>
      <c r="C242" s="44"/>
      <c r="D242" s="45"/>
      <c r="E242" s="45"/>
      <c r="F242" s="45"/>
      <c r="G242" s="45"/>
      <c r="H242" s="45"/>
      <c r="I242" s="45"/>
      <c r="J242" s="45"/>
    </row>
    <row r="243" spans="1:34">
      <c r="A243" s="46" t="s">
        <v>4</v>
      </c>
      <c r="B243" s="45" t="s">
        <v>197</v>
      </c>
      <c r="D243" s="45"/>
      <c r="E243" s="45"/>
      <c r="F243" s="45"/>
      <c r="G243" s="45"/>
      <c r="H243" s="45"/>
      <c r="I243" s="45"/>
      <c r="J243" s="45"/>
    </row>
    <row r="244" spans="1:34">
      <c r="A244" s="43" t="s">
        <v>3</v>
      </c>
      <c r="B244" s="47">
        <v>1</v>
      </c>
      <c r="C244" s="44"/>
      <c r="D244" s="45"/>
      <c r="E244" s="45"/>
      <c r="F244" s="45"/>
      <c r="G244" s="45"/>
      <c r="H244" s="45"/>
      <c r="I244" s="45"/>
      <c r="J244" s="45"/>
    </row>
    <row r="245" spans="1:34">
      <c r="A245" s="43" t="s">
        <v>6</v>
      </c>
      <c r="B245" s="45" t="s">
        <v>128</v>
      </c>
      <c r="C245" s="44"/>
      <c r="D245" s="45"/>
      <c r="E245" s="45"/>
      <c r="F245" s="45"/>
      <c r="G245" s="45"/>
      <c r="H245" s="45"/>
      <c r="I245" s="45"/>
      <c r="J245" s="45"/>
    </row>
    <row r="246" spans="1:34">
      <c r="A246" s="43" t="s">
        <v>76</v>
      </c>
      <c r="B246" s="45"/>
      <c r="C246" s="44"/>
      <c r="D246" s="48"/>
      <c r="E246" s="45"/>
      <c r="F246" s="45"/>
      <c r="G246" s="45"/>
      <c r="H246" s="45"/>
      <c r="I246" s="45"/>
      <c r="J246" s="45"/>
    </row>
    <row r="247" spans="1:34">
      <c r="A247" s="43" t="s">
        <v>7</v>
      </c>
      <c r="B247" s="45"/>
      <c r="C247" s="44"/>
      <c r="D247" s="45"/>
      <c r="E247" s="45"/>
      <c r="F247" s="45"/>
      <c r="G247" s="45"/>
      <c r="H247" s="45"/>
      <c r="I247" s="45"/>
      <c r="J247" s="45"/>
    </row>
    <row r="248" spans="1:34">
      <c r="A248" s="43" t="s">
        <v>8</v>
      </c>
      <c r="B248" s="43" t="s">
        <v>4</v>
      </c>
      <c r="C248" s="49" t="s">
        <v>9</v>
      </c>
      <c r="D248" s="43" t="s">
        <v>6</v>
      </c>
      <c r="E248" s="43" t="s">
        <v>106</v>
      </c>
      <c r="F248" s="43" t="s">
        <v>10</v>
      </c>
      <c r="G248" s="43" t="s">
        <v>2</v>
      </c>
      <c r="H248" s="43" t="s">
        <v>5</v>
      </c>
      <c r="I248" s="43" t="s">
        <v>11</v>
      </c>
      <c r="J248" s="45"/>
    </row>
    <row r="249" spans="1:34">
      <c r="A249" s="50" t="s">
        <v>224</v>
      </c>
      <c r="B249" s="50" t="s">
        <v>197</v>
      </c>
      <c r="C249" s="51">
        <v>1</v>
      </c>
      <c r="D249" s="45" t="s">
        <v>128</v>
      </c>
      <c r="E249" s="50" t="s">
        <v>198</v>
      </c>
      <c r="F249" s="50"/>
      <c r="G249" s="50" t="s">
        <v>29</v>
      </c>
      <c r="H249" s="50" t="s">
        <v>18</v>
      </c>
      <c r="I249" s="50"/>
      <c r="J249" s="50"/>
    </row>
    <row r="250" spans="1:34">
      <c r="A250" s="50" t="s">
        <v>226</v>
      </c>
      <c r="B250" s="50" t="s">
        <v>227</v>
      </c>
      <c r="C250" s="51">
        <v>6.796920887871722</v>
      </c>
      <c r="D250" s="45" t="s">
        <v>13</v>
      </c>
      <c r="E250" s="50" t="s">
        <v>198</v>
      </c>
      <c r="F250" s="50"/>
      <c r="G250" s="50" t="s">
        <v>29</v>
      </c>
      <c r="H250" s="50" t="s">
        <v>12</v>
      </c>
      <c r="I250" s="50" t="s">
        <v>228</v>
      </c>
      <c r="J250" s="50"/>
    </row>
    <row r="251" spans="1:34">
      <c r="A251" s="50" t="s">
        <v>28</v>
      </c>
      <c r="B251" s="50" t="s">
        <v>20</v>
      </c>
      <c r="C251" s="51">
        <v>0.15362660223230262</v>
      </c>
      <c r="D251" s="45" t="s">
        <v>19</v>
      </c>
      <c r="E251" s="50" t="s">
        <v>211</v>
      </c>
      <c r="F251" s="50"/>
      <c r="G251" s="50" t="s">
        <v>29</v>
      </c>
      <c r="H251" s="50" t="s">
        <v>12</v>
      </c>
      <c r="I251" s="50"/>
      <c r="J251" s="50"/>
      <c r="K251" s="50"/>
      <c r="L251" s="45"/>
      <c r="M251" s="45"/>
      <c r="N251" s="45"/>
      <c r="O251" s="45"/>
      <c r="P251" s="45"/>
      <c r="Q251" s="45"/>
      <c r="R251" s="45"/>
      <c r="S251" s="45"/>
      <c r="T251" s="45"/>
      <c r="U251" s="45"/>
      <c r="V251" s="45"/>
      <c r="W251" s="45"/>
      <c r="X251" s="45"/>
      <c r="Y251" s="45"/>
      <c r="Z251" s="45"/>
      <c r="AA251" s="45"/>
      <c r="AB251" s="45"/>
      <c r="AC251" s="45"/>
      <c r="AD251" s="45"/>
      <c r="AE251" s="45"/>
      <c r="AF251" s="45"/>
      <c r="AG251" s="45"/>
      <c r="AH251" s="45"/>
    </row>
    <row r="252" spans="1:34">
      <c r="A252" s="45" t="s">
        <v>212</v>
      </c>
      <c r="B252" s="50" t="s">
        <v>213</v>
      </c>
      <c r="C252" s="44">
        <v>3.5263836979497925E-7</v>
      </c>
      <c r="D252" s="45" t="s">
        <v>6</v>
      </c>
      <c r="E252" s="50" t="s">
        <v>211</v>
      </c>
      <c r="F252" s="50"/>
      <c r="G252" s="50" t="s">
        <v>214</v>
      </c>
      <c r="H252" s="50" t="s">
        <v>12</v>
      </c>
      <c r="I252" s="53"/>
      <c r="J252" s="50"/>
      <c r="K252" s="50"/>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row>
    <row r="253" spans="1:34">
      <c r="A253" s="50" t="s">
        <v>215</v>
      </c>
      <c r="B253" s="50" t="s">
        <v>216</v>
      </c>
      <c r="C253" s="51">
        <v>0</v>
      </c>
      <c r="D253" s="45" t="s">
        <v>6</v>
      </c>
      <c r="E253" s="50" t="s">
        <v>211</v>
      </c>
      <c r="F253" s="50"/>
      <c r="G253" s="50" t="s">
        <v>140</v>
      </c>
      <c r="H253" s="50" t="s">
        <v>12</v>
      </c>
      <c r="I253" s="50" t="s">
        <v>229</v>
      </c>
      <c r="J253" s="50"/>
      <c r="K253" s="50"/>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row>
    <row r="254" spans="1:34">
      <c r="A254" s="44" t="s">
        <v>199</v>
      </c>
      <c r="B254" s="45"/>
      <c r="C254" s="51">
        <v>2.4436123668001293</v>
      </c>
      <c r="D254" s="45" t="s">
        <v>13</v>
      </c>
      <c r="E254" s="45" t="s">
        <v>109</v>
      </c>
      <c r="F254" s="45" t="s">
        <v>200</v>
      </c>
      <c r="G254" s="45"/>
      <c r="H254" s="45" t="s">
        <v>15</v>
      </c>
      <c r="I254" s="45" t="s">
        <v>217</v>
      </c>
      <c r="J254" s="45"/>
      <c r="K254" s="45"/>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row>
    <row r="255" spans="1:34">
      <c r="A255" s="50" t="s">
        <v>218</v>
      </c>
      <c r="B255" s="50"/>
      <c r="C255" s="51">
        <v>0.52955148246431472</v>
      </c>
      <c r="D255" s="45" t="s">
        <v>13</v>
      </c>
      <c r="E255" s="45" t="s">
        <v>109</v>
      </c>
      <c r="F255" s="50" t="s">
        <v>184</v>
      </c>
      <c r="G255" s="50"/>
      <c r="H255" s="45" t="s">
        <v>15</v>
      </c>
      <c r="I255" s="45" t="s">
        <v>219</v>
      </c>
      <c r="J255" s="50"/>
      <c r="K255" s="50"/>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row>
    <row r="256" spans="1:34">
      <c r="A256" s="50" t="s">
        <v>185</v>
      </c>
      <c r="B256" s="50"/>
      <c r="C256" s="51">
        <v>1.4476436000041995E-2</v>
      </c>
      <c r="D256" s="45" t="s">
        <v>13</v>
      </c>
      <c r="E256" s="45" t="s">
        <v>109</v>
      </c>
      <c r="F256" s="50" t="s">
        <v>184</v>
      </c>
      <c r="G256" s="50"/>
      <c r="H256" s="45" t="s">
        <v>15</v>
      </c>
      <c r="I256" s="45" t="s">
        <v>219</v>
      </c>
      <c r="J256" s="50"/>
      <c r="K256" s="50"/>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row>
    <row r="257" spans="1:34">
      <c r="A257" s="50" t="s">
        <v>220</v>
      </c>
      <c r="B257" s="50"/>
      <c r="C257" s="44">
        <v>2.704353696000001E-4</v>
      </c>
      <c r="D257" s="45" t="s">
        <v>13</v>
      </c>
      <c r="E257" s="45" t="s">
        <v>109</v>
      </c>
      <c r="F257" s="50" t="s">
        <v>184</v>
      </c>
      <c r="G257" s="50"/>
      <c r="H257" s="45" t="s">
        <v>15</v>
      </c>
      <c r="I257" s="45" t="s">
        <v>221</v>
      </c>
      <c r="J257" s="50"/>
      <c r="K257" s="50"/>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row>
    <row r="258" spans="1:34">
      <c r="A258" s="50" t="s">
        <v>115</v>
      </c>
      <c r="B258" s="50"/>
      <c r="C258" s="44">
        <v>1.4084597223000001E-5</v>
      </c>
      <c r="D258" s="45" t="s">
        <v>13</v>
      </c>
      <c r="E258" s="45" t="s">
        <v>109</v>
      </c>
      <c r="F258" s="50" t="s">
        <v>184</v>
      </c>
      <c r="G258" s="50"/>
      <c r="H258" s="45" t="s">
        <v>15</v>
      </c>
      <c r="I258" s="45" t="s">
        <v>221</v>
      </c>
      <c r="J258" s="50"/>
      <c r="K258" s="50"/>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row>
    <row r="259" spans="1:34">
      <c r="A259" s="50" t="s">
        <v>119</v>
      </c>
      <c r="B259" s="50"/>
      <c r="C259" s="44">
        <v>8.4506096340000004E-5</v>
      </c>
      <c r="D259" s="45" t="s">
        <v>13</v>
      </c>
      <c r="E259" s="45" t="s">
        <v>109</v>
      </c>
      <c r="F259" s="50" t="s">
        <v>184</v>
      </c>
      <c r="G259" s="50"/>
      <c r="H259" s="45" t="s">
        <v>15</v>
      </c>
      <c r="I259" s="45" t="s">
        <v>221</v>
      </c>
      <c r="J259" s="50"/>
      <c r="K259" s="50"/>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row>
    <row r="260" spans="1:34">
      <c r="A260" s="50" t="s">
        <v>125</v>
      </c>
      <c r="B260" s="50"/>
      <c r="C260" s="44">
        <v>1.4084597223000002E-4</v>
      </c>
      <c r="D260" s="45" t="s">
        <v>13</v>
      </c>
      <c r="E260" s="45" t="s">
        <v>109</v>
      </c>
      <c r="F260" s="50" t="s">
        <v>184</v>
      </c>
      <c r="G260" s="50"/>
      <c r="H260" s="45" t="s">
        <v>15</v>
      </c>
      <c r="I260" s="45" t="s">
        <v>221</v>
      </c>
      <c r="J260" s="50"/>
      <c r="K260" s="50"/>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row>
    <row r="261" spans="1:34">
      <c r="A261" s="50" t="s">
        <v>222</v>
      </c>
      <c r="B261" s="50"/>
      <c r="C261" s="44">
        <v>1.1267727345000002E-5</v>
      </c>
      <c r="D261" s="45" t="s">
        <v>13</v>
      </c>
      <c r="E261" s="45" t="s">
        <v>109</v>
      </c>
      <c r="F261" s="50" t="s">
        <v>184</v>
      </c>
      <c r="G261" s="50"/>
      <c r="H261" s="45" t="s">
        <v>15</v>
      </c>
      <c r="I261" s="45" t="s">
        <v>221</v>
      </c>
      <c r="J261" s="50"/>
      <c r="K261" s="50"/>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row>
    <row r="262" spans="1:34">
      <c r="A262" s="50" t="s">
        <v>223</v>
      </c>
      <c r="B262" s="50"/>
      <c r="C262" s="44">
        <v>3.9437665290000002E-11</v>
      </c>
      <c r="D262" s="45" t="s">
        <v>13</v>
      </c>
      <c r="E262" s="45" t="s">
        <v>109</v>
      </c>
      <c r="F262" s="50" t="s">
        <v>184</v>
      </c>
      <c r="G262" s="50"/>
      <c r="H262" s="45" t="s">
        <v>15</v>
      </c>
      <c r="I262" s="45" t="s">
        <v>221</v>
      </c>
      <c r="J262" s="50"/>
      <c r="K262" s="50"/>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row>
    <row r="263" spans="1:34">
      <c r="A263" s="41"/>
      <c r="B263" s="41"/>
      <c r="C263" s="42"/>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row>
    <row r="264" spans="1:34">
      <c r="A264" s="43" t="s">
        <v>1</v>
      </c>
      <c r="B264" s="43" t="s">
        <v>230</v>
      </c>
      <c r="C264" s="44"/>
      <c r="D264" s="45"/>
      <c r="E264" s="45"/>
      <c r="F264" s="45"/>
      <c r="G264" s="45"/>
      <c r="H264" s="45"/>
      <c r="I264" s="45"/>
      <c r="J264" s="45"/>
      <c r="K264" s="45"/>
      <c r="L264" s="45"/>
      <c r="M264" s="45"/>
      <c r="N264" s="45"/>
      <c r="O264" s="45"/>
      <c r="P264" s="45"/>
      <c r="Q264" s="45"/>
      <c r="R264" s="45"/>
      <c r="S264" s="45"/>
      <c r="T264" s="45"/>
      <c r="U264" s="45"/>
      <c r="V264" s="45"/>
      <c r="W264" s="45"/>
      <c r="X264" s="45"/>
      <c r="Y264" s="45"/>
      <c r="Z264" s="45"/>
      <c r="AA264" s="45"/>
      <c r="AB264" s="45"/>
      <c r="AC264" s="45"/>
      <c r="AD264" s="45"/>
      <c r="AE264" s="45"/>
      <c r="AF264" s="45"/>
      <c r="AG264" s="45"/>
      <c r="AH264" s="45"/>
    </row>
    <row r="265" spans="1:34">
      <c r="A265" s="43" t="s">
        <v>11</v>
      </c>
      <c r="B265" s="45" t="s">
        <v>231</v>
      </c>
      <c r="C265" s="44"/>
      <c r="D265" s="45"/>
      <c r="E265" s="45"/>
      <c r="F265" s="45"/>
      <c r="G265" s="45"/>
      <c r="H265" s="45"/>
      <c r="I265" s="45"/>
      <c r="J265" s="45"/>
      <c r="K265" s="45"/>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row>
    <row r="266" spans="1:34">
      <c r="A266" s="43" t="s">
        <v>2</v>
      </c>
      <c r="B266" s="45" t="s">
        <v>29</v>
      </c>
      <c r="C266" s="44"/>
      <c r="D266" s="45"/>
      <c r="E266" s="45"/>
      <c r="F266" s="45"/>
      <c r="G266" s="45"/>
      <c r="H266" s="45"/>
      <c r="I266" s="45"/>
      <c r="J266" s="45"/>
      <c r="K266" s="45"/>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row>
    <row r="267" spans="1:34">
      <c r="A267" s="46" t="s">
        <v>4</v>
      </c>
      <c r="B267" s="45" t="s">
        <v>197</v>
      </c>
      <c r="C267" s="44"/>
      <c r="D267" s="45"/>
      <c r="E267" s="45"/>
      <c r="F267" s="45"/>
      <c r="G267" s="45"/>
      <c r="H267" s="45"/>
      <c r="I267" s="45"/>
      <c r="J267" s="45"/>
      <c r="K267" s="45"/>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row>
    <row r="268" spans="1:34">
      <c r="A268" s="43" t="s">
        <v>3</v>
      </c>
      <c r="B268" s="47">
        <v>1</v>
      </c>
      <c r="C268" s="44"/>
      <c r="D268" s="48"/>
      <c r="E268" s="45"/>
      <c r="F268" s="45"/>
      <c r="G268" s="45"/>
      <c r="H268" s="45"/>
      <c r="I268" s="45"/>
      <c r="J268" s="45"/>
      <c r="K268" s="45"/>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row>
    <row r="269" spans="1:34">
      <c r="A269" s="43" t="s">
        <v>6</v>
      </c>
      <c r="B269" s="45" t="s">
        <v>128</v>
      </c>
      <c r="C269" s="44"/>
      <c r="D269" s="48"/>
      <c r="E269" s="45"/>
      <c r="F269" s="45"/>
      <c r="G269" s="45"/>
      <c r="H269" s="45"/>
      <c r="I269" s="45"/>
      <c r="J269" s="45"/>
      <c r="K269" s="45"/>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row>
    <row r="270" spans="1:34">
      <c r="A270" s="43" t="s">
        <v>76</v>
      </c>
      <c r="B270" s="45"/>
      <c r="C270" s="44"/>
      <c r="D270" s="48"/>
      <c r="E270" s="45"/>
      <c r="F270" s="45"/>
      <c r="G270" s="45"/>
      <c r="H270" s="45"/>
      <c r="I270" s="45"/>
      <c r="J270" s="45"/>
      <c r="K270" s="45"/>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row>
    <row r="271" spans="1:34">
      <c r="A271" s="43" t="s">
        <v>7</v>
      </c>
      <c r="B271" s="45"/>
      <c r="C271" s="44"/>
      <c r="D271" s="45"/>
      <c r="E271" s="45"/>
      <c r="F271" s="45"/>
      <c r="G271" s="45"/>
      <c r="H271" s="45"/>
      <c r="I271" s="45"/>
      <c r="J271" s="45"/>
      <c r="K271" s="45"/>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row>
    <row r="272" spans="1:34">
      <c r="A272" s="43" t="s">
        <v>8</v>
      </c>
      <c r="B272" s="43" t="s">
        <v>4</v>
      </c>
      <c r="C272" s="49" t="s">
        <v>9</v>
      </c>
      <c r="D272" s="43" t="s">
        <v>6</v>
      </c>
      <c r="E272" s="43" t="s">
        <v>106</v>
      </c>
      <c r="F272" s="43" t="s">
        <v>10</v>
      </c>
      <c r="G272" s="43" t="s">
        <v>2</v>
      </c>
      <c r="H272" s="43" t="s">
        <v>5</v>
      </c>
      <c r="I272" s="43" t="s">
        <v>11</v>
      </c>
      <c r="J272" s="45"/>
      <c r="K272" s="45"/>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row>
    <row r="273" spans="1:34">
      <c r="A273" s="50" t="s">
        <v>230</v>
      </c>
      <c r="B273" s="50" t="s">
        <v>197</v>
      </c>
      <c r="C273" s="51">
        <v>1</v>
      </c>
      <c r="D273" s="45" t="s">
        <v>128</v>
      </c>
      <c r="E273" s="50" t="s">
        <v>198</v>
      </c>
      <c r="F273" s="50"/>
      <c r="G273" s="50" t="s">
        <v>29</v>
      </c>
      <c r="H273" s="50" t="s">
        <v>18</v>
      </c>
      <c r="I273" s="50"/>
      <c r="J273" s="50"/>
      <c r="K273" s="50"/>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row>
    <row r="274" spans="1:34">
      <c r="A274" s="45" t="s">
        <v>232</v>
      </c>
      <c r="B274" s="45" t="s">
        <v>233</v>
      </c>
      <c r="C274" s="51">
        <v>5.67432228571277</v>
      </c>
      <c r="D274" s="45" t="s">
        <v>13</v>
      </c>
      <c r="E274" s="50" t="s">
        <v>198</v>
      </c>
      <c r="F274" s="45"/>
      <c r="G274" s="50" t="s">
        <v>29</v>
      </c>
      <c r="H274" s="45" t="s">
        <v>12</v>
      </c>
      <c r="I274" s="50" t="s">
        <v>228</v>
      </c>
      <c r="J274" s="45"/>
      <c r="K274" s="45"/>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row>
    <row r="275" spans="1:34">
      <c r="A275" s="50" t="s">
        <v>28</v>
      </c>
      <c r="B275" s="50" t="s">
        <v>20</v>
      </c>
      <c r="C275" s="51">
        <v>0.15480395188810292</v>
      </c>
      <c r="D275" s="45" t="s">
        <v>19</v>
      </c>
      <c r="E275" s="50" t="s">
        <v>211</v>
      </c>
      <c r="F275" s="50"/>
      <c r="G275" s="50" t="s">
        <v>29</v>
      </c>
      <c r="H275" s="50" t="s">
        <v>12</v>
      </c>
      <c r="I275" s="50"/>
      <c r="J275" s="50"/>
      <c r="K275" s="50"/>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row>
    <row r="276" spans="1:34">
      <c r="A276" s="45" t="s">
        <v>212</v>
      </c>
      <c r="B276" s="50" t="s">
        <v>213</v>
      </c>
      <c r="C276" s="44">
        <v>3.5263836979497925E-7</v>
      </c>
      <c r="D276" s="45" t="s">
        <v>6</v>
      </c>
      <c r="E276" s="50" t="s">
        <v>211</v>
      </c>
      <c r="F276" s="50"/>
      <c r="G276" s="50" t="s">
        <v>214</v>
      </c>
      <c r="H276" s="50" t="s">
        <v>12</v>
      </c>
      <c r="I276" s="53"/>
      <c r="J276" s="50"/>
      <c r="K276" s="50"/>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row>
    <row r="277" spans="1:34">
      <c r="A277" s="50" t="s">
        <v>215</v>
      </c>
      <c r="B277" s="50" t="s">
        <v>216</v>
      </c>
      <c r="C277" s="51">
        <v>0</v>
      </c>
      <c r="D277" s="45" t="s">
        <v>6</v>
      </c>
      <c r="E277" s="50" t="s">
        <v>211</v>
      </c>
      <c r="F277" s="50"/>
      <c r="G277" s="50" t="s">
        <v>140</v>
      </c>
      <c r="H277" s="50" t="s">
        <v>12</v>
      </c>
      <c r="I277" s="50" t="s">
        <v>229</v>
      </c>
      <c r="J277" s="50"/>
      <c r="K277" s="50"/>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row>
    <row r="278" spans="1:34">
      <c r="A278" s="44" t="s">
        <v>199</v>
      </c>
      <c r="B278" s="45"/>
      <c r="C278" s="51">
        <v>2.4441844636977375</v>
      </c>
      <c r="D278" s="45" t="s">
        <v>13</v>
      </c>
      <c r="E278" s="45" t="s">
        <v>109</v>
      </c>
      <c r="F278" s="45" t="s">
        <v>200</v>
      </c>
      <c r="G278" s="45"/>
      <c r="H278" s="45" t="s">
        <v>15</v>
      </c>
      <c r="I278" s="45" t="s">
        <v>217</v>
      </c>
    </row>
    <row r="279" spans="1:34">
      <c r="A279" s="50" t="s">
        <v>218</v>
      </c>
      <c r="B279" s="54"/>
      <c r="C279" s="51">
        <v>0.52937968723993423</v>
      </c>
      <c r="D279" s="45" t="s">
        <v>13</v>
      </c>
      <c r="E279" s="45" t="s">
        <v>109</v>
      </c>
      <c r="F279" s="50" t="s">
        <v>184</v>
      </c>
      <c r="G279" s="50"/>
      <c r="H279" s="45" t="s">
        <v>15</v>
      </c>
      <c r="I279" s="45" t="s">
        <v>219</v>
      </c>
    </row>
    <row r="280" spans="1:34">
      <c r="A280" s="50" t="s">
        <v>185</v>
      </c>
      <c r="B280" s="50"/>
      <c r="C280" s="51">
        <v>1.4587379200595843E-2</v>
      </c>
      <c r="D280" s="45" t="s">
        <v>13</v>
      </c>
      <c r="E280" s="45" t="s">
        <v>109</v>
      </c>
      <c r="F280" s="50" t="s">
        <v>184</v>
      </c>
      <c r="G280" s="50"/>
      <c r="H280" s="45" t="s">
        <v>15</v>
      </c>
      <c r="I280" s="45" t="s">
        <v>219</v>
      </c>
    </row>
    <row r="281" spans="1:34">
      <c r="A281" s="50" t="s">
        <v>220</v>
      </c>
      <c r="B281" s="50"/>
      <c r="C281" s="44">
        <v>2.704353696000001E-4</v>
      </c>
      <c r="D281" s="45" t="s">
        <v>13</v>
      </c>
      <c r="E281" s="45" t="s">
        <v>109</v>
      </c>
      <c r="F281" s="50" t="s">
        <v>184</v>
      </c>
      <c r="G281" s="50"/>
      <c r="H281" s="45" t="s">
        <v>15</v>
      </c>
      <c r="I281" s="45" t="s">
        <v>221</v>
      </c>
      <c r="J281" s="50"/>
      <c r="K281" s="50"/>
      <c r="L281" s="45"/>
      <c r="M281" s="45"/>
      <c r="N281" s="45"/>
      <c r="O281" s="45"/>
      <c r="P281" s="45"/>
      <c r="Q281" s="45"/>
      <c r="R281" s="45"/>
      <c r="S281" s="45"/>
      <c r="T281" s="45"/>
      <c r="U281" s="45"/>
      <c r="V281" s="45"/>
      <c r="W281" s="45"/>
      <c r="X281" s="45"/>
      <c r="Y281" s="45"/>
      <c r="Z281" s="45"/>
      <c r="AA281" s="45"/>
      <c r="AB281" s="45"/>
      <c r="AC281" s="45"/>
      <c r="AD281" s="45"/>
      <c r="AE281" s="45"/>
      <c r="AF281" s="45"/>
      <c r="AG281" s="45"/>
      <c r="AH281" s="45"/>
    </row>
    <row r="282" spans="1:34">
      <c r="A282" s="50" t="s">
        <v>115</v>
      </c>
      <c r="B282" s="50"/>
      <c r="C282" s="44">
        <v>1.4084597223000001E-5</v>
      </c>
      <c r="D282" s="45" t="s">
        <v>13</v>
      </c>
      <c r="E282" s="45" t="s">
        <v>109</v>
      </c>
      <c r="F282" s="50" t="s">
        <v>184</v>
      </c>
      <c r="G282" s="50"/>
      <c r="H282" s="45" t="s">
        <v>15</v>
      </c>
      <c r="I282" s="45" t="s">
        <v>221</v>
      </c>
      <c r="J282" s="50"/>
      <c r="K282" s="50"/>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row>
    <row r="283" spans="1:34">
      <c r="A283" s="50" t="s">
        <v>119</v>
      </c>
      <c r="B283" s="50"/>
      <c r="C283" s="44">
        <v>8.4506096340000004E-5</v>
      </c>
      <c r="D283" s="45" t="s">
        <v>13</v>
      </c>
      <c r="E283" s="45" t="s">
        <v>109</v>
      </c>
      <c r="F283" s="50" t="s">
        <v>184</v>
      </c>
      <c r="G283" s="50"/>
      <c r="H283" s="45" t="s">
        <v>15</v>
      </c>
      <c r="I283" s="45" t="s">
        <v>221</v>
      </c>
      <c r="J283" s="50"/>
      <c r="K283" s="50"/>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row>
    <row r="284" spans="1:34">
      <c r="A284" s="50" t="s">
        <v>125</v>
      </c>
      <c r="B284" s="50"/>
      <c r="C284" s="44">
        <v>1.4084597223000002E-4</v>
      </c>
      <c r="D284" s="45" t="s">
        <v>13</v>
      </c>
      <c r="E284" s="45" t="s">
        <v>109</v>
      </c>
      <c r="F284" s="50" t="s">
        <v>184</v>
      </c>
      <c r="G284" s="50"/>
      <c r="H284" s="45" t="s">
        <v>15</v>
      </c>
      <c r="I284" s="45" t="s">
        <v>221</v>
      </c>
      <c r="J284" s="50"/>
      <c r="K284" s="50"/>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row>
    <row r="285" spans="1:34">
      <c r="A285" s="50" t="s">
        <v>222</v>
      </c>
      <c r="B285" s="50"/>
      <c r="C285" s="44">
        <v>1.1267727345000002E-5</v>
      </c>
      <c r="D285" s="45" t="s">
        <v>13</v>
      </c>
      <c r="E285" s="45" t="s">
        <v>109</v>
      </c>
      <c r="F285" s="50" t="s">
        <v>184</v>
      </c>
      <c r="G285" s="50"/>
      <c r="H285" s="45" t="s">
        <v>15</v>
      </c>
      <c r="I285" s="45" t="s">
        <v>221</v>
      </c>
      <c r="J285" s="50"/>
      <c r="K285" s="50"/>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row>
    <row r="286" spans="1:34">
      <c r="A286" s="50" t="s">
        <v>223</v>
      </c>
      <c r="B286" s="50"/>
      <c r="C286" s="44">
        <v>3.9437665290000002E-11</v>
      </c>
      <c r="D286" s="45" t="s">
        <v>13</v>
      </c>
      <c r="E286" s="45" t="s">
        <v>109</v>
      </c>
      <c r="F286" s="50" t="s">
        <v>184</v>
      </c>
      <c r="G286" s="50"/>
      <c r="H286" s="45" t="s">
        <v>15</v>
      </c>
      <c r="I286" s="45" t="s">
        <v>221</v>
      </c>
      <c r="J286" s="50"/>
      <c r="K286" s="50"/>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row>
    <row r="287" spans="1:34">
      <c r="A287" s="41"/>
      <c r="B287" s="41"/>
      <c r="C287" s="42"/>
      <c r="D287" s="41"/>
      <c r="E287" s="41"/>
      <c r="F287" s="41"/>
      <c r="G287" s="41"/>
      <c r="H287" s="41"/>
      <c r="I287" s="41"/>
      <c r="J287" s="41"/>
      <c r="K287" s="45"/>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row>
    <row r="288" spans="1:34">
      <c r="A288" s="43" t="s">
        <v>1</v>
      </c>
      <c r="B288" s="43" t="s">
        <v>234</v>
      </c>
      <c r="C288" s="44"/>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row>
    <row r="289" spans="1:34">
      <c r="A289" s="43" t="s">
        <v>11</v>
      </c>
      <c r="B289" s="45" t="s">
        <v>235</v>
      </c>
      <c r="C289" s="44"/>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row>
    <row r="290" spans="1:34">
      <c r="A290" s="43" t="s">
        <v>2</v>
      </c>
      <c r="B290" s="45" t="s">
        <v>29</v>
      </c>
      <c r="C290" s="44"/>
      <c r="D290" s="45"/>
      <c r="E290" s="45"/>
      <c r="F290" s="45"/>
      <c r="G290" s="45"/>
      <c r="H290" s="45"/>
      <c r="I290" s="45"/>
      <c r="J290" s="45"/>
      <c r="K290" s="45"/>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row>
    <row r="291" spans="1:34">
      <c r="A291" s="46" t="s">
        <v>4</v>
      </c>
      <c r="B291" s="45" t="s">
        <v>197</v>
      </c>
      <c r="C291" s="44"/>
      <c r="D291" s="45"/>
      <c r="E291" s="45"/>
      <c r="F291" s="45"/>
      <c r="G291" s="45"/>
      <c r="H291" s="45"/>
      <c r="I291" s="45"/>
      <c r="J291" s="45"/>
      <c r="K291" s="45"/>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row>
    <row r="292" spans="1:34">
      <c r="A292" s="43" t="s">
        <v>3</v>
      </c>
      <c r="B292" s="47">
        <v>1</v>
      </c>
      <c r="C292" s="44"/>
      <c r="D292" s="48"/>
      <c r="E292" s="45"/>
      <c r="F292" s="45"/>
      <c r="G292" s="45"/>
      <c r="H292" s="45"/>
      <c r="I292" s="45"/>
      <c r="J292" s="45"/>
      <c r="K292" s="45"/>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row>
    <row r="293" spans="1:34">
      <c r="A293" s="43" t="s">
        <v>6</v>
      </c>
      <c r="B293" s="45" t="s">
        <v>128</v>
      </c>
      <c r="C293" s="44"/>
      <c r="D293" s="48"/>
      <c r="E293" s="45"/>
      <c r="F293" s="45"/>
      <c r="G293" s="45"/>
      <c r="H293" s="45"/>
      <c r="I293" s="45"/>
      <c r="J293" s="45"/>
      <c r="K293" s="45"/>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row>
    <row r="294" spans="1:34">
      <c r="A294" s="43" t="s">
        <v>76</v>
      </c>
      <c r="B294" s="45"/>
      <c r="C294" s="44"/>
      <c r="D294" s="48"/>
      <c r="E294" s="45"/>
      <c r="F294" s="45"/>
      <c r="G294" s="45"/>
      <c r="H294" s="45"/>
      <c r="I294" s="45"/>
      <c r="J294" s="45"/>
      <c r="K294" s="45"/>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row>
    <row r="295" spans="1:34">
      <c r="A295" s="43" t="s">
        <v>7</v>
      </c>
      <c r="B295" s="45"/>
      <c r="C295" s="44"/>
      <c r="D295" s="45"/>
      <c r="E295" s="45"/>
      <c r="F295" s="45"/>
      <c r="G295" s="45"/>
      <c r="H295" s="45"/>
      <c r="I295" s="45"/>
      <c r="J295" s="45"/>
      <c r="K295" s="45"/>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row>
    <row r="296" spans="1:34">
      <c r="A296" s="43" t="s">
        <v>8</v>
      </c>
      <c r="B296" s="43" t="s">
        <v>4</v>
      </c>
      <c r="C296" s="49" t="s">
        <v>9</v>
      </c>
      <c r="D296" s="43" t="s">
        <v>6</v>
      </c>
      <c r="E296" s="43" t="s">
        <v>106</v>
      </c>
      <c r="F296" s="43" t="s">
        <v>10</v>
      </c>
      <c r="G296" s="43" t="s">
        <v>2</v>
      </c>
      <c r="H296" s="43" t="s">
        <v>5</v>
      </c>
      <c r="I296" s="43" t="s">
        <v>11</v>
      </c>
      <c r="J296" s="45"/>
      <c r="K296" s="45"/>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row>
    <row r="297" spans="1:34">
      <c r="A297" s="50" t="s">
        <v>234</v>
      </c>
      <c r="B297" s="50" t="s">
        <v>197</v>
      </c>
      <c r="C297" s="51">
        <v>1</v>
      </c>
      <c r="D297" s="45" t="s">
        <v>128</v>
      </c>
      <c r="E297" s="50" t="s">
        <v>198</v>
      </c>
      <c r="F297" s="50"/>
      <c r="G297" s="50" t="s">
        <v>29</v>
      </c>
      <c r="H297" s="50" t="s">
        <v>18</v>
      </c>
      <c r="I297" s="50"/>
      <c r="J297" s="50"/>
      <c r="K297" s="50"/>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row>
    <row r="298" spans="1:34">
      <c r="A298" s="45" t="s">
        <v>236</v>
      </c>
      <c r="B298" s="45" t="s">
        <v>237</v>
      </c>
      <c r="C298" s="51">
        <v>6.6267931534374727</v>
      </c>
      <c r="D298" s="45" t="s">
        <v>13</v>
      </c>
      <c r="E298" s="50" t="s">
        <v>198</v>
      </c>
      <c r="F298" s="45"/>
      <c r="G298" s="50" t="s">
        <v>29</v>
      </c>
      <c r="H298" s="45" t="s">
        <v>12</v>
      </c>
      <c r="I298" s="50" t="s">
        <v>228</v>
      </c>
      <c r="J298" s="45"/>
      <c r="K298" s="50"/>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row>
    <row r="299" spans="1:34">
      <c r="A299" s="50" t="s">
        <v>28</v>
      </c>
      <c r="B299" s="50" t="s">
        <v>20</v>
      </c>
      <c r="C299" s="51">
        <v>0.154269122246882</v>
      </c>
      <c r="D299" s="45" t="s">
        <v>19</v>
      </c>
      <c r="E299" s="50" t="s">
        <v>211</v>
      </c>
      <c r="F299" s="50"/>
      <c r="G299" s="50" t="s">
        <v>29</v>
      </c>
      <c r="H299" s="50" t="s">
        <v>12</v>
      </c>
      <c r="I299" s="50"/>
      <c r="J299" s="50"/>
    </row>
    <row r="300" spans="1:34">
      <c r="A300" s="45" t="s">
        <v>212</v>
      </c>
      <c r="B300" s="50" t="s">
        <v>213</v>
      </c>
      <c r="C300" s="44">
        <v>3.5263836979497925E-7</v>
      </c>
      <c r="D300" s="45" t="s">
        <v>6</v>
      </c>
      <c r="E300" s="50" t="s">
        <v>211</v>
      </c>
      <c r="F300" s="50"/>
      <c r="G300" s="50" t="s">
        <v>214</v>
      </c>
      <c r="H300" s="50" t="s">
        <v>12</v>
      </c>
      <c r="I300" s="53"/>
      <c r="J300" s="50"/>
    </row>
    <row r="301" spans="1:34">
      <c r="A301" s="50" t="s">
        <v>215</v>
      </c>
      <c r="B301" s="50" t="s">
        <v>216</v>
      </c>
      <c r="C301" s="51">
        <v>0</v>
      </c>
      <c r="D301" s="45" t="s">
        <v>6</v>
      </c>
      <c r="E301" s="50" t="s">
        <v>211</v>
      </c>
      <c r="F301" s="50"/>
      <c r="G301" s="50" t="s">
        <v>140</v>
      </c>
      <c r="H301" s="50" t="s">
        <v>12</v>
      </c>
      <c r="I301" s="50" t="s">
        <v>229</v>
      </c>
      <c r="J301" s="50"/>
    </row>
    <row r="302" spans="1:34">
      <c r="A302" s="44" t="s">
        <v>199</v>
      </c>
      <c r="B302" s="45"/>
      <c r="C302" s="51">
        <v>2.443333879364407</v>
      </c>
      <c r="D302" s="45" t="s">
        <v>13</v>
      </c>
      <c r="E302" s="45" t="s">
        <v>109</v>
      </c>
      <c r="F302" s="45" t="s">
        <v>200</v>
      </c>
      <c r="G302" s="45"/>
      <c r="H302" s="45" t="s">
        <v>15</v>
      </c>
      <c r="I302" s="45" t="s">
        <v>217</v>
      </c>
    </row>
    <row r="303" spans="1:34">
      <c r="A303" s="50" t="s">
        <v>218</v>
      </c>
      <c r="B303" s="54"/>
      <c r="C303" s="51">
        <v>0.52932009475919528</v>
      </c>
      <c r="D303" s="45" t="s">
        <v>13</v>
      </c>
      <c r="E303" s="45" t="s">
        <v>109</v>
      </c>
      <c r="F303" s="50" t="s">
        <v>184</v>
      </c>
      <c r="G303" s="50"/>
      <c r="H303" s="45" t="s">
        <v>15</v>
      </c>
      <c r="I303" s="45" t="s">
        <v>219</v>
      </c>
    </row>
    <row r="304" spans="1:34">
      <c r="A304" s="50" t="s">
        <v>185</v>
      </c>
      <c r="B304" s="50"/>
      <c r="C304" s="51">
        <v>1.45369815028042E-2</v>
      </c>
      <c r="D304" s="45" t="s">
        <v>13</v>
      </c>
      <c r="E304" s="45" t="s">
        <v>109</v>
      </c>
      <c r="F304" s="50" t="s">
        <v>184</v>
      </c>
      <c r="G304" s="50"/>
      <c r="H304" s="45" t="s">
        <v>15</v>
      </c>
      <c r="I304" s="45" t="s">
        <v>219</v>
      </c>
    </row>
    <row r="305" spans="1:34">
      <c r="A305" s="50" t="s">
        <v>220</v>
      </c>
      <c r="B305" s="50"/>
      <c r="C305" s="44">
        <v>2.704353696000001E-4</v>
      </c>
      <c r="D305" s="45" t="s">
        <v>13</v>
      </c>
      <c r="E305" s="45" t="s">
        <v>109</v>
      </c>
      <c r="F305" s="50" t="s">
        <v>184</v>
      </c>
      <c r="G305" s="50"/>
      <c r="H305" s="45" t="s">
        <v>15</v>
      </c>
      <c r="I305" s="45" t="s">
        <v>221</v>
      </c>
      <c r="J305" s="50"/>
    </row>
    <row r="306" spans="1:34">
      <c r="A306" s="50" t="s">
        <v>115</v>
      </c>
      <c r="B306" s="50"/>
      <c r="C306" s="44">
        <v>1.4084597223000001E-5</v>
      </c>
      <c r="D306" s="45" t="s">
        <v>13</v>
      </c>
      <c r="E306" s="45" t="s">
        <v>109</v>
      </c>
      <c r="F306" s="50" t="s">
        <v>184</v>
      </c>
      <c r="G306" s="50"/>
      <c r="H306" s="45" t="s">
        <v>15</v>
      </c>
      <c r="I306" s="45" t="s">
        <v>221</v>
      </c>
      <c r="J306" s="50"/>
    </row>
    <row r="307" spans="1:34">
      <c r="A307" s="50" t="s">
        <v>119</v>
      </c>
      <c r="B307" s="50"/>
      <c r="C307" s="44">
        <v>8.4506096340000004E-5</v>
      </c>
      <c r="D307" s="45" t="s">
        <v>13</v>
      </c>
      <c r="E307" s="45" t="s">
        <v>109</v>
      </c>
      <c r="F307" s="50" t="s">
        <v>184</v>
      </c>
      <c r="G307" s="50"/>
      <c r="H307" s="45" t="s">
        <v>15</v>
      </c>
      <c r="I307" s="45" t="s">
        <v>221</v>
      </c>
      <c r="J307" s="50"/>
    </row>
    <row r="308" spans="1:34">
      <c r="A308" s="50" t="s">
        <v>125</v>
      </c>
      <c r="B308" s="50"/>
      <c r="C308" s="44">
        <v>1.4084597223000002E-4</v>
      </c>
      <c r="D308" s="45" t="s">
        <v>13</v>
      </c>
      <c r="E308" s="45" t="s">
        <v>109</v>
      </c>
      <c r="F308" s="50" t="s">
        <v>184</v>
      </c>
      <c r="G308" s="50"/>
      <c r="H308" s="45" t="s">
        <v>15</v>
      </c>
      <c r="I308" s="45" t="s">
        <v>221</v>
      </c>
      <c r="J308" s="50"/>
    </row>
    <row r="309" spans="1:34">
      <c r="A309" s="50" t="s">
        <v>222</v>
      </c>
      <c r="B309" s="50"/>
      <c r="C309" s="44">
        <v>1.1267727345000002E-5</v>
      </c>
      <c r="D309" s="45" t="s">
        <v>13</v>
      </c>
      <c r="E309" s="45" t="s">
        <v>109</v>
      </c>
      <c r="F309" s="50" t="s">
        <v>184</v>
      </c>
      <c r="G309" s="50"/>
      <c r="H309" s="45" t="s">
        <v>15</v>
      </c>
      <c r="I309" s="45" t="s">
        <v>221</v>
      </c>
      <c r="J309" s="50"/>
    </row>
    <row r="310" spans="1:34">
      <c r="A310" s="50" t="s">
        <v>223</v>
      </c>
      <c r="B310" s="50"/>
      <c r="C310" s="44">
        <v>3.9437665290000002E-11</v>
      </c>
      <c r="D310" s="45" t="s">
        <v>13</v>
      </c>
      <c r="E310" s="45" t="s">
        <v>109</v>
      </c>
      <c r="F310" s="50" t="s">
        <v>184</v>
      </c>
      <c r="G310" s="50"/>
      <c r="H310" s="45" t="s">
        <v>15</v>
      </c>
      <c r="I310" s="45" t="s">
        <v>221</v>
      </c>
      <c r="J310" s="50"/>
    </row>
    <row r="311" spans="1:34">
      <c r="A311" s="41"/>
      <c r="B311" s="41"/>
      <c r="C311" s="42"/>
      <c r="D311" s="41"/>
      <c r="E311" s="41"/>
      <c r="F311" s="41"/>
      <c r="G311" s="41"/>
      <c r="H311" s="41"/>
      <c r="I311" s="41"/>
      <c r="J311" s="41"/>
      <c r="K311" s="45"/>
      <c r="L311" s="45"/>
      <c r="M311" s="45"/>
      <c r="N311" s="45"/>
      <c r="O311" s="45"/>
      <c r="P311" s="45"/>
      <c r="Q311" s="45"/>
      <c r="R311" s="45"/>
      <c r="S311" s="45"/>
      <c r="T311" s="45"/>
      <c r="U311" s="45"/>
      <c r="V311" s="45"/>
      <c r="W311" s="45"/>
      <c r="X311" s="45"/>
      <c r="Y311" s="45"/>
      <c r="Z311" s="45"/>
      <c r="AA311" s="45"/>
      <c r="AB311" s="45"/>
      <c r="AC311" s="45"/>
      <c r="AD311" s="45"/>
      <c r="AE311" s="45"/>
      <c r="AF311" s="45"/>
      <c r="AG311" s="45"/>
      <c r="AH311" s="45"/>
    </row>
    <row r="312" spans="1:34">
      <c r="A312" s="43" t="s">
        <v>1</v>
      </c>
      <c r="B312" s="43" t="s">
        <v>238</v>
      </c>
      <c r="C312" s="44"/>
      <c r="D312" s="45"/>
      <c r="E312" s="45"/>
      <c r="F312" s="45"/>
      <c r="G312" s="45"/>
      <c r="H312" s="45"/>
      <c r="I312" s="45"/>
      <c r="J312" s="45"/>
      <c r="K312" s="45"/>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row>
    <row r="313" spans="1:34">
      <c r="A313" s="43" t="s">
        <v>11</v>
      </c>
      <c r="B313" s="45" t="s">
        <v>235</v>
      </c>
      <c r="C313" s="44"/>
      <c r="D313" s="45"/>
      <c r="E313" s="45"/>
      <c r="F313" s="45"/>
      <c r="G313" s="45"/>
      <c r="H313" s="45"/>
      <c r="I313" s="45"/>
      <c r="J313" s="45"/>
      <c r="K313" s="45"/>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row>
    <row r="314" spans="1:34">
      <c r="A314" s="43" t="s">
        <v>2</v>
      </c>
      <c r="B314" s="45" t="s">
        <v>29</v>
      </c>
      <c r="C314" s="44"/>
      <c r="D314" s="45"/>
      <c r="E314" s="45"/>
      <c r="F314" s="45"/>
      <c r="G314" s="45"/>
      <c r="H314" s="45"/>
      <c r="I314" s="45"/>
      <c r="J314" s="45"/>
      <c r="K314" s="45"/>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row>
    <row r="315" spans="1:34">
      <c r="A315" s="46" t="s">
        <v>4</v>
      </c>
      <c r="B315" s="45" t="s">
        <v>197</v>
      </c>
      <c r="C315" s="44"/>
      <c r="D315" s="45"/>
      <c r="E315" s="45"/>
      <c r="F315" s="45"/>
      <c r="G315" s="45"/>
      <c r="H315" s="45"/>
      <c r="I315" s="45"/>
      <c r="J315" s="45"/>
      <c r="K315" s="45"/>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row>
    <row r="316" spans="1:34">
      <c r="A316" s="43" t="s">
        <v>3</v>
      </c>
      <c r="B316" s="47">
        <v>1</v>
      </c>
      <c r="C316" s="44"/>
      <c r="D316" s="48"/>
      <c r="E316" s="45"/>
      <c r="F316" s="45"/>
      <c r="G316" s="45"/>
      <c r="H316" s="45"/>
      <c r="I316" s="45"/>
      <c r="J316" s="45"/>
      <c r="K316" s="45"/>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row>
    <row r="317" spans="1:34">
      <c r="A317" s="43" t="s">
        <v>6</v>
      </c>
      <c r="B317" s="45" t="s">
        <v>128</v>
      </c>
      <c r="C317" s="44"/>
      <c r="D317" s="48"/>
      <c r="E317" s="45"/>
      <c r="F317" s="45"/>
      <c r="G317" s="45"/>
      <c r="H317" s="45"/>
      <c r="I317" s="45"/>
      <c r="J317" s="45"/>
      <c r="K317" s="45"/>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row>
    <row r="318" spans="1:34">
      <c r="A318" s="43" t="s">
        <v>76</v>
      </c>
      <c r="B318" s="45"/>
      <c r="C318" s="44"/>
      <c r="D318" s="48"/>
      <c r="E318" s="45"/>
      <c r="F318" s="45"/>
      <c r="G318" s="45"/>
      <c r="H318" s="45"/>
      <c r="I318" s="45"/>
      <c r="J318" s="45"/>
      <c r="K318" s="45"/>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row>
    <row r="319" spans="1:34">
      <c r="A319" s="43" t="s">
        <v>7</v>
      </c>
      <c r="B319" s="45"/>
      <c r="C319" s="44"/>
      <c r="D319" s="45"/>
      <c r="E319" s="45"/>
      <c r="F319" s="45"/>
      <c r="G319" s="45"/>
      <c r="H319" s="45"/>
      <c r="I319" s="45"/>
      <c r="J319" s="45"/>
      <c r="K319" s="45"/>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row>
    <row r="320" spans="1:34">
      <c r="A320" s="43" t="s">
        <v>8</v>
      </c>
      <c r="B320" s="43" t="s">
        <v>4</v>
      </c>
      <c r="C320" s="49" t="s">
        <v>9</v>
      </c>
      <c r="D320" s="43" t="s">
        <v>6</v>
      </c>
      <c r="E320" s="43" t="s">
        <v>106</v>
      </c>
      <c r="F320" s="43" t="s">
        <v>10</v>
      </c>
      <c r="G320" s="43" t="s">
        <v>2</v>
      </c>
      <c r="H320" s="43" t="s">
        <v>5</v>
      </c>
      <c r="I320" s="43" t="s">
        <v>11</v>
      </c>
      <c r="J320" s="45"/>
      <c r="K320" s="45"/>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row>
    <row r="321" spans="1:34">
      <c r="A321" s="50" t="s">
        <v>238</v>
      </c>
      <c r="B321" s="50" t="s">
        <v>197</v>
      </c>
      <c r="C321" s="51">
        <v>1</v>
      </c>
      <c r="D321" s="45" t="s">
        <v>128</v>
      </c>
      <c r="E321" s="50" t="s">
        <v>198</v>
      </c>
      <c r="F321" s="50"/>
      <c r="G321" s="50" t="s">
        <v>29</v>
      </c>
      <c r="H321" s="50" t="s">
        <v>18</v>
      </c>
      <c r="I321" s="50"/>
      <c r="J321" s="50"/>
      <c r="K321" s="50"/>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row>
    <row r="322" spans="1:34">
      <c r="A322" s="45" t="s">
        <v>239</v>
      </c>
      <c r="B322" s="45" t="s">
        <v>240</v>
      </c>
      <c r="C322" s="51">
        <v>9.4653062547439788</v>
      </c>
      <c r="D322" s="45" t="s">
        <v>13</v>
      </c>
      <c r="E322" s="50" t="s">
        <v>198</v>
      </c>
      <c r="F322" s="45"/>
      <c r="G322" s="50" t="s">
        <v>29</v>
      </c>
      <c r="H322" s="45" t="s">
        <v>12</v>
      </c>
      <c r="I322" s="50" t="s">
        <v>228</v>
      </c>
      <c r="J322" s="45"/>
      <c r="K322" s="50"/>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row>
    <row r="323" spans="1:34">
      <c r="A323" s="50" t="s">
        <v>28</v>
      </c>
      <c r="B323" s="50" t="s">
        <v>20</v>
      </c>
      <c r="C323" s="51">
        <v>0.15404859548644473</v>
      </c>
      <c r="D323" s="45" t="s">
        <v>19</v>
      </c>
      <c r="E323" s="50" t="s">
        <v>211</v>
      </c>
      <c r="F323" s="50"/>
      <c r="G323" s="50" t="s">
        <v>29</v>
      </c>
      <c r="H323" s="50" t="s">
        <v>12</v>
      </c>
      <c r="I323" s="50"/>
      <c r="J323" s="50"/>
    </row>
    <row r="324" spans="1:34">
      <c r="A324" s="45" t="s">
        <v>212</v>
      </c>
      <c r="B324" s="50" t="s">
        <v>213</v>
      </c>
      <c r="C324" s="51">
        <v>3.5263836979497925E-7</v>
      </c>
      <c r="D324" s="45" t="s">
        <v>6</v>
      </c>
      <c r="E324" s="50" t="s">
        <v>211</v>
      </c>
      <c r="F324" s="50"/>
      <c r="G324" s="50" t="s">
        <v>214</v>
      </c>
      <c r="H324" s="50" t="s">
        <v>12</v>
      </c>
      <c r="I324" s="53"/>
      <c r="J324" s="50"/>
    </row>
    <row r="325" spans="1:34">
      <c r="A325" s="50" t="s">
        <v>215</v>
      </c>
      <c r="B325" s="50" t="s">
        <v>216</v>
      </c>
      <c r="C325" s="51">
        <v>0</v>
      </c>
      <c r="D325" s="45" t="s">
        <v>6</v>
      </c>
      <c r="E325" s="50" t="s">
        <v>211</v>
      </c>
      <c r="F325" s="50"/>
      <c r="G325" s="50" t="s">
        <v>140</v>
      </c>
      <c r="H325" s="50" t="s">
        <v>12</v>
      </c>
      <c r="I325" s="50" t="s">
        <v>229</v>
      </c>
      <c r="J325" s="50"/>
    </row>
    <row r="326" spans="1:34">
      <c r="A326" s="44" t="s">
        <v>199</v>
      </c>
      <c r="B326" s="45"/>
      <c r="C326" s="51">
        <v>2.4424421269274674</v>
      </c>
      <c r="D326" s="45" t="s">
        <v>13</v>
      </c>
      <c r="E326" s="45" t="s">
        <v>109</v>
      </c>
      <c r="F326" s="45" t="s">
        <v>200</v>
      </c>
      <c r="G326" s="45"/>
      <c r="H326" s="45" t="s">
        <v>15</v>
      </c>
      <c r="I326" s="45" t="s">
        <v>217</v>
      </c>
    </row>
    <row r="327" spans="1:34">
      <c r="A327" s="50" t="s">
        <v>218</v>
      </c>
      <c r="B327" s="54"/>
      <c r="C327" s="51">
        <v>0.52916946288666733</v>
      </c>
      <c r="D327" s="45" t="s">
        <v>13</v>
      </c>
      <c r="E327" s="45" t="s">
        <v>109</v>
      </c>
      <c r="F327" s="50" t="s">
        <v>184</v>
      </c>
      <c r="G327" s="50"/>
      <c r="H327" s="45" t="s">
        <v>15</v>
      </c>
      <c r="I327" s="45" t="s">
        <v>219</v>
      </c>
    </row>
    <row r="328" spans="1:34">
      <c r="A328" s="50" t="s">
        <v>185</v>
      </c>
      <c r="B328" s="50"/>
      <c r="C328" s="51">
        <v>1.4516200977248223E-2</v>
      </c>
      <c r="D328" s="45" t="s">
        <v>13</v>
      </c>
      <c r="E328" s="45" t="s">
        <v>109</v>
      </c>
      <c r="F328" s="50" t="s">
        <v>184</v>
      </c>
      <c r="G328" s="50"/>
      <c r="H328" s="45" t="s">
        <v>15</v>
      </c>
      <c r="I328" s="45" t="s">
        <v>219</v>
      </c>
    </row>
    <row r="329" spans="1:34">
      <c r="A329" s="50" t="s">
        <v>220</v>
      </c>
      <c r="B329" s="50"/>
      <c r="C329" s="51">
        <v>2.704353696000001E-4</v>
      </c>
      <c r="D329" s="45" t="s">
        <v>13</v>
      </c>
      <c r="E329" s="45" t="s">
        <v>109</v>
      </c>
      <c r="F329" s="50" t="s">
        <v>184</v>
      </c>
      <c r="G329" s="50"/>
      <c r="H329" s="45" t="s">
        <v>15</v>
      </c>
      <c r="I329" s="45" t="s">
        <v>221</v>
      </c>
      <c r="J329" s="50"/>
    </row>
    <row r="330" spans="1:34">
      <c r="A330" s="50" t="s">
        <v>115</v>
      </c>
      <c r="B330" s="50"/>
      <c r="C330" s="51">
        <v>1.4084597223000001E-5</v>
      </c>
      <c r="D330" s="45" t="s">
        <v>13</v>
      </c>
      <c r="E330" s="45" t="s">
        <v>109</v>
      </c>
      <c r="F330" s="50" t="s">
        <v>184</v>
      </c>
      <c r="G330" s="50"/>
      <c r="H330" s="45" t="s">
        <v>15</v>
      </c>
      <c r="I330" s="45" t="s">
        <v>221</v>
      </c>
      <c r="J330" s="50"/>
    </row>
    <row r="331" spans="1:34">
      <c r="A331" s="50" t="s">
        <v>119</v>
      </c>
      <c r="B331" s="50"/>
      <c r="C331" s="51">
        <v>8.4506096340000004E-5</v>
      </c>
      <c r="D331" s="45" t="s">
        <v>13</v>
      </c>
      <c r="E331" s="45" t="s">
        <v>109</v>
      </c>
      <c r="F331" s="50" t="s">
        <v>184</v>
      </c>
      <c r="G331" s="50"/>
      <c r="H331" s="45" t="s">
        <v>15</v>
      </c>
      <c r="I331" s="45" t="s">
        <v>221</v>
      </c>
      <c r="J331" s="50"/>
    </row>
    <row r="332" spans="1:34">
      <c r="A332" s="50" t="s">
        <v>125</v>
      </c>
      <c r="B332" s="50"/>
      <c r="C332" s="51">
        <v>1.4084597223000002E-4</v>
      </c>
      <c r="D332" s="45" t="s">
        <v>13</v>
      </c>
      <c r="E332" s="45" t="s">
        <v>109</v>
      </c>
      <c r="F332" s="50" t="s">
        <v>184</v>
      </c>
      <c r="G332" s="50"/>
      <c r="H332" s="45" t="s">
        <v>15</v>
      </c>
      <c r="I332" s="45" t="s">
        <v>221</v>
      </c>
      <c r="J332" s="50"/>
    </row>
    <row r="333" spans="1:34">
      <c r="A333" s="50" t="s">
        <v>222</v>
      </c>
      <c r="B333" s="50"/>
      <c r="C333" s="51">
        <v>1.1267727345000002E-5</v>
      </c>
      <c r="D333" s="45" t="s">
        <v>13</v>
      </c>
      <c r="E333" s="45" t="s">
        <v>109</v>
      </c>
      <c r="F333" s="50" t="s">
        <v>184</v>
      </c>
      <c r="G333" s="50"/>
      <c r="H333" s="45" t="s">
        <v>15</v>
      </c>
      <c r="I333" s="45" t="s">
        <v>221</v>
      </c>
      <c r="J333" s="50"/>
    </row>
    <row r="334" spans="1:34">
      <c r="A334" s="50" t="s">
        <v>223</v>
      </c>
      <c r="B334" s="50"/>
      <c r="C334" s="51">
        <v>3.9437665290000002E-11</v>
      </c>
      <c r="D334" s="45" t="s">
        <v>13</v>
      </c>
      <c r="E334" s="45" t="s">
        <v>109</v>
      </c>
      <c r="F334" s="50" t="s">
        <v>184</v>
      </c>
      <c r="G334" s="50"/>
      <c r="H334" s="45" t="s">
        <v>15</v>
      </c>
      <c r="I334" s="45" t="s">
        <v>221</v>
      </c>
      <c r="J334" s="50"/>
    </row>
    <row r="335" spans="1:34">
      <c r="A335" s="41"/>
      <c r="B335" s="41"/>
      <c r="C335" s="42"/>
      <c r="D335" s="41"/>
      <c r="E335" s="41"/>
      <c r="F335" s="41"/>
      <c r="G335" s="41"/>
      <c r="H335" s="41"/>
      <c r="I335" s="41"/>
      <c r="J335" s="41"/>
      <c r="K335" s="41"/>
      <c r="L335" s="41"/>
      <c r="M335" s="41"/>
      <c r="N335" s="41"/>
      <c r="O335" s="41"/>
      <c r="P335" s="41"/>
      <c r="Q335" s="41"/>
      <c r="R335" s="41"/>
      <c r="S335" s="41"/>
      <c r="T335" s="41"/>
      <c r="U335" s="41"/>
      <c r="V335" s="41"/>
      <c r="W335" s="41"/>
      <c r="X335" s="41"/>
      <c r="Y335" s="41"/>
      <c r="Z335" s="41"/>
      <c r="AA335" s="41"/>
      <c r="AB335" s="41"/>
      <c r="AC335" s="41"/>
      <c r="AD335" s="41"/>
      <c r="AE335" s="41"/>
      <c r="AF335" s="41"/>
      <c r="AG335" s="41"/>
      <c r="AH335" s="41"/>
    </row>
    <row r="336" spans="1:34">
      <c r="A336" s="43" t="s">
        <v>1</v>
      </c>
      <c r="B336" s="43" t="s">
        <v>236</v>
      </c>
      <c r="C336" s="44"/>
      <c r="D336" s="45"/>
      <c r="E336" s="45"/>
      <c r="F336" s="45"/>
      <c r="G336" s="45"/>
      <c r="H336" s="45"/>
      <c r="I336" s="45"/>
    </row>
    <row r="337" spans="1:34">
      <c r="A337" s="43" t="s">
        <v>11</v>
      </c>
      <c r="B337" s="45" t="s">
        <v>241</v>
      </c>
      <c r="C337" s="44"/>
      <c r="D337" s="45"/>
      <c r="E337" s="45"/>
      <c r="F337" s="45"/>
      <c r="G337" s="45"/>
      <c r="H337" s="45"/>
      <c r="I337" s="45"/>
    </row>
    <row r="338" spans="1:34">
      <c r="A338" s="43" t="s">
        <v>2</v>
      </c>
      <c r="B338" s="45" t="s">
        <v>29</v>
      </c>
      <c r="C338" s="44"/>
      <c r="D338" s="45"/>
      <c r="E338" s="45"/>
      <c r="F338" s="45"/>
      <c r="G338" s="45"/>
      <c r="H338" s="45"/>
      <c r="I338" s="45"/>
    </row>
    <row r="339" spans="1:34">
      <c r="A339" s="46" t="s">
        <v>4</v>
      </c>
      <c r="B339" s="50" t="s">
        <v>237</v>
      </c>
      <c r="C339" s="44"/>
      <c r="D339" s="45"/>
      <c r="E339" s="45"/>
      <c r="F339" s="45"/>
      <c r="G339" s="45"/>
      <c r="H339" s="45"/>
      <c r="I339" s="45"/>
    </row>
    <row r="340" spans="1:34">
      <c r="A340" s="43" t="s">
        <v>3</v>
      </c>
      <c r="B340" s="47">
        <v>1</v>
      </c>
      <c r="C340" s="44"/>
      <c r="D340" s="48"/>
      <c r="E340" s="45"/>
      <c r="F340" s="45"/>
      <c r="G340" s="45"/>
      <c r="H340" s="45"/>
      <c r="I340" s="45"/>
    </row>
    <row r="341" spans="1:34">
      <c r="A341" s="43" t="s">
        <v>6</v>
      </c>
      <c r="B341" s="45" t="s">
        <v>13</v>
      </c>
      <c r="C341" s="44"/>
      <c r="D341" s="48"/>
      <c r="E341" s="45"/>
      <c r="F341" s="45"/>
      <c r="G341" s="45"/>
      <c r="H341" s="45"/>
      <c r="I341" s="45"/>
    </row>
    <row r="342" spans="1:34">
      <c r="A342" s="43" t="s">
        <v>76</v>
      </c>
      <c r="B342" s="45"/>
      <c r="C342" s="44"/>
      <c r="D342" s="48"/>
      <c r="E342" s="45"/>
      <c r="F342" s="45"/>
      <c r="G342" s="45"/>
      <c r="H342" s="45"/>
      <c r="I342" s="45"/>
    </row>
    <row r="343" spans="1:34">
      <c r="A343" s="43" t="s">
        <v>7</v>
      </c>
      <c r="B343" s="45"/>
      <c r="C343" s="44"/>
      <c r="D343" s="45"/>
      <c r="E343" s="45"/>
      <c r="F343" s="45"/>
      <c r="G343" s="45"/>
      <c r="H343" s="45"/>
      <c r="I343" s="45"/>
    </row>
    <row r="344" spans="1:34">
      <c r="A344" s="43" t="s">
        <v>8</v>
      </c>
      <c r="B344" s="43" t="s">
        <v>4</v>
      </c>
      <c r="C344" s="49" t="s">
        <v>9</v>
      </c>
      <c r="D344" s="43" t="s">
        <v>6</v>
      </c>
      <c r="E344" s="43" t="s">
        <v>106</v>
      </c>
      <c r="F344" s="43" t="s">
        <v>10</v>
      </c>
      <c r="G344" s="43" t="s">
        <v>2</v>
      </c>
      <c r="H344" s="43" t="s">
        <v>5</v>
      </c>
      <c r="I344" s="43" t="s">
        <v>11</v>
      </c>
    </row>
    <row r="345" spans="1:34">
      <c r="A345" s="50" t="s">
        <v>236</v>
      </c>
      <c r="B345" s="50" t="s">
        <v>237</v>
      </c>
      <c r="C345" s="51">
        <v>1</v>
      </c>
      <c r="D345" s="45" t="s">
        <v>13</v>
      </c>
      <c r="E345" s="50" t="s">
        <v>198</v>
      </c>
      <c r="F345" s="50"/>
      <c r="G345" s="50" t="s">
        <v>29</v>
      </c>
      <c r="H345" s="50" t="s">
        <v>18</v>
      </c>
      <c r="I345" s="50"/>
    </row>
    <row r="346" spans="1:34">
      <c r="A346" s="50" t="s">
        <v>242</v>
      </c>
      <c r="B346" s="50" t="s">
        <v>243</v>
      </c>
      <c r="C346" s="51">
        <v>0.01</v>
      </c>
      <c r="D346" s="45" t="s">
        <v>244</v>
      </c>
      <c r="E346" s="50" t="s">
        <v>211</v>
      </c>
      <c r="F346" s="50"/>
      <c r="G346" s="50" t="s">
        <v>49</v>
      </c>
      <c r="H346" s="50" t="s">
        <v>12</v>
      </c>
      <c r="I346" s="50"/>
    </row>
    <row r="347" spans="1:34">
      <c r="A347" s="41"/>
      <c r="B347" s="41"/>
      <c r="C347" s="42"/>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row>
    <row r="348" spans="1:34">
      <c r="A348" s="43" t="s">
        <v>1</v>
      </c>
      <c r="B348" s="43" t="s">
        <v>239</v>
      </c>
      <c r="C348" s="44"/>
      <c r="D348" s="45"/>
      <c r="E348" s="45"/>
      <c r="F348" s="45"/>
      <c r="G348" s="45"/>
      <c r="H348" s="45"/>
      <c r="I348" s="45"/>
    </row>
    <row r="349" spans="1:34">
      <c r="A349" s="43" t="s">
        <v>11</v>
      </c>
      <c r="B349" s="45" t="s">
        <v>241</v>
      </c>
      <c r="C349" s="44"/>
      <c r="D349" s="45"/>
      <c r="E349" s="45"/>
      <c r="F349" s="45"/>
      <c r="G349" s="45"/>
      <c r="H349" s="45"/>
      <c r="I349" s="45"/>
    </row>
    <row r="350" spans="1:34">
      <c r="A350" s="43" t="s">
        <v>2</v>
      </c>
      <c r="B350" s="45" t="s">
        <v>29</v>
      </c>
      <c r="C350" s="44"/>
      <c r="D350" s="45"/>
      <c r="E350" s="45"/>
      <c r="F350" s="45"/>
      <c r="G350" s="45"/>
      <c r="H350" s="45"/>
      <c r="I350" s="45"/>
    </row>
    <row r="351" spans="1:34">
      <c r="A351" s="46" t="s">
        <v>4</v>
      </c>
      <c r="B351" s="45" t="s">
        <v>240</v>
      </c>
      <c r="C351" s="44"/>
      <c r="D351" s="45"/>
      <c r="E351" s="45"/>
      <c r="F351" s="45"/>
      <c r="G351" s="45"/>
      <c r="H351" s="45"/>
      <c r="I351" s="45"/>
    </row>
    <row r="352" spans="1:34">
      <c r="A352" s="43" t="s">
        <v>3</v>
      </c>
      <c r="B352" s="47">
        <v>1</v>
      </c>
      <c r="C352" s="44"/>
      <c r="D352" s="48"/>
      <c r="E352" s="45"/>
      <c r="F352" s="45"/>
      <c r="G352" s="45"/>
      <c r="H352" s="45"/>
      <c r="I352" s="45"/>
    </row>
    <row r="353" spans="1:34">
      <c r="A353" s="43" t="s">
        <v>6</v>
      </c>
      <c r="B353" s="45" t="s">
        <v>13</v>
      </c>
      <c r="C353" s="44"/>
      <c r="D353" s="48"/>
      <c r="E353" s="45"/>
      <c r="F353" s="45"/>
      <c r="G353" s="45"/>
      <c r="H353" s="45"/>
      <c r="I353" s="45"/>
    </row>
    <row r="354" spans="1:34">
      <c r="A354" s="43" t="s">
        <v>76</v>
      </c>
      <c r="B354" s="45"/>
      <c r="C354" s="44"/>
      <c r="D354" s="48"/>
      <c r="E354" s="45"/>
      <c r="F354" s="45"/>
      <c r="G354" s="45"/>
      <c r="H354" s="45"/>
      <c r="I354" s="45"/>
    </row>
    <row r="355" spans="1:34">
      <c r="A355" s="43" t="s">
        <v>7</v>
      </c>
      <c r="B355" s="45"/>
      <c r="C355" s="44"/>
      <c r="D355" s="45"/>
      <c r="E355" s="45"/>
      <c r="F355" s="45"/>
      <c r="G355" s="45"/>
      <c r="H355" s="45"/>
      <c r="I355" s="45"/>
    </row>
    <row r="356" spans="1:34">
      <c r="A356" s="43" t="s">
        <v>8</v>
      </c>
      <c r="B356" s="43" t="s">
        <v>4</v>
      </c>
      <c r="C356" s="49" t="s">
        <v>9</v>
      </c>
      <c r="D356" s="43" t="s">
        <v>6</v>
      </c>
      <c r="E356" s="43" t="s">
        <v>106</v>
      </c>
      <c r="F356" s="43" t="s">
        <v>10</v>
      </c>
      <c r="G356" s="43" t="s">
        <v>2</v>
      </c>
      <c r="H356" s="43" t="s">
        <v>5</v>
      </c>
      <c r="I356" s="43" t="s">
        <v>11</v>
      </c>
    </row>
    <row r="357" spans="1:34">
      <c r="A357" s="50" t="s">
        <v>239</v>
      </c>
      <c r="B357" s="50" t="s">
        <v>245</v>
      </c>
      <c r="C357" s="51">
        <v>1</v>
      </c>
      <c r="D357" s="45" t="s">
        <v>13</v>
      </c>
      <c r="E357" s="50" t="s">
        <v>198</v>
      </c>
      <c r="F357" s="50"/>
      <c r="G357" s="50" t="s">
        <v>29</v>
      </c>
      <c r="H357" s="50" t="s">
        <v>18</v>
      </c>
      <c r="I357" s="50"/>
    </row>
    <row r="358" spans="1:34">
      <c r="A358" s="50" t="s">
        <v>242</v>
      </c>
      <c r="B358" s="50" t="s">
        <v>243</v>
      </c>
      <c r="C358" s="51">
        <v>0.01</v>
      </c>
      <c r="D358" s="45" t="s">
        <v>244</v>
      </c>
      <c r="E358" s="50" t="s">
        <v>211</v>
      </c>
      <c r="F358" s="50"/>
      <c r="G358" s="50" t="s">
        <v>49</v>
      </c>
      <c r="H358" s="50" t="s">
        <v>12</v>
      </c>
      <c r="I358" s="50"/>
    </row>
    <row r="359" spans="1:34">
      <c r="A359" s="41"/>
      <c r="B359" s="41"/>
      <c r="C359" s="42"/>
      <c r="D359" s="41"/>
      <c r="E359" s="41"/>
      <c r="F359" s="41"/>
      <c r="G359" s="41"/>
      <c r="H359" s="41"/>
      <c r="I359" s="41"/>
      <c r="J359" s="41"/>
      <c r="K359" s="41"/>
      <c r="L359" s="41"/>
      <c r="M359" s="41"/>
      <c r="N359" s="41"/>
      <c r="O359" s="41"/>
      <c r="P359" s="41"/>
      <c r="Q359" s="41"/>
      <c r="R359" s="41"/>
      <c r="S359" s="41"/>
      <c r="T359" s="41"/>
      <c r="U359" s="41"/>
      <c r="V359" s="41"/>
      <c r="W359" s="41"/>
      <c r="X359" s="41"/>
      <c r="Y359" s="41"/>
      <c r="Z359" s="41"/>
      <c r="AA359" s="41"/>
      <c r="AB359" s="41"/>
      <c r="AC359" s="41"/>
      <c r="AD359" s="41"/>
      <c r="AE359" s="41"/>
      <c r="AF359" s="41"/>
      <c r="AG359" s="41"/>
      <c r="AH359" s="41"/>
    </row>
    <row r="360" spans="1:34">
      <c r="A360" s="43" t="s">
        <v>1</v>
      </c>
      <c r="B360" s="43" t="s">
        <v>208</v>
      </c>
      <c r="C360" s="44"/>
      <c r="D360" s="45"/>
      <c r="E360" s="45"/>
      <c r="F360" s="45"/>
      <c r="G360" s="45"/>
      <c r="H360" s="45"/>
      <c r="I360" s="45"/>
    </row>
    <row r="361" spans="1:34">
      <c r="A361" s="43" t="s">
        <v>11</v>
      </c>
      <c r="B361" s="45" t="s">
        <v>241</v>
      </c>
      <c r="C361" s="44"/>
      <c r="D361" s="45"/>
      <c r="E361" s="45"/>
      <c r="F361" s="45"/>
      <c r="G361" s="45"/>
      <c r="H361" s="45"/>
      <c r="I361" s="45"/>
    </row>
    <row r="362" spans="1:34">
      <c r="A362" s="43" t="s">
        <v>2</v>
      </c>
      <c r="B362" s="45" t="s">
        <v>29</v>
      </c>
      <c r="C362" s="44"/>
      <c r="D362" s="45"/>
      <c r="E362" s="45"/>
      <c r="F362" s="45"/>
      <c r="G362" s="45"/>
      <c r="H362" s="45"/>
      <c r="I362" s="45"/>
    </row>
    <row r="363" spans="1:34">
      <c r="A363" s="46" t="s">
        <v>4</v>
      </c>
      <c r="B363" s="45" t="s">
        <v>209</v>
      </c>
      <c r="C363" s="44"/>
      <c r="D363" s="45"/>
      <c r="E363" s="45"/>
      <c r="F363" s="45"/>
      <c r="G363" s="45"/>
      <c r="H363" s="45"/>
      <c r="I363" s="45"/>
    </row>
    <row r="364" spans="1:34">
      <c r="A364" s="43" t="s">
        <v>3</v>
      </c>
      <c r="B364" s="47">
        <v>1</v>
      </c>
      <c r="C364" s="44"/>
      <c r="D364" s="48"/>
      <c r="E364" s="45"/>
      <c r="F364" s="45"/>
      <c r="G364" s="45"/>
      <c r="H364" s="45"/>
      <c r="I364" s="45"/>
    </row>
    <row r="365" spans="1:34">
      <c r="A365" s="43" t="s">
        <v>6</v>
      </c>
      <c r="B365" s="45" t="s">
        <v>13</v>
      </c>
      <c r="C365" s="44"/>
      <c r="D365" s="48"/>
      <c r="E365" s="45"/>
      <c r="F365" s="45"/>
      <c r="G365" s="45"/>
      <c r="H365" s="45"/>
      <c r="I365" s="45"/>
    </row>
    <row r="366" spans="1:34">
      <c r="A366" s="43" t="s">
        <v>76</v>
      </c>
      <c r="B366" s="45"/>
      <c r="C366" s="44"/>
      <c r="D366" s="48"/>
      <c r="E366" s="45"/>
      <c r="F366" s="45"/>
      <c r="G366" s="45"/>
      <c r="H366" s="45"/>
      <c r="I366" s="45"/>
    </row>
    <row r="367" spans="1:34">
      <c r="A367" s="43" t="s">
        <v>7</v>
      </c>
      <c r="B367" s="45"/>
      <c r="C367" s="44"/>
      <c r="D367" s="45"/>
      <c r="E367" s="45"/>
      <c r="F367" s="45"/>
      <c r="G367" s="45"/>
      <c r="H367" s="45"/>
      <c r="I367" s="45"/>
    </row>
    <row r="368" spans="1:34">
      <c r="A368" s="43" t="s">
        <v>8</v>
      </c>
      <c r="B368" s="43" t="s">
        <v>4</v>
      </c>
      <c r="C368" s="49" t="s">
        <v>9</v>
      </c>
      <c r="D368" s="43" t="s">
        <v>6</v>
      </c>
      <c r="E368" s="43" t="s">
        <v>106</v>
      </c>
      <c r="F368" s="43" t="s">
        <v>10</v>
      </c>
      <c r="G368" s="43" t="s">
        <v>2</v>
      </c>
      <c r="H368" s="43" t="s">
        <v>5</v>
      </c>
      <c r="I368" s="43" t="s">
        <v>11</v>
      </c>
    </row>
    <row r="369" spans="1:34">
      <c r="A369" s="50" t="s">
        <v>208</v>
      </c>
      <c r="B369" s="50" t="s">
        <v>209</v>
      </c>
      <c r="C369" s="51">
        <v>1</v>
      </c>
      <c r="D369" s="45" t="s">
        <v>13</v>
      </c>
      <c r="E369" s="50" t="s">
        <v>198</v>
      </c>
      <c r="F369" s="50"/>
      <c r="G369" s="50" t="s">
        <v>29</v>
      </c>
      <c r="H369" s="50" t="s">
        <v>18</v>
      </c>
      <c r="I369" s="50"/>
    </row>
    <row r="370" spans="1:34">
      <c r="A370" s="50" t="s">
        <v>242</v>
      </c>
      <c r="B370" s="50" t="s">
        <v>243</v>
      </c>
      <c r="C370" s="51">
        <v>0.01</v>
      </c>
      <c r="D370" s="45" t="s">
        <v>244</v>
      </c>
      <c r="E370" s="50" t="s">
        <v>211</v>
      </c>
      <c r="F370" s="50"/>
      <c r="G370" s="50" t="s">
        <v>49</v>
      </c>
      <c r="H370" s="50" t="s">
        <v>12</v>
      </c>
      <c r="I370" s="50"/>
    </row>
    <row r="371" spans="1:34">
      <c r="A371" s="41"/>
      <c r="B371" s="41"/>
      <c r="C371" s="42"/>
      <c r="D371" s="41"/>
      <c r="E371" s="41"/>
      <c r="F371" s="41"/>
      <c r="G371" s="41"/>
      <c r="H371" s="41"/>
      <c r="I371" s="41"/>
      <c r="J371" s="41"/>
      <c r="K371" s="41"/>
      <c r="L371" s="41"/>
      <c r="M371" s="41"/>
      <c r="N371" s="41"/>
      <c r="O371" s="41"/>
      <c r="P371" s="41"/>
      <c r="Q371" s="41"/>
      <c r="R371" s="41"/>
      <c r="S371" s="41"/>
      <c r="T371" s="41"/>
      <c r="U371" s="41"/>
      <c r="V371" s="41"/>
      <c r="W371" s="41"/>
      <c r="X371" s="41"/>
      <c r="Y371" s="41"/>
      <c r="Z371" s="41"/>
      <c r="AA371" s="41"/>
      <c r="AB371" s="41"/>
      <c r="AC371" s="41"/>
      <c r="AD371" s="41"/>
      <c r="AE371" s="41"/>
      <c r="AF371" s="41"/>
      <c r="AG371" s="41"/>
      <c r="AH371" s="41"/>
    </row>
    <row r="372" spans="1:34">
      <c r="A372" s="43" t="s">
        <v>1</v>
      </c>
      <c r="B372" s="43" t="s">
        <v>226</v>
      </c>
      <c r="C372" s="44"/>
      <c r="D372" s="45"/>
      <c r="E372" s="45"/>
      <c r="F372" s="45"/>
      <c r="G372" s="45"/>
      <c r="H372" s="45"/>
      <c r="I372" s="45"/>
      <c r="J372" s="45"/>
      <c r="K372" s="45"/>
      <c r="L372" s="45"/>
      <c r="M372" s="45"/>
      <c r="N372" s="45"/>
      <c r="O372" s="45"/>
      <c r="P372" s="45"/>
      <c r="Q372" s="45"/>
      <c r="R372" s="45"/>
      <c r="S372" s="45"/>
      <c r="T372" s="45"/>
      <c r="U372" s="45"/>
      <c r="V372" s="45"/>
      <c r="W372" s="45"/>
      <c r="X372" s="45"/>
      <c r="Y372" s="45"/>
      <c r="Z372" s="45"/>
      <c r="AA372" s="45"/>
      <c r="AB372" s="45"/>
      <c r="AC372" s="45"/>
      <c r="AD372" s="45"/>
      <c r="AE372" s="45"/>
      <c r="AF372" s="45"/>
      <c r="AG372" s="45"/>
      <c r="AH372" s="45"/>
    </row>
    <row r="373" spans="1:34">
      <c r="A373" s="43" t="s">
        <v>11</v>
      </c>
      <c r="B373" s="45" t="s">
        <v>246</v>
      </c>
      <c r="C373" s="44"/>
      <c r="D373" s="45"/>
      <c r="E373" s="45"/>
      <c r="F373" s="45"/>
      <c r="G373" s="45"/>
      <c r="H373" s="45"/>
      <c r="I373" s="45"/>
      <c r="J373" s="45"/>
      <c r="K373" s="45"/>
      <c r="L373" s="45"/>
      <c r="M373" s="45"/>
      <c r="N373" s="45"/>
      <c r="O373" s="45"/>
      <c r="P373" s="45"/>
      <c r="Q373" s="45"/>
      <c r="R373" s="45"/>
      <c r="S373" s="45"/>
      <c r="T373" s="45"/>
      <c r="U373" s="45"/>
      <c r="V373" s="45"/>
      <c r="W373" s="45"/>
      <c r="X373" s="45"/>
      <c r="Y373" s="45"/>
      <c r="Z373" s="45"/>
      <c r="AA373" s="45"/>
      <c r="AB373" s="45"/>
      <c r="AC373" s="45"/>
      <c r="AD373" s="45"/>
      <c r="AE373" s="45"/>
      <c r="AF373" s="45"/>
      <c r="AG373" s="45"/>
      <c r="AH373" s="45"/>
    </row>
    <row r="374" spans="1:34">
      <c r="A374" s="43" t="s">
        <v>2</v>
      </c>
      <c r="B374" s="45" t="s">
        <v>29</v>
      </c>
      <c r="C374" s="44"/>
      <c r="D374" s="45"/>
      <c r="E374" s="45"/>
      <c r="F374" s="45"/>
      <c r="G374" s="45"/>
      <c r="H374" s="45"/>
      <c r="I374" s="45"/>
      <c r="J374" s="45"/>
      <c r="K374" s="45"/>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row>
    <row r="375" spans="1:34">
      <c r="A375" s="46" t="s">
        <v>4</v>
      </c>
      <c r="B375" s="45" t="s">
        <v>227</v>
      </c>
      <c r="C375" s="44"/>
      <c r="D375" s="45"/>
      <c r="E375" s="45"/>
      <c r="F375" s="45"/>
      <c r="G375" s="45"/>
      <c r="H375" s="45"/>
      <c r="I375" s="45"/>
      <c r="J375" s="45"/>
      <c r="K375" s="45"/>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row>
    <row r="376" spans="1:34">
      <c r="A376" s="43" t="s">
        <v>3</v>
      </c>
      <c r="B376" s="47">
        <v>1</v>
      </c>
      <c r="C376" s="44"/>
      <c r="D376" s="48"/>
      <c r="E376" s="45"/>
      <c r="F376" s="45"/>
      <c r="G376" s="45"/>
      <c r="H376" s="45"/>
      <c r="I376" s="45"/>
      <c r="J376" s="45"/>
      <c r="K376" s="45"/>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row>
    <row r="377" spans="1:34">
      <c r="A377" s="43" t="s">
        <v>6</v>
      </c>
      <c r="B377" s="45" t="s">
        <v>13</v>
      </c>
      <c r="C377" s="44"/>
      <c r="D377" s="48"/>
      <c r="E377" s="45"/>
      <c r="F377" s="45"/>
      <c r="G377" s="45"/>
      <c r="H377" s="45"/>
      <c r="I377" s="45"/>
      <c r="J377" s="45"/>
      <c r="K377" s="45"/>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row>
    <row r="378" spans="1:34">
      <c r="A378" s="43" t="s">
        <v>76</v>
      </c>
      <c r="B378" s="45"/>
      <c r="C378" s="44"/>
      <c r="D378" s="48"/>
      <c r="E378" s="45"/>
      <c r="F378" s="45"/>
      <c r="G378" s="45"/>
      <c r="H378" s="45"/>
      <c r="I378" s="45"/>
      <c r="J378" s="45"/>
      <c r="K378" s="45"/>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row>
    <row r="379" spans="1:34">
      <c r="A379" s="43" t="s">
        <v>7</v>
      </c>
      <c r="B379" s="45"/>
      <c r="C379" s="44"/>
      <c r="D379" s="45"/>
      <c r="E379" s="45"/>
      <c r="F379" s="45"/>
      <c r="G379" s="45"/>
      <c r="H379" s="45"/>
      <c r="I379" s="45"/>
      <c r="J379" s="45"/>
      <c r="K379" s="45"/>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row>
    <row r="380" spans="1:34">
      <c r="A380" s="43" t="s">
        <v>8</v>
      </c>
      <c r="B380" s="43" t="s">
        <v>4</v>
      </c>
      <c r="C380" s="49" t="s">
        <v>9</v>
      </c>
      <c r="D380" s="43" t="s">
        <v>6</v>
      </c>
      <c r="E380" s="43" t="s">
        <v>106</v>
      </c>
      <c r="F380" s="43" t="s">
        <v>10</v>
      </c>
      <c r="G380" s="43" t="s">
        <v>2</v>
      </c>
      <c r="H380" s="43" t="s">
        <v>5</v>
      </c>
      <c r="I380" s="43" t="s">
        <v>11</v>
      </c>
      <c r="J380" s="45"/>
      <c r="K380" s="45"/>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row>
    <row r="381" spans="1:34">
      <c r="A381" s="50" t="s">
        <v>226</v>
      </c>
      <c r="B381" s="50" t="s">
        <v>227</v>
      </c>
      <c r="C381" s="51">
        <v>1</v>
      </c>
      <c r="D381" s="45" t="s">
        <v>13</v>
      </c>
      <c r="E381" s="50" t="s">
        <v>198</v>
      </c>
      <c r="F381" s="50"/>
      <c r="G381" s="50" t="s">
        <v>29</v>
      </c>
      <c r="H381" s="50" t="s">
        <v>18</v>
      </c>
      <c r="I381" s="50"/>
      <c r="J381" s="50"/>
      <c r="K381" s="50"/>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row>
    <row r="382" spans="1:34">
      <c r="A382" s="50" t="s">
        <v>242</v>
      </c>
      <c r="B382" s="50" t="s">
        <v>243</v>
      </c>
      <c r="C382" s="51">
        <v>0.02</v>
      </c>
      <c r="D382" s="45" t="s">
        <v>244</v>
      </c>
      <c r="E382" s="50" t="s">
        <v>211</v>
      </c>
      <c r="F382" s="50"/>
      <c r="G382" s="50" t="s">
        <v>49</v>
      </c>
      <c r="H382" s="50" t="s">
        <v>12</v>
      </c>
      <c r="I382" s="50"/>
      <c r="J382" s="50"/>
      <c r="K382" s="50"/>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row>
    <row r="383" spans="1:34">
      <c r="A383" s="41"/>
      <c r="B383" s="41"/>
      <c r="C383" s="42"/>
      <c r="D383" s="41"/>
      <c r="E383" s="41"/>
      <c r="F383" s="41"/>
      <c r="G383" s="41"/>
      <c r="H383" s="41"/>
      <c r="I383" s="41"/>
      <c r="J383" s="41"/>
      <c r="K383" s="41"/>
      <c r="L383" s="41"/>
      <c r="M383" s="41"/>
      <c r="N383" s="41"/>
      <c r="O383" s="41"/>
      <c r="P383" s="41"/>
      <c r="Q383" s="41"/>
      <c r="R383" s="41"/>
      <c r="S383" s="41"/>
      <c r="T383" s="41"/>
      <c r="U383" s="41"/>
      <c r="V383" s="41"/>
      <c r="W383" s="41"/>
      <c r="X383" s="41"/>
      <c r="Y383" s="41"/>
      <c r="Z383" s="41"/>
      <c r="AA383" s="41"/>
      <c r="AB383" s="41"/>
      <c r="AC383" s="41"/>
      <c r="AD383" s="41"/>
      <c r="AE383" s="41"/>
      <c r="AF383" s="41"/>
      <c r="AG383" s="41"/>
      <c r="AH383" s="41"/>
    </row>
    <row r="384" spans="1:34">
      <c r="A384" s="43" t="s">
        <v>1</v>
      </c>
      <c r="B384" s="43" t="s">
        <v>232</v>
      </c>
      <c r="C384" s="44"/>
      <c r="D384" s="45"/>
      <c r="E384" s="45"/>
      <c r="F384" s="45"/>
      <c r="G384" s="45"/>
      <c r="H384" s="45"/>
      <c r="I384" s="45"/>
      <c r="J384" s="45"/>
      <c r="K384" s="45"/>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row>
    <row r="385" spans="1:34">
      <c r="A385" s="43" t="s">
        <v>11</v>
      </c>
      <c r="B385" s="45" t="s">
        <v>247</v>
      </c>
      <c r="C385" s="44"/>
      <c r="D385" s="45"/>
      <c r="E385" s="45"/>
      <c r="F385" s="45"/>
      <c r="G385" s="45"/>
      <c r="H385" s="45"/>
      <c r="I385" s="45"/>
      <c r="J385" s="45"/>
      <c r="K385" s="45"/>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row>
    <row r="386" spans="1:34">
      <c r="A386" s="43" t="s">
        <v>2</v>
      </c>
      <c r="B386" s="45" t="s">
        <v>29</v>
      </c>
      <c r="C386" s="44"/>
      <c r="D386" s="45"/>
      <c r="E386" s="45"/>
      <c r="F386" s="45"/>
      <c r="G386" s="45"/>
      <c r="H386" s="45"/>
      <c r="I386" s="45"/>
      <c r="J386" s="45"/>
      <c r="K386" s="45"/>
      <c r="L386" s="45"/>
      <c r="M386" s="45"/>
      <c r="N386" s="45"/>
      <c r="O386" s="45"/>
      <c r="P386" s="45"/>
      <c r="Q386" s="45"/>
      <c r="R386" s="45"/>
      <c r="S386" s="45"/>
      <c r="T386" s="45"/>
      <c r="U386" s="45"/>
      <c r="V386" s="45"/>
      <c r="W386" s="45"/>
      <c r="X386" s="45"/>
      <c r="Y386" s="45"/>
      <c r="Z386" s="45"/>
      <c r="AA386" s="45"/>
      <c r="AB386" s="45"/>
      <c r="AC386" s="45"/>
      <c r="AD386" s="45"/>
      <c r="AE386" s="45"/>
      <c r="AF386" s="45"/>
      <c r="AG386" s="45"/>
      <c r="AH386" s="45"/>
    </row>
    <row r="387" spans="1:34">
      <c r="A387" s="46" t="s">
        <v>4</v>
      </c>
      <c r="B387" s="45" t="s">
        <v>233</v>
      </c>
      <c r="C387" s="44"/>
      <c r="D387" s="45"/>
      <c r="E387" s="45"/>
      <c r="F387" s="45"/>
      <c r="G387" s="45"/>
      <c r="H387" s="45"/>
      <c r="I387" s="45"/>
      <c r="J387" s="45"/>
      <c r="K387" s="45"/>
      <c r="L387" s="45"/>
      <c r="M387" s="45"/>
      <c r="N387" s="45"/>
      <c r="O387" s="45"/>
      <c r="P387" s="45"/>
      <c r="Q387" s="45"/>
      <c r="R387" s="45"/>
      <c r="S387" s="45"/>
      <c r="T387" s="45"/>
      <c r="U387" s="45"/>
      <c r="V387" s="45"/>
      <c r="W387" s="45"/>
      <c r="X387" s="45"/>
      <c r="Y387" s="45"/>
      <c r="Z387" s="45"/>
      <c r="AA387" s="45"/>
      <c r="AB387" s="45"/>
      <c r="AC387" s="45"/>
      <c r="AD387" s="45"/>
      <c r="AE387" s="45"/>
      <c r="AF387" s="45"/>
      <c r="AG387" s="45"/>
      <c r="AH387" s="45"/>
    </row>
    <row r="388" spans="1:34">
      <c r="A388" s="43" t="s">
        <v>3</v>
      </c>
      <c r="B388" s="47">
        <v>1</v>
      </c>
      <c r="C388" s="44"/>
      <c r="D388" s="48"/>
      <c r="E388" s="45"/>
      <c r="F388" s="45"/>
      <c r="G388" s="45"/>
      <c r="H388" s="45"/>
      <c r="I388" s="45"/>
      <c r="J388" s="45"/>
      <c r="K388" s="45"/>
      <c r="L388" s="45"/>
      <c r="M388" s="45"/>
      <c r="N388" s="45"/>
      <c r="O388" s="45"/>
      <c r="P388" s="45"/>
      <c r="Q388" s="45"/>
      <c r="R388" s="45"/>
      <c r="S388" s="45"/>
      <c r="T388" s="45"/>
      <c r="U388" s="45"/>
      <c r="V388" s="45"/>
      <c r="W388" s="45"/>
      <c r="X388" s="45"/>
      <c r="Y388" s="45"/>
      <c r="Z388" s="45"/>
      <c r="AA388" s="45"/>
      <c r="AB388" s="45"/>
      <c r="AC388" s="45"/>
      <c r="AD388" s="45"/>
      <c r="AE388" s="45"/>
      <c r="AF388" s="45"/>
      <c r="AG388" s="45"/>
      <c r="AH388" s="45"/>
    </row>
    <row r="389" spans="1:34">
      <c r="A389" s="43" t="s">
        <v>6</v>
      </c>
      <c r="B389" s="45" t="s">
        <v>13</v>
      </c>
      <c r="C389" s="44"/>
      <c r="D389" s="48"/>
      <c r="E389" s="45"/>
      <c r="F389" s="45"/>
      <c r="G389" s="45"/>
      <c r="H389" s="45"/>
      <c r="I389" s="45"/>
      <c r="J389" s="45"/>
      <c r="K389" s="45"/>
      <c r="L389" s="45"/>
      <c r="M389" s="45"/>
      <c r="N389" s="45"/>
      <c r="O389" s="45"/>
      <c r="P389" s="45"/>
      <c r="Q389" s="45"/>
      <c r="R389" s="45"/>
      <c r="S389" s="45"/>
      <c r="T389" s="45"/>
      <c r="U389" s="45"/>
      <c r="V389" s="45"/>
      <c r="W389" s="45"/>
      <c r="X389" s="45"/>
      <c r="Y389" s="45"/>
      <c r="Z389" s="45"/>
      <c r="AA389" s="45"/>
      <c r="AB389" s="45"/>
      <c r="AC389" s="45"/>
      <c r="AD389" s="45"/>
      <c r="AE389" s="45"/>
      <c r="AF389" s="45"/>
      <c r="AG389" s="45"/>
      <c r="AH389" s="45"/>
    </row>
    <row r="390" spans="1:34">
      <c r="A390" s="43" t="s">
        <v>76</v>
      </c>
      <c r="B390" t="s">
        <v>248</v>
      </c>
      <c r="C390" s="44"/>
      <c r="D390" s="48"/>
      <c r="E390" s="45"/>
      <c r="F390" s="45"/>
      <c r="G390" s="45"/>
      <c r="H390" s="45"/>
      <c r="I390" s="45"/>
      <c r="J390" s="45"/>
      <c r="K390" s="45"/>
      <c r="L390" s="45"/>
      <c r="M390" s="45"/>
      <c r="N390" s="45"/>
      <c r="O390" s="45"/>
      <c r="P390" s="45"/>
      <c r="Q390" s="45"/>
      <c r="R390" s="45"/>
      <c r="S390" s="45"/>
      <c r="T390" s="45"/>
      <c r="U390" s="45"/>
      <c r="V390" s="45"/>
      <c r="W390" s="45"/>
      <c r="X390" s="45"/>
      <c r="Y390" s="45"/>
      <c r="Z390" s="45"/>
      <c r="AA390" s="45"/>
      <c r="AB390" s="45"/>
      <c r="AC390" s="45"/>
      <c r="AD390" s="45"/>
      <c r="AE390" s="45"/>
      <c r="AF390" s="45"/>
      <c r="AG390" s="45"/>
      <c r="AH390" s="45"/>
    </row>
    <row r="391" spans="1:34">
      <c r="A391" s="43" t="s">
        <v>7</v>
      </c>
      <c r="B391" s="45"/>
      <c r="C391" s="44"/>
      <c r="D391" s="45"/>
      <c r="E391" s="45"/>
      <c r="F391" s="45"/>
      <c r="G391" s="45"/>
      <c r="H391" s="45"/>
      <c r="I391" s="45"/>
      <c r="J391" s="45"/>
      <c r="K391" s="45"/>
      <c r="L391" s="45"/>
      <c r="M391" s="45"/>
      <c r="N391" s="45"/>
      <c r="O391" s="45"/>
      <c r="P391" s="45"/>
      <c r="Q391" s="45"/>
      <c r="R391" s="45"/>
      <c r="S391" s="45"/>
      <c r="T391" s="45"/>
      <c r="U391" s="45"/>
      <c r="V391" s="45"/>
      <c r="W391" s="45"/>
      <c r="X391" s="45"/>
      <c r="Y391" s="45"/>
      <c r="Z391" s="45"/>
      <c r="AA391" s="45"/>
      <c r="AB391" s="45"/>
      <c r="AC391" s="45"/>
      <c r="AD391" s="45"/>
      <c r="AE391" s="45"/>
      <c r="AF391" s="45"/>
      <c r="AG391" s="45"/>
      <c r="AH391" s="45"/>
    </row>
    <row r="392" spans="1:34">
      <c r="A392" s="43" t="s">
        <v>8</v>
      </c>
      <c r="B392" s="43" t="s">
        <v>4</v>
      </c>
      <c r="C392" s="49" t="s">
        <v>9</v>
      </c>
      <c r="D392" s="43" t="s">
        <v>6</v>
      </c>
      <c r="E392" s="43" t="s">
        <v>106</v>
      </c>
      <c r="F392" s="43" t="s">
        <v>10</v>
      </c>
      <c r="G392" s="43" t="s">
        <v>2</v>
      </c>
      <c r="H392" s="43" t="s">
        <v>5</v>
      </c>
      <c r="I392" s="43" t="s">
        <v>11</v>
      </c>
      <c r="J392" s="45"/>
      <c r="K392" s="45"/>
      <c r="L392" s="45"/>
      <c r="M392" s="45"/>
      <c r="N392" s="45"/>
      <c r="O392" s="45"/>
      <c r="P392" s="45"/>
      <c r="Q392" s="45"/>
      <c r="R392" s="45"/>
      <c r="S392" s="45"/>
      <c r="T392" s="45"/>
      <c r="U392" s="45"/>
      <c r="V392" s="45"/>
      <c r="W392" s="45"/>
      <c r="X392" s="45"/>
      <c r="Y392" s="45"/>
      <c r="Z392" s="45"/>
      <c r="AA392" s="45"/>
      <c r="AB392" s="45"/>
      <c r="AC392" s="45"/>
      <c r="AD392" s="45"/>
      <c r="AE392" s="45"/>
      <c r="AF392" s="45"/>
      <c r="AG392" s="45"/>
      <c r="AH392" s="45"/>
    </row>
    <row r="393" spans="1:34">
      <c r="A393" s="50" t="s">
        <v>232</v>
      </c>
      <c r="B393" s="50" t="s">
        <v>233</v>
      </c>
      <c r="C393" s="51">
        <v>1</v>
      </c>
      <c r="D393" s="45" t="s">
        <v>13</v>
      </c>
      <c r="E393" s="50" t="s">
        <v>198</v>
      </c>
      <c r="F393" s="50"/>
      <c r="G393" s="50" t="s">
        <v>29</v>
      </c>
      <c r="H393" s="50" t="s">
        <v>18</v>
      </c>
      <c r="I393" s="50"/>
      <c r="J393" s="50"/>
      <c r="K393" s="50"/>
      <c r="L393" s="45"/>
      <c r="M393" s="45"/>
      <c r="N393" s="45"/>
      <c r="O393" s="45"/>
      <c r="P393" s="45"/>
      <c r="Q393" s="45"/>
      <c r="R393" s="45"/>
      <c r="S393" s="45"/>
      <c r="T393" s="45"/>
      <c r="U393" s="45"/>
      <c r="V393" s="45"/>
      <c r="W393" s="45"/>
      <c r="X393" s="45"/>
      <c r="Y393" s="45"/>
      <c r="Z393" s="45"/>
      <c r="AA393" s="45"/>
      <c r="AB393" s="45"/>
      <c r="AC393" s="45"/>
      <c r="AD393" s="45"/>
      <c r="AE393" s="45"/>
      <c r="AF393" s="45"/>
      <c r="AG393" s="45"/>
      <c r="AH393" s="45"/>
    </row>
    <row r="394" spans="1:34">
      <c r="A394" s="50" t="s">
        <v>259</v>
      </c>
      <c r="B394" s="50" t="s">
        <v>249</v>
      </c>
      <c r="C394" s="44">
        <v>4.0000000000000001E-3</v>
      </c>
      <c r="D394" s="45" t="s">
        <v>13</v>
      </c>
      <c r="E394" s="50" t="s">
        <v>211</v>
      </c>
      <c r="F394" s="50"/>
      <c r="G394" s="50" t="s">
        <v>29</v>
      </c>
      <c r="H394" s="50" t="s">
        <v>12</v>
      </c>
      <c r="I394" s="50" t="s">
        <v>250</v>
      </c>
      <c r="J394" s="50"/>
      <c r="K394" s="50"/>
      <c r="L394" s="45"/>
      <c r="M394" s="45"/>
      <c r="N394" s="45"/>
      <c r="O394" s="45"/>
      <c r="P394" s="45"/>
      <c r="Q394" s="45"/>
      <c r="R394" s="45"/>
      <c r="S394" s="45"/>
      <c r="T394" s="45"/>
      <c r="U394" s="45"/>
      <c r="V394" s="45"/>
      <c r="W394" s="45"/>
      <c r="X394" s="45"/>
      <c r="Y394" s="45"/>
      <c r="Z394" s="45"/>
      <c r="AA394" s="45"/>
      <c r="AB394" s="45"/>
      <c r="AC394" s="45"/>
      <c r="AD394" s="45"/>
      <c r="AE394" s="45"/>
      <c r="AF394" s="45"/>
      <c r="AG394" s="45"/>
      <c r="AH394" s="45"/>
    </row>
    <row r="395" spans="1:34">
      <c r="A395" s="50" t="s">
        <v>251</v>
      </c>
      <c r="B395" s="50" t="s">
        <v>252</v>
      </c>
      <c r="C395" s="44">
        <v>5.0000000000000002E-5</v>
      </c>
      <c r="D395" s="45" t="s">
        <v>253</v>
      </c>
      <c r="E395" s="50" t="s">
        <v>211</v>
      </c>
      <c r="F395" s="50"/>
      <c r="G395" s="50" t="s">
        <v>140</v>
      </c>
      <c r="H395" s="50" t="s">
        <v>12</v>
      </c>
      <c r="I395" s="50" t="s">
        <v>254</v>
      </c>
      <c r="J395" s="50"/>
      <c r="K395" s="50"/>
      <c r="L395" s="45"/>
      <c r="M395" s="45"/>
      <c r="N395" s="45"/>
      <c r="O395" s="45"/>
      <c r="P395" s="45"/>
      <c r="Q395" s="45"/>
      <c r="R395" s="45"/>
      <c r="S395" s="45"/>
      <c r="T395" s="45"/>
      <c r="U395" s="45"/>
      <c r="V395" s="45"/>
      <c r="W395" s="45"/>
      <c r="X395" s="45"/>
      <c r="Y395" s="45"/>
      <c r="Z395" s="45"/>
      <c r="AA395" s="45"/>
      <c r="AB395" s="45"/>
      <c r="AC395" s="45"/>
      <c r="AD395" s="45"/>
      <c r="AE395" s="45"/>
      <c r="AF395" s="45"/>
      <c r="AG395" s="45"/>
      <c r="AH395" s="45"/>
    </row>
    <row r="396" spans="1:34">
      <c r="A396" s="50" t="s">
        <v>242</v>
      </c>
      <c r="B396" s="50" t="s">
        <v>243</v>
      </c>
      <c r="C396" s="51">
        <v>0.02</v>
      </c>
      <c r="D396" s="45" t="s">
        <v>244</v>
      </c>
      <c r="E396" s="50" t="s">
        <v>211</v>
      </c>
      <c r="F396" s="50"/>
      <c r="G396" s="50" t="s">
        <v>49</v>
      </c>
      <c r="H396" s="50" t="s">
        <v>12</v>
      </c>
      <c r="I396" s="50" t="s">
        <v>255</v>
      </c>
      <c r="J396" s="50"/>
      <c r="K396" s="50"/>
      <c r="L396" s="45"/>
      <c r="M396" s="45"/>
      <c r="N396" s="45"/>
      <c r="O396" s="45"/>
      <c r="P396" s="45"/>
      <c r="Q396" s="45"/>
      <c r="R396" s="45"/>
      <c r="S396" s="45"/>
      <c r="T396" s="45"/>
      <c r="U396" s="45"/>
      <c r="V396" s="45"/>
      <c r="W396" s="45"/>
      <c r="X396" s="45"/>
      <c r="Y396" s="45"/>
      <c r="Z396" s="45"/>
      <c r="AA396" s="45"/>
      <c r="AB396" s="45"/>
      <c r="AC396" s="45"/>
      <c r="AD396" s="45"/>
      <c r="AE396" s="45"/>
      <c r="AF396" s="45"/>
      <c r="AG396" s="45"/>
      <c r="AH396" s="45"/>
    </row>
    <row r="397" spans="1:34">
      <c r="A397" t="s">
        <v>256</v>
      </c>
      <c r="B397"/>
      <c r="C397" s="44">
        <v>4.4000000000000003E-3</v>
      </c>
      <c r="D397" s="45" t="s">
        <v>13</v>
      </c>
      <c r="E397" s="45" t="s">
        <v>109</v>
      </c>
      <c r="F397" s="45" t="s">
        <v>257</v>
      </c>
      <c r="H397" s="45" t="s">
        <v>15</v>
      </c>
      <c r="I397" s="45" t="s">
        <v>258</v>
      </c>
    </row>
    <row r="398" spans="1:34">
      <c r="A398" s="41"/>
      <c r="B398" s="41"/>
      <c r="C398" s="42"/>
      <c r="D398" s="41"/>
      <c r="E398" s="41"/>
      <c r="F398" s="41"/>
      <c r="G398" s="41"/>
      <c r="H398" s="41"/>
      <c r="I398" s="41"/>
      <c r="J398" s="41"/>
      <c r="K398" s="41"/>
      <c r="L398" s="41"/>
      <c r="M398" s="41"/>
      <c r="N398" s="41"/>
      <c r="O398" s="41"/>
      <c r="P398" s="41"/>
      <c r="Q398" s="41"/>
      <c r="R398" s="41"/>
      <c r="S398" s="41"/>
      <c r="T398" s="41"/>
      <c r="U398" s="41"/>
      <c r="V398" s="41"/>
      <c r="W398" s="41"/>
      <c r="X398" s="41"/>
      <c r="Y398" s="41"/>
      <c r="Z398" s="41"/>
      <c r="AA398" s="41"/>
      <c r="AB398" s="41"/>
      <c r="AC398" s="41"/>
      <c r="AD398" s="41"/>
      <c r="AE398" s="41"/>
      <c r="AF398" s="41"/>
      <c r="AG398" s="41"/>
      <c r="AH398" s="41"/>
    </row>
    <row r="399" spans="1:34">
      <c r="A399" s="43" t="s">
        <v>1</v>
      </c>
      <c r="B399" s="43" t="s">
        <v>287</v>
      </c>
      <c r="I399"/>
    </row>
    <row r="400" spans="1:34">
      <c r="A400" s="46" t="s">
        <v>11</v>
      </c>
      <c r="B400" s="59" t="s">
        <v>260</v>
      </c>
      <c r="I400"/>
    </row>
    <row r="401" spans="1:9">
      <c r="A401" s="46" t="s">
        <v>2</v>
      </c>
      <c r="B401" t="s">
        <v>29</v>
      </c>
      <c r="I401"/>
    </row>
    <row r="402" spans="1:9">
      <c r="A402" s="46" t="s">
        <v>3</v>
      </c>
      <c r="B402" s="47">
        <v>1</v>
      </c>
      <c r="I402"/>
    </row>
    <row r="403" spans="1:9">
      <c r="A403" s="46" t="s">
        <v>4</v>
      </c>
      <c r="B403" t="s">
        <v>261</v>
      </c>
      <c r="I403"/>
    </row>
    <row r="404" spans="1:9">
      <c r="A404" s="46" t="s">
        <v>6</v>
      </c>
      <c r="B404" t="s">
        <v>128</v>
      </c>
      <c r="I404"/>
    </row>
    <row r="405" spans="1:9">
      <c r="A405" s="46" t="s">
        <v>76</v>
      </c>
      <c r="B405"/>
      <c r="I405"/>
    </row>
    <row r="406" spans="1:9" ht="15.6">
      <c r="A406" s="30" t="s">
        <v>7</v>
      </c>
      <c r="B406"/>
      <c r="I406"/>
    </row>
    <row r="407" spans="1:9" s="46" customFormat="1">
      <c r="A407" s="46" t="s">
        <v>8</v>
      </c>
      <c r="B407" s="46" t="s">
        <v>4</v>
      </c>
      <c r="C407" s="46" t="s">
        <v>9</v>
      </c>
      <c r="D407" s="46" t="s">
        <v>6</v>
      </c>
      <c r="E407" s="46" t="s">
        <v>106</v>
      </c>
      <c r="F407" s="46" t="s">
        <v>10</v>
      </c>
      <c r="G407" s="46" t="s">
        <v>2</v>
      </c>
      <c r="H407" s="46" t="s">
        <v>5</v>
      </c>
      <c r="I407" s="46" t="s">
        <v>11</v>
      </c>
    </row>
    <row r="408" spans="1:9">
      <c r="A408" t="s">
        <v>287</v>
      </c>
      <c r="B408" t="s">
        <v>261</v>
      </c>
      <c r="C408">
        <v>1</v>
      </c>
      <c r="D408" t="s">
        <v>128</v>
      </c>
      <c r="E408" s="50"/>
      <c r="G408" t="s">
        <v>29</v>
      </c>
      <c r="H408" t="s">
        <v>18</v>
      </c>
    </row>
    <row r="409" spans="1:9">
      <c r="A409" t="s">
        <v>266</v>
      </c>
      <c r="B409" t="s">
        <v>267</v>
      </c>
      <c r="C409">
        <f>10.2555323734231/1000</f>
        <v>1.0255532373423099E-2</v>
      </c>
      <c r="D409" t="s">
        <v>13</v>
      </c>
      <c r="E409" t="s">
        <v>211</v>
      </c>
      <c r="G409" t="s">
        <v>140</v>
      </c>
      <c r="H409" t="s">
        <v>12</v>
      </c>
    </row>
    <row r="410" spans="1:9">
      <c r="A410" t="s">
        <v>268</v>
      </c>
      <c r="B410" t="s">
        <v>135</v>
      </c>
      <c r="C410">
        <v>5.4000000000000001E-11</v>
      </c>
      <c r="D410" t="s">
        <v>6</v>
      </c>
      <c r="E410" t="s">
        <v>211</v>
      </c>
      <c r="G410" t="s">
        <v>140</v>
      </c>
      <c r="H410" t="s">
        <v>12</v>
      </c>
    </row>
    <row r="411" spans="1:9">
      <c r="A411" t="s">
        <v>28</v>
      </c>
      <c r="B411" t="s">
        <v>20</v>
      </c>
      <c r="C411">
        <v>0.97686420144549235</v>
      </c>
      <c r="D411" t="s">
        <v>19</v>
      </c>
      <c r="E411" t="s">
        <v>211</v>
      </c>
      <c r="G411" t="s">
        <v>27</v>
      </c>
      <c r="H411" t="s">
        <v>12</v>
      </c>
    </row>
    <row r="412" spans="1:9">
      <c r="A412" t="s">
        <v>180</v>
      </c>
      <c r="B412" t="s">
        <v>181</v>
      </c>
      <c r="C412">
        <v>1.1400000000000001E-4</v>
      </c>
      <c r="D412" t="s">
        <v>13</v>
      </c>
      <c r="E412" t="s">
        <v>211</v>
      </c>
      <c r="G412" t="s">
        <v>49</v>
      </c>
      <c r="H412" t="s">
        <v>12</v>
      </c>
    </row>
    <row r="413" spans="1:9">
      <c r="A413" t="s">
        <v>269</v>
      </c>
      <c r="B413" t="s">
        <v>270</v>
      </c>
      <c r="C413">
        <v>1.01E-4</v>
      </c>
      <c r="D413" t="s">
        <v>13</v>
      </c>
      <c r="E413" t="s">
        <v>211</v>
      </c>
      <c r="G413" t="s">
        <v>140</v>
      </c>
      <c r="H413" t="s">
        <v>12</v>
      </c>
    </row>
    <row r="414" spans="1:9">
      <c r="A414" t="s">
        <v>271</v>
      </c>
      <c r="B414" s="19" t="s">
        <v>197</v>
      </c>
      <c r="C414">
        <v>1.8841794028909846</v>
      </c>
      <c r="D414" s="45" t="s">
        <v>128</v>
      </c>
      <c r="G414" s="50" t="s">
        <v>29</v>
      </c>
      <c r="H414" t="s">
        <v>12</v>
      </c>
    </row>
    <row r="415" spans="1:9">
      <c r="A415" t="s">
        <v>218</v>
      </c>
      <c r="B415"/>
      <c r="C415">
        <v>1.7520580065460971</v>
      </c>
      <c r="D415" t="s">
        <v>13</v>
      </c>
      <c r="E415" t="s">
        <v>109</v>
      </c>
      <c r="F415" t="s">
        <v>184</v>
      </c>
      <c r="H415" t="s">
        <v>15</v>
      </c>
    </row>
    <row r="416" spans="1:9">
      <c r="A416" t="s">
        <v>262</v>
      </c>
      <c r="B416"/>
      <c r="C416">
        <v>1.28</v>
      </c>
      <c r="D416" t="s">
        <v>46</v>
      </c>
      <c r="E416" t="s">
        <v>109</v>
      </c>
      <c r="F416" t="s">
        <v>184</v>
      </c>
      <c r="H416" t="s">
        <v>15</v>
      </c>
    </row>
    <row r="417" spans="1:9">
      <c r="A417" t="s">
        <v>263</v>
      </c>
      <c r="B417"/>
      <c r="C417">
        <v>0</v>
      </c>
      <c r="D417" t="s">
        <v>13</v>
      </c>
      <c r="E417" t="s">
        <v>109</v>
      </c>
      <c r="F417" t="s">
        <v>184</v>
      </c>
      <c r="H417" t="s">
        <v>15</v>
      </c>
    </row>
    <row r="418" spans="1:9">
      <c r="A418" t="s">
        <v>185</v>
      </c>
      <c r="B418"/>
      <c r="C418">
        <v>7.0244489999999995E-3</v>
      </c>
      <c r="D418" t="s">
        <v>13</v>
      </c>
      <c r="E418" t="s">
        <v>109</v>
      </c>
      <c r="F418" t="s">
        <v>184</v>
      </c>
      <c r="H418" t="s">
        <v>15</v>
      </c>
    </row>
    <row r="419" spans="1:9">
      <c r="A419" t="s">
        <v>264</v>
      </c>
      <c r="B419"/>
      <c r="C419">
        <v>5.1560000000000002E-2</v>
      </c>
      <c r="D419" t="s">
        <v>13</v>
      </c>
      <c r="E419" t="s">
        <v>109</v>
      </c>
      <c r="F419" t="s">
        <v>25</v>
      </c>
      <c r="H419" t="s">
        <v>15</v>
      </c>
    </row>
    <row r="420" spans="1:9">
      <c r="A420" t="s">
        <v>125</v>
      </c>
      <c r="B420"/>
      <c r="C420">
        <v>6.5989999999999998E-6</v>
      </c>
      <c r="D420" t="s">
        <v>13</v>
      </c>
      <c r="E420" t="s">
        <v>109</v>
      </c>
      <c r="F420" t="s">
        <v>265</v>
      </c>
      <c r="H420" t="s">
        <v>15</v>
      </c>
    </row>
    <row r="421" spans="1:9" s="56" customFormat="1">
      <c r="B421" s="57"/>
      <c r="I421" s="58"/>
    </row>
    <row r="422" spans="1:9">
      <c r="A422" s="43" t="s">
        <v>1</v>
      </c>
      <c r="B422" s="43" t="s">
        <v>275</v>
      </c>
      <c r="I422"/>
    </row>
    <row r="423" spans="1:9">
      <c r="A423" s="46" t="s">
        <v>11</v>
      </c>
      <c r="B423" s="59"/>
      <c r="I423"/>
    </row>
    <row r="424" spans="1:9">
      <c r="A424" s="46" t="s">
        <v>2</v>
      </c>
      <c r="B424" t="s">
        <v>29</v>
      </c>
      <c r="I424"/>
    </row>
    <row r="425" spans="1:9">
      <c r="A425" s="46" t="s">
        <v>3</v>
      </c>
      <c r="B425" s="47">
        <v>1</v>
      </c>
      <c r="I425"/>
    </row>
    <row r="426" spans="1:9">
      <c r="A426" s="46" t="s">
        <v>4</v>
      </c>
      <c r="B426" t="s">
        <v>261</v>
      </c>
      <c r="I426"/>
    </row>
    <row r="427" spans="1:9">
      <c r="A427" s="46" t="s">
        <v>6</v>
      </c>
      <c r="B427" t="s">
        <v>128</v>
      </c>
      <c r="I427"/>
    </row>
    <row r="428" spans="1:9">
      <c r="A428" s="46" t="s">
        <v>76</v>
      </c>
      <c r="B428"/>
      <c r="I428"/>
    </row>
    <row r="429" spans="1:9" ht="15.6">
      <c r="A429" s="30" t="s">
        <v>7</v>
      </c>
      <c r="B429"/>
      <c r="I429"/>
    </row>
    <row r="430" spans="1:9" s="46" customFormat="1">
      <c r="A430" s="46" t="s">
        <v>8</v>
      </c>
      <c r="B430" s="46" t="s">
        <v>4</v>
      </c>
      <c r="C430" s="46" t="s">
        <v>9</v>
      </c>
      <c r="D430" s="46" t="s">
        <v>6</v>
      </c>
      <c r="E430" s="46" t="s">
        <v>106</v>
      </c>
      <c r="F430" s="46" t="s">
        <v>10</v>
      </c>
      <c r="G430" s="46" t="s">
        <v>2</v>
      </c>
      <c r="H430" s="46" t="s">
        <v>5</v>
      </c>
      <c r="I430" s="46" t="s">
        <v>11</v>
      </c>
    </row>
    <row r="431" spans="1:9">
      <c r="A431" t="s">
        <v>275</v>
      </c>
      <c r="B431" t="s">
        <v>261</v>
      </c>
      <c r="C431">
        <v>1</v>
      </c>
      <c r="D431" t="s">
        <v>128</v>
      </c>
      <c r="E431" s="50"/>
      <c r="G431" t="s">
        <v>29</v>
      </c>
      <c r="H431" t="s">
        <v>18</v>
      </c>
    </row>
    <row r="432" spans="1:9">
      <c r="A432" t="s">
        <v>266</v>
      </c>
      <c r="B432" t="s">
        <v>267</v>
      </c>
      <c r="C432">
        <v>1.0255532373423097E-2</v>
      </c>
      <c r="D432" t="s">
        <v>13</v>
      </c>
      <c r="E432" t="s">
        <v>211</v>
      </c>
      <c r="G432" t="s">
        <v>140</v>
      </c>
      <c r="H432" t="s">
        <v>12</v>
      </c>
    </row>
    <row r="433" spans="1:8">
      <c r="A433" t="s">
        <v>268</v>
      </c>
      <c r="B433" t="s">
        <v>135</v>
      </c>
      <c r="C433">
        <v>5.4000000000000001E-11</v>
      </c>
      <c r="D433" t="s">
        <v>6</v>
      </c>
      <c r="E433" t="s">
        <v>211</v>
      </c>
      <c r="G433" t="s">
        <v>140</v>
      </c>
      <c r="H433" t="s">
        <v>12</v>
      </c>
    </row>
    <row r="434" spans="1:8">
      <c r="A434" t="s">
        <v>28</v>
      </c>
      <c r="B434" t="s">
        <v>20</v>
      </c>
      <c r="C434">
        <v>0.75934029794307212</v>
      </c>
      <c r="D434" t="s">
        <v>19</v>
      </c>
      <c r="E434" t="s">
        <v>211</v>
      </c>
      <c r="G434" t="s">
        <v>27</v>
      </c>
      <c r="H434" t="s">
        <v>12</v>
      </c>
    </row>
    <row r="435" spans="1:8">
      <c r="A435" t="s">
        <v>180</v>
      </c>
      <c r="B435" t="s">
        <v>181</v>
      </c>
      <c r="C435">
        <v>1.1400000000000001E-4</v>
      </c>
      <c r="D435" t="s">
        <v>13</v>
      </c>
      <c r="E435" t="s">
        <v>211</v>
      </c>
      <c r="G435" t="s">
        <v>49</v>
      </c>
      <c r="H435" t="s">
        <v>12</v>
      </c>
    </row>
    <row r="436" spans="1:8">
      <c r="A436" t="s">
        <v>269</v>
      </c>
      <c r="B436" t="s">
        <v>270</v>
      </c>
      <c r="C436">
        <v>1.01E-4</v>
      </c>
      <c r="D436" t="s">
        <v>13</v>
      </c>
      <c r="E436" t="s">
        <v>211</v>
      </c>
      <c r="G436" t="s">
        <v>140</v>
      </c>
      <c r="H436" t="s">
        <v>12</v>
      </c>
    </row>
    <row r="437" spans="1:8">
      <c r="A437" t="s">
        <v>271</v>
      </c>
      <c r="B437" s="19" t="s">
        <v>197</v>
      </c>
      <c r="C437">
        <v>1.9058925655516348</v>
      </c>
      <c r="D437" s="45" t="s">
        <v>128</v>
      </c>
      <c r="G437" s="50" t="s">
        <v>29</v>
      </c>
      <c r="H437" t="s">
        <v>12</v>
      </c>
    </row>
    <row r="438" spans="1:8">
      <c r="A438" t="s">
        <v>218</v>
      </c>
      <c r="B438"/>
      <c r="C438">
        <v>1.8087898191725484</v>
      </c>
      <c r="D438" t="s">
        <v>13</v>
      </c>
      <c r="E438" t="s">
        <v>109</v>
      </c>
      <c r="F438" t="s">
        <v>184</v>
      </c>
      <c r="H438" t="s">
        <v>15</v>
      </c>
    </row>
    <row r="439" spans="1:8">
      <c r="A439" t="s">
        <v>262</v>
      </c>
      <c r="B439"/>
      <c r="C439">
        <v>1.28</v>
      </c>
      <c r="D439" t="s">
        <v>46</v>
      </c>
      <c r="E439" t="s">
        <v>109</v>
      </c>
      <c r="F439" t="s">
        <v>184</v>
      </c>
      <c r="H439" t="s">
        <v>15</v>
      </c>
    </row>
    <row r="440" spans="1:8">
      <c r="A440" t="s">
        <v>263</v>
      </c>
      <c r="B440"/>
      <c r="C440">
        <v>0</v>
      </c>
      <c r="D440" t="s">
        <v>13</v>
      </c>
      <c r="E440" t="s">
        <v>109</v>
      </c>
      <c r="F440" t="s">
        <v>184</v>
      </c>
      <c r="H440" t="s">
        <v>15</v>
      </c>
    </row>
    <row r="441" spans="1:8">
      <c r="A441" t="s">
        <v>185</v>
      </c>
      <c r="B441"/>
      <c r="C441">
        <v>7.1053982999999977E-4</v>
      </c>
      <c r="D441" t="s">
        <v>13</v>
      </c>
      <c r="E441" t="s">
        <v>109</v>
      </c>
      <c r="F441" t="s">
        <v>184</v>
      </c>
      <c r="H441" t="s">
        <v>15</v>
      </c>
    </row>
    <row r="442" spans="1:8">
      <c r="A442" t="s">
        <v>264</v>
      </c>
      <c r="B442"/>
      <c r="C442">
        <v>5.1560000000000002E-2</v>
      </c>
      <c r="D442" t="s">
        <v>13</v>
      </c>
      <c r="E442" t="s">
        <v>109</v>
      </c>
      <c r="F442" t="s">
        <v>25</v>
      </c>
      <c r="H442" t="s">
        <v>15</v>
      </c>
    </row>
    <row r="443" spans="1:8">
      <c r="A443" t="s">
        <v>125</v>
      </c>
      <c r="B443"/>
      <c r="C443">
        <v>6.5989999999999998E-6</v>
      </c>
      <c r="D443" t="s">
        <v>13</v>
      </c>
      <c r="E443" t="s">
        <v>109</v>
      </c>
      <c r="F443" t="s">
        <v>265</v>
      </c>
      <c r="H443" t="s">
        <v>15</v>
      </c>
    </row>
    <row r="444" spans="1:8">
      <c r="A444" s="50" t="s">
        <v>38</v>
      </c>
      <c r="B444" s="50" t="s">
        <v>39</v>
      </c>
      <c r="C444" s="60">
        <v>0</v>
      </c>
      <c r="D444" s="50" t="s">
        <v>13</v>
      </c>
      <c r="E444" t="s">
        <v>211</v>
      </c>
      <c r="G444" s="50" t="s">
        <v>22</v>
      </c>
      <c r="H444" t="s">
        <v>12</v>
      </c>
    </row>
    <row r="445" spans="1:8">
      <c r="A445" s="50" t="s">
        <v>276</v>
      </c>
      <c r="B445" s="50" t="s">
        <v>277</v>
      </c>
      <c r="C445">
        <v>0</v>
      </c>
      <c r="D445" s="50" t="s">
        <v>13</v>
      </c>
      <c r="E445" t="s">
        <v>211</v>
      </c>
      <c r="G445" s="50" t="s">
        <v>140</v>
      </c>
      <c r="H445" t="s">
        <v>12</v>
      </c>
    </row>
    <row r="446" spans="1:8">
      <c r="A446" s="50" t="s">
        <v>278</v>
      </c>
      <c r="B446" s="50" t="s">
        <v>279</v>
      </c>
      <c r="C446">
        <v>0</v>
      </c>
      <c r="D446" s="50" t="s">
        <v>13</v>
      </c>
      <c r="E446" t="s">
        <v>211</v>
      </c>
      <c r="G446" s="50" t="s">
        <v>140</v>
      </c>
      <c r="H446" t="s">
        <v>12</v>
      </c>
    </row>
    <row r="447" spans="1:8">
      <c r="A447" t="s">
        <v>280</v>
      </c>
      <c r="B447" t="s">
        <v>281</v>
      </c>
      <c r="C447">
        <v>0</v>
      </c>
      <c r="D447" s="50" t="s">
        <v>13</v>
      </c>
      <c r="E447" t="s">
        <v>211</v>
      </c>
      <c r="G447" s="50" t="s">
        <v>140</v>
      </c>
      <c r="H447" t="s">
        <v>12</v>
      </c>
    </row>
    <row r="448" spans="1:8">
      <c r="A448" s="50" t="s">
        <v>282</v>
      </c>
      <c r="B448" s="51" t="s">
        <v>283</v>
      </c>
      <c r="C448">
        <v>0</v>
      </c>
      <c r="D448" s="50" t="s">
        <v>13</v>
      </c>
      <c r="E448" t="s">
        <v>211</v>
      </c>
      <c r="G448" s="50" t="s">
        <v>140</v>
      </c>
      <c r="H448" t="s">
        <v>12</v>
      </c>
    </row>
    <row r="449" spans="1:9">
      <c r="A449" s="50" t="s">
        <v>284</v>
      </c>
      <c r="B449" s="51" t="s">
        <v>285</v>
      </c>
      <c r="C449">
        <v>0</v>
      </c>
      <c r="D449" s="50" t="s">
        <v>13</v>
      </c>
      <c r="E449" t="s">
        <v>211</v>
      </c>
      <c r="G449" s="50" t="s">
        <v>140</v>
      </c>
      <c r="H449" t="s">
        <v>12</v>
      </c>
    </row>
    <row r="450" spans="1:9">
      <c r="A450" s="15" t="s">
        <v>286</v>
      </c>
      <c r="B450" s="51"/>
      <c r="C450">
        <v>1.3341247958861444E-2</v>
      </c>
      <c r="D450" s="50" t="s">
        <v>13</v>
      </c>
      <c r="E450" s="50" t="s">
        <v>109</v>
      </c>
      <c r="F450" t="s">
        <v>184</v>
      </c>
      <c r="H450" t="s">
        <v>15</v>
      </c>
    </row>
    <row r="451" spans="1:9">
      <c r="A451" s="15" t="s">
        <v>108</v>
      </c>
      <c r="B451" s="50"/>
      <c r="C451">
        <v>0.35068423206150079</v>
      </c>
      <c r="D451" s="50" t="s">
        <v>13</v>
      </c>
      <c r="E451" s="50" t="s">
        <v>109</v>
      </c>
      <c r="F451" t="s">
        <v>184</v>
      </c>
      <c r="H451" t="s">
        <v>15</v>
      </c>
    </row>
    <row r="452" spans="1:9" s="56" customFormat="1">
      <c r="B452" s="57"/>
      <c r="I452" s="58"/>
    </row>
    <row r="453" spans="1:9">
      <c r="A453" s="43" t="s">
        <v>1</v>
      </c>
      <c r="B453" s="43" t="s">
        <v>288</v>
      </c>
      <c r="I453"/>
    </row>
    <row r="454" spans="1:9">
      <c r="A454" s="46" t="s">
        <v>11</v>
      </c>
      <c r="B454" s="59"/>
      <c r="I454"/>
    </row>
    <row r="455" spans="1:9">
      <c r="A455" s="46" t="s">
        <v>2</v>
      </c>
      <c r="B455" t="s">
        <v>29</v>
      </c>
      <c r="I455"/>
    </row>
    <row r="456" spans="1:9">
      <c r="A456" s="46" t="s">
        <v>3</v>
      </c>
      <c r="B456" s="47">
        <v>1</v>
      </c>
      <c r="I456"/>
    </row>
    <row r="457" spans="1:9">
      <c r="A457" s="46" t="s">
        <v>4</v>
      </c>
      <c r="B457" t="s">
        <v>261</v>
      </c>
      <c r="I457"/>
    </row>
    <row r="458" spans="1:9">
      <c r="A458" s="46" t="s">
        <v>6</v>
      </c>
      <c r="B458" t="s">
        <v>128</v>
      </c>
      <c r="I458"/>
    </row>
    <row r="459" spans="1:9">
      <c r="A459" s="46" t="s">
        <v>76</v>
      </c>
      <c r="B459"/>
      <c r="I459"/>
    </row>
    <row r="460" spans="1:9" ht="15.6">
      <c r="A460" s="30" t="s">
        <v>7</v>
      </c>
      <c r="B460"/>
      <c r="I460"/>
    </row>
    <row r="461" spans="1:9" s="46" customFormat="1">
      <c r="A461" s="46" t="s">
        <v>8</v>
      </c>
      <c r="B461" s="46" t="s">
        <v>4</v>
      </c>
      <c r="C461" s="46" t="s">
        <v>9</v>
      </c>
      <c r="D461" s="46" t="s">
        <v>6</v>
      </c>
      <c r="E461" s="46" t="s">
        <v>106</v>
      </c>
      <c r="F461" s="46" t="s">
        <v>10</v>
      </c>
      <c r="G461" s="46" t="s">
        <v>2</v>
      </c>
      <c r="H461" s="46" t="s">
        <v>5</v>
      </c>
      <c r="I461" s="46" t="s">
        <v>11</v>
      </c>
    </row>
    <row r="462" spans="1:9">
      <c r="A462" t="s">
        <v>288</v>
      </c>
      <c r="B462" t="s">
        <v>261</v>
      </c>
      <c r="C462">
        <v>1</v>
      </c>
      <c r="D462" t="s">
        <v>128</v>
      </c>
      <c r="E462" s="50"/>
      <c r="G462" t="s">
        <v>29</v>
      </c>
      <c r="H462" t="s">
        <v>18</v>
      </c>
    </row>
    <row r="463" spans="1:9">
      <c r="A463" t="s">
        <v>266</v>
      </c>
      <c r="B463" t="s">
        <v>267</v>
      </c>
      <c r="C463">
        <v>1.0255532373423097E-2</v>
      </c>
      <c r="D463" t="s">
        <v>13</v>
      </c>
      <c r="E463" t="s">
        <v>211</v>
      </c>
      <c r="G463" t="s">
        <v>140</v>
      </c>
      <c r="H463" t="s">
        <v>12</v>
      </c>
    </row>
    <row r="464" spans="1:9">
      <c r="A464" t="s">
        <v>268</v>
      </c>
      <c r="B464" t="s">
        <v>135</v>
      </c>
      <c r="C464">
        <v>5.4000000000000001E-11</v>
      </c>
      <c r="D464" t="s">
        <v>6</v>
      </c>
      <c r="E464" t="s">
        <v>211</v>
      </c>
      <c r="G464" t="s">
        <v>140</v>
      </c>
      <c r="H464" t="s">
        <v>12</v>
      </c>
    </row>
    <row r="465" spans="1:8">
      <c r="A465" t="s">
        <v>28</v>
      </c>
      <c r="B465" t="s">
        <v>20</v>
      </c>
      <c r="C465">
        <v>0.63128239335113012</v>
      </c>
      <c r="D465" t="s">
        <v>19</v>
      </c>
      <c r="E465" t="s">
        <v>211</v>
      </c>
      <c r="G465" t="s">
        <v>27</v>
      </c>
      <c r="H465" t="s">
        <v>12</v>
      </c>
    </row>
    <row r="466" spans="1:8">
      <c r="A466" t="s">
        <v>180</v>
      </c>
      <c r="B466" t="s">
        <v>181</v>
      </c>
      <c r="C466">
        <v>1.1400000000000001E-4</v>
      </c>
      <c r="D466" t="s">
        <v>13</v>
      </c>
      <c r="E466" t="s">
        <v>211</v>
      </c>
      <c r="G466" t="s">
        <v>49</v>
      </c>
      <c r="H466" t="s">
        <v>12</v>
      </c>
    </row>
    <row r="467" spans="1:8">
      <c r="A467" t="s">
        <v>269</v>
      </c>
      <c r="B467" t="s">
        <v>270</v>
      </c>
      <c r="C467">
        <v>1.01E-4</v>
      </c>
      <c r="D467" t="s">
        <v>13</v>
      </c>
      <c r="E467" t="s">
        <v>211</v>
      </c>
      <c r="G467" t="s">
        <v>140</v>
      </c>
      <c r="H467" t="s">
        <v>12</v>
      </c>
    </row>
    <row r="468" spans="1:8">
      <c r="A468" t="s">
        <v>271</v>
      </c>
      <c r="B468" s="19" t="s">
        <v>197</v>
      </c>
      <c r="C468">
        <v>1.9028346445037665</v>
      </c>
      <c r="D468" s="45" t="s">
        <v>128</v>
      </c>
      <c r="G468" s="50" t="s">
        <v>29</v>
      </c>
      <c r="H468" t="s">
        <v>12</v>
      </c>
    </row>
    <row r="469" spans="1:8">
      <c r="A469" t="s">
        <v>218</v>
      </c>
      <c r="B469"/>
      <c r="C469">
        <v>1.7694051155218009</v>
      </c>
      <c r="D469" t="s">
        <v>13</v>
      </c>
      <c r="E469" t="s">
        <v>109</v>
      </c>
      <c r="F469" t="s">
        <v>184</v>
      </c>
      <c r="H469" t="s">
        <v>15</v>
      </c>
    </row>
    <row r="470" spans="1:8">
      <c r="A470" t="s">
        <v>262</v>
      </c>
      <c r="B470"/>
      <c r="C470">
        <v>1.28</v>
      </c>
      <c r="D470" t="s">
        <v>46</v>
      </c>
      <c r="E470" t="s">
        <v>109</v>
      </c>
      <c r="F470" t="s">
        <v>184</v>
      </c>
      <c r="H470" t="s">
        <v>15</v>
      </c>
    </row>
    <row r="471" spans="1:8">
      <c r="A471" t="s">
        <v>263</v>
      </c>
      <c r="B471"/>
      <c r="C471">
        <v>0</v>
      </c>
      <c r="D471" t="s">
        <v>13</v>
      </c>
      <c r="E471" t="s">
        <v>109</v>
      </c>
      <c r="F471" t="s">
        <v>184</v>
      </c>
      <c r="H471" t="s">
        <v>15</v>
      </c>
    </row>
    <row r="472" spans="1:8">
      <c r="A472" t="s">
        <v>185</v>
      </c>
      <c r="B472"/>
      <c r="C472">
        <v>1.4187996E-2</v>
      </c>
      <c r="D472" t="s">
        <v>13</v>
      </c>
      <c r="E472" t="s">
        <v>109</v>
      </c>
      <c r="F472" t="s">
        <v>184</v>
      </c>
      <c r="H472" t="s">
        <v>15</v>
      </c>
    </row>
    <row r="473" spans="1:8">
      <c r="A473" t="s">
        <v>264</v>
      </c>
      <c r="B473"/>
      <c r="C473">
        <v>5.1560000000000002E-2</v>
      </c>
      <c r="D473" t="s">
        <v>13</v>
      </c>
      <c r="E473" t="s">
        <v>109</v>
      </c>
      <c r="F473" t="s">
        <v>25</v>
      </c>
      <c r="H473" t="s">
        <v>15</v>
      </c>
    </row>
    <row r="474" spans="1:8">
      <c r="A474" t="s">
        <v>125</v>
      </c>
      <c r="B474"/>
      <c r="C474">
        <v>6.5989999999999998E-6</v>
      </c>
      <c r="D474" t="s">
        <v>13</v>
      </c>
      <c r="E474" t="s">
        <v>109</v>
      </c>
      <c r="F474" t="s">
        <v>265</v>
      </c>
      <c r="H474" t="s">
        <v>15</v>
      </c>
    </row>
    <row r="475" spans="1:8">
      <c r="A475" s="50" t="s">
        <v>38</v>
      </c>
      <c r="B475" s="50" t="s">
        <v>39</v>
      </c>
      <c r="C475" s="60">
        <v>0.19028346445037667</v>
      </c>
      <c r="D475" s="50" t="s">
        <v>13</v>
      </c>
      <c r="E475" t="s">
        <v>211</v>
      </c>
      <c r="G475" s="50" t="s">
        <v>22</v>
      </c>
      <c r="H475" t="s">
        <v>12</v>
      </c>
    </row>
    <row r="476" spans="1:8">
      <c r="A476" s="50" t="s">
        <v>276</v>
      </c>
      <c r="B476" s="50" t="s">
        <v>277</v>
      </c>
      <c r="C476">
        <v>0</v>
      </c>
      <c r="D476" s="50" t="s">
        <v>13</v>
      </c>
      <c r="E476" t="s">
        <v>211</v>
      </c>
      <c r="G476" s="50" t="s">
        <v>140</v>
      </c>
      <c r="H476" t="s">
        <v>12</v>
      </c>
    </row>
    <row r="477" spans="1:8">
      <c r="A477" s="50" t="s">
        <v>278</v>
      </c>
      <c r="B477" s="50" t="s">
        <v>279</v>
      </c>
      <c r="C477">
        <v>0</v>
      </c>
      <c r="D477" s="50" t="s">
        <v>13</v>
      </c>
      <c r="E477" t="s">
        <v>211</v>
      </c>
      <c r="G477" s="50" t="s">
        <v>140</v>
      </c>
      <c r="H477" t="s">
        <v>12</v>
      </c>
    </row>
    <row r="478" spans="1:8">
      <c r="A478" t="s">
        <v>280</v>
      </c>
      <c r="B478" t="s">
        <v>281</v>
      </c>
      <c r="C478">
        <v>0</v>
      </c>
      <c r="D478" s="50" t="s">
        <v>13</v>
      </c>
      <c r="E478" t="s">
        <v>211</v>
      </c>
      <c r="G478" s="50" t="s">
        <v>140</v>
      </c>
      <c r="H478" t="s">
        <v>12</v>
      </c>
    </row>
    <row r="479" spans="1:8">
      <c r="A479" s="50" t="s">
        <v>282</v>
      </c>
      <c r="B479" s="51" t="s">
        <v>283</v>
      </c>
      <c r="C479">
        <v>0</v>
      </c>
      <c r="D479" s="50" t="s">
        <v>13</v>
      </c>
      <c r="E479" t="s">
        <v>211</v>
      </c>
      <c r="G479" s="50" t="s">
        <v>140</v>
      </c>
      <c r="H479" t="s">
        <v>12</v>
      </c>
    </row>
    <row r="480" spans="1:8">
      <c r="A480" s="50" t="s">
        <v>284</v>
      </c>
      <c r="B480" s="51" t="s">
        <v>285</v>
      </c>
      <c r="C480">
        <v>0</v>
      </c>
      <c r="D480" s="50" t="s">
        <v>13</v>
      </c>
      <c r="E480" t="s">
        <v>211</v>
      </c>
      <c r="G480" s="50" t="s">
        <v>140</v>
      </c>
      <c r="H480" t="s">
        <v>12</v>
      </c>
    </row>
    <row r="481" spans="1:9">
      <c r="A481" s="15" t="s">
        <v>286</v>
      </c>
      <c r="B481" s="51"/>
      <c r="C481">
        <v>0</v>
      </c>
      <c r="D481" s="50" t="s">
        <v>13</v>
      </c>
      <c r="E481" s="50" t="s">
        <v>109</v>
      </c>
      <c r="F481" t="s">
        <v>184</v>
      </c>
      <c r="H481" t="s">
        <v>15</v>
      </c>
    </row>
    <row r="482" spans="1:9">
      <c r="A482" s="15" t="s">
        <v>108</v>
      </c>
      <c r="B482" s="50"/>
      <c r="C482">
        <v>0</v>
      </c>
      <c r="D482" s="50" t="s">
        <v>13</v>
      </c>
      <c r="E482" s="50" t="s">
        <v>109</v>
      </c>
      <c r="F482" t="s">
        <v>184</v>
      </c>
      <c r="H482" t="s">
        <v>15</v>
      </c>
    </row>
    <row r="483" spans="1:9" s="56" customFormat="1">
      <c r="B483" s="57"/>
      <c r="I483" s="58"/>
    </row>
    <row r="484" spans="1:9">
      <c r="A484" s="43" t="s">
        <v>1</v>
      </c>
      <c r="B484" s="43" t="s">
        <v>289</v>
      </c>
      <c r="I484"/>
    </row>
    <row r="485" spans="1:9">
      <c r="A485" s="46" t="s">
        <v>11</v>
      </c>
      <c r="B485" s="59"/>
      <c r="I485"/>
    </row>
    <row r="486" spans="1:9">
      <c r="A486" s="46" t="s">
        <v>2</v>
      </c>
      <c r="B486" t="s">
        <v>29</v>
      </c>
      <c r="I486"/>
    </row>
    <row r="487" spans="1:9">
      <c r="A487" s="46" t="s">
        <v>3</v>
      </c>
      <c r="B487" s="47">
        <v>1</v>
      </c>
      <c r="I487"/>
    </row>
    <row r="488" spans="1:9">
      <c r="A488" s="46" t="s">
        <v>4</v>
      </c>
      <c r="B488" t="s">
        <v>261</v>
      </c>
      <c r="I488"/>
    </row>
    <row r="489" spans="1:9">
      <c r="A489" s="46" t="s">
        <v>6</v>
      </c>
      <c r="B489" t="s">
        <v>128</v>
      </c>
      <c r="I489"/>
    </row>
    <row r="490" spans="1:9">
      <c r="A490" s="46" t="s">
        <v>76</v>
      </c>
      <c r="B490"/>
      <c r="I490"/>
    </row>
    <row r="491" spans="1:9" ht="15.6">
      <c r="A491" s="30" t="s">
        <v>7</v>
      </c>
      <c r="B491"/>
      <c r="I491"/>
    </row>
    <row r="492" spans="1:9" s="46" customFormat="1">
      <c r="A492" s="46" t="s">
        <v>8</v>
      </c>
      <c r="B492" s="46" t="s">
        <v>4</v>
      </c>
      <c r="C492" s="46" t="s">
        <v>9</v>
      </c>
      <c r="D492" s="46" t="s">
        <v>6</v>
      </c>
      <c r="E492" s="46" t="s">
        <v>106</v>
      </c>
      <c r="F492" s="46" t="s">
        <v>10</v>
      </c>
      <c r="G492" s="46" t="s">
        <v>2</v>
      </c>
      <c r="H492" s="46" t="s">
        <v>5</v>
      </c>
      <c r="I492" s="46" t="s">
        <v>11</v>
      </c>
    </row>
    <row r="493" spans="1:9">
      <c r="A493" t="s">
        <v>289</v>
      </c>
      <c r="B493" t="s">
        <v>261</v>
      </c>
      <c r="C493">
        <v>1</v>
      </c>
      <c r="D493" t="s">
        <v>128</v>
      </c>
      <c r="E493" s="50"/>
      <c r="G493" t="s">
        <v>29</v>
      </c>
      <c r="H493" t="s">
        <v>18</v>
      </c>
    </row>
    <row r="494" spans="1:9">
      <c r="A494" t="s">
        <v>266</v>
      </c>
      <c r="B494" t="s">
        <v>267</v>
      </c>
      <c r="C494">
        <v>1.0255532373423097E-2</v>
      </c>
      <c r="D494" t="s">
        <v>13</v>
      </c>
      <c r="E494" t="s">
        <v>211</v>
      </c>
      <c r="G494" t="s">
        <v>140</v>
      </c>
      <c r="H494" t="s">
        <v>12</v>
      </c>
    </row>
    <row r="495" spans="1:9">
      <c r="A495" t="s">
        <v>268</v>
      </c>
      <c r="B495" t="s">
        <v>135</v>
      </c>
      <c r="C495">
        <v>5.4000000000000001E-11</v>
      </c>
      <c r="D495" t="s">
        <v>6</v>
      </c>
      <c r="E495" t="s">
        <v>211</v>
      </c>
      <c r="G495" t="s">
        <v>140</v>
      </c>
      <c r="H495" t="s">
        <v>12</v>
      </c>
    </row>
    <row r="496" spans="1:9">
      <c r="A496" t="s">
        <v>28</v>
      </c>
      <c r="B496" t="s">
        <v>20</v>
      </c>
      <c r="C496">
        <v>0.67375221360986193</v>
      </c>
      <c r="D496" t="s">
        <v>19</v>
      </c>
      <c r="E496" t="s">
        <v>211</v>
      </c>
      <c r="G496" t="s">
        <v>27</v>
      </c>
      <c r="H496" t="s">
        <v>12</v>
      </c>
    </row>
    <row r="497" spans="1:8">
      <c r="A497" t="s">
        <v>180</v>
      </c>
      <c r="B497" t="s">
        <v>181</v>
      </c>
      <c r="C497">
        <v>1.1400000000000001E-4</v>
      </c>
      <c r="D497" t="s">
        <v>13</v>
      </c>
      <c r="E497" t="s">
        <v>211</v>
      </c>
      <c r="G497" t="s">
        <v>49</v>
      </c>
      <c r="H497" t="s">
        <v>12</v>
      </c>
    </row>
    <row r="498" spans="1:8">
      <c r="A498" t="s">
        <v>269</v>
      </c>
      <c r="B498" t="s">
        <v>270</v>
      </c>
      <c r="C498">
        <v>1.01E-4</v>
      </c>
      <c r="D498" t="s">
        <v>13</v>
      </c>
      <c r="E498" t="s">
        <v>211</v>
      </c>
      <c r="G498" t="s">
        <v>140</v>
      </c>
      <c r="H498" t="s">
        <v>12</v>
      </c>
    </row>
    <row r="499" spans="1:8">
      <c r="A499" t="s">
        <v>271</v>
      </c>
      <c r="B499" s="19" t="s">
        <v>197</v>
      </c>
      <c r="C499">
        <v>1.9016807120328729</v>
      </c>
      <c r="D499" s="45" t="s">
        <v>128</v>
      </c>
      <c r="G499" s="50" t="s">
        <v>29</v>
      </c>
      <c r="H499" t="s">
        <v>12</v>
      </c>
    </row>
    <row r="500" spans="1:8">
      <c r="A500" t="s">
        <v>218</v>
      </c>
      <c r="B500"/>
      <c r="C500">
        <v>1.7501018706524611</v>
      </c>
      <c r="D500" t="s">
        <v>13</v>
      </c>
      <c r="E500" t="s">
        <v>109</v>
      </c>
      <c r="F500" t="s">
        <v>184</v>
      </c>
      <c r="H500" t="s">
        <v>15</v>
      </c>
    </row>
    <row r="501" spans="1:8">
      <c r="A501" t="s">
        <v>262</v>
      </c>
      <c r="B501"/>
      <c r="C501">
        <v>1.28</v>
      </c>
      <c r="D501" t="s">
        <v>46</v>
      </c>
      <c r="E501" t="s">
        <v>109</v>
      </c>
      <c r="F501" t="s">
        <v>184</v>
      </c>
      <c r="H501" t="s">
        <v>15</v>
      </c>
    </row>
    <row r="502" spans="1:8">
      <c r="A502" t="s">
        <v>263</v>
      </c>
      <c r="B502"/>
      <c r="C502">
        <v>0</v>
      </c>
      <c r="D502" t="s">
        <v>13</v>
      </c>
      <c r="E502" t="s">
        <v>109</v>
      </c>
      <c r="F502" t="s">
        <v>184</v>
      </c>
      <c r="H502" t="s">
        <v>15</v>
      </c>
    </row>
    <row r="503" spans="1:8">
      <c r="A503" t="s">
        <v>185</v>
      </c>
      <c r="B503"/>
      <c r="C503">
        <v>2.1269087999999998E-2</v>
      </c>
      <c r="D503" t="s">
        <v>13</v>
      </c>
      <c r="E503" t="s">
        <v>109</v>
      </c>
      <c r="F503" t="s">
        <v>184</v>
      </c>
      <c r="H503" t="s">
        <v>15</v>
      </c>
    </row>
    <row r="504" spans="1:8">
      <c r="A504" t="s">
        <v>264</v>
      </c>
      <c r="B504"/>
      <c r="C504">
        <v>5.1560000000000002E-2</v>
      </c>
      <c r="D504" t="s">
        <v>13</v>
      </c>
      <c r="E504" t="s">
        <v>109</v>
      </c>
      <c r="F504" t="s">
        <v>25</v>
      </c>
      <c r="H504" t="s">
        <v>15</v>
      </c>
    </row>
    <row r="505" spans="1:8">
      <c r="A505" t="s">
        <v>125</v>
      </c>
      <c r="B505"/>
      <c r="C505">
        <v>6.5989999999999998E-6</v>
      </c>
      <c r="D505" t="s">
        <v>13</v>
      </c>
      <c r="E505" t="s">
        <v>109</v>
      </c>
      <c r="F505" t="s">
        <v>265</v>
      </c>
      <c r="H505" t="s">
        <v>15</v>
      </c>
    </row>
    <row r="506" spans="1:8">
      <c r="A506" s="50" t="s">
        <v>38</v>
      </c>
      <c r="B506" s="50" t="s">
        <v>39</v>
      </c>
      <c r="C506" s="61">
        <v>0</v>
      </c>
      <c r="D506" s="50" t="s">
        <v>13</v>
      </c>
      <c r="E506" t="s">
        <v>211</v>
      </c>
      <c r="G506" s="50" t="s">
        <v>22</v>
      </c>
      <c r="H506" t="s">
        <v>12</v>
      </c>
    </row>
    <row r="507" spans="1:8">
      <c r="A507" s="50" t="s">
        <v>276</v>
      </c>
      <c r="B507" s="50" t="s">
        <v>277</v>
      </c>
      <c r="C507">
        <v>0</v>
      </c>
      <c r="D507" s="50" t="s">
        <v>13</v>
      </c>
      <c r="E507" t="s">
        <v>211</v>
      </c>
      <c r="G507" s="50" t="s">
        <v>140</v>
      </c>
      <c r="H507" t="s">
        <v>12</v>
      </c>
    </row>
    <row r="508" spans="1:8">
      <c r="A508" s="50" t="s">
        <v>278</v>
      </c>
      <c r="B508" s="50" t="s">
        <v>279</v>
      </c>
      <c r="C508">
        <v>0</v>
      </c>
      <c r="D508" s="50" t="s">
        <v>13</v>
      </c>
      <c r="E508" t="s">
        <v>211</v>
      </c>
      <c r="G508" s="50" t="s">
        <v>140</v>
      </c>
      <c r="H508" t="s">
        <v>12</v>
      </c>
    </row>
    <row r="509" spans="1:8">
      <c r="A509" t="s">
        <v>280</v>
      </c>
      <c r="B509" t="s">
        <v>281</v>
      </c>
      <c r="C509">
        <v>0</v>
      </c>
      <c r="D509" s="50" t="s">
        <v>13</v>
      </c>
      <c r="E509" t="s">
        <v>211</v>
      </c>
      <c r="G509" s="50" t="s">
        <v>140</v>
      </c>
      <c r="H509" t="s">
        <v>12</v>
      </c>
    </row>
    <row r="510" spans="1:8">
      <c r="A510" s="50" t="s">
        <v>282</v>
      </c>
      <c r="B510" s="51" t="s">
        <v>283</v>
      </c>
      <c r="C510">
        <v>0</v>
      </c>
      <c r="D510" s="50" t="s">
        <v>13</v>
      </c>
      <c r="E510" t="s">
        <v>211</v>
      </c>
      <c r="G510" s="50" t="s">
        <v>140</v>
      </c>
      <c r="H510" t="s">
        <v>12</v>
      </c>
    </row>
    <row r="511" spans="1:8">
      <c r="A511" s="50" t="s">
        <v>284</v>
      </c>
      <c r="B511" s="51" t="s">
        <v>285</v>
      </c>
      <c r="C511">
        <v>0</v>
      </c>
      <c r="D511" s="50" t="s">
        <v>13</v>
      </c>
      <c r="E511" t="s">
        <v>211</v>
      </c>
      <c r="G511" s="50" t="s">
        <v>140</v>
      </c>
      <c r="H511" t="s">
        <v>12</v>
      </c>
    </row>
    <row r="512" spans="1:8">
      <c r="A512" s="15" t="s">
        <v>286</v>
      </c>
      <c r="B512" s="51"/>
      <c r="C512">
        <v>0</v>
      </c>
      <c r="D512" s="50" t="s">
        <v>13</v>
      </c>
      <c r="E512" s="50" t="s">
        <v>109</v>
      </c>
      <c r="F512" t="s">
        <v>184</v>
      </c>
      <c r="H512" t="s">
        <v>15</v>
      </c>
    </row>
    <row r="513" spans="1:9">
      <c r="A513" s="15" t="s">
        <v>108</v>
      </c>
      <c r="B513" s="50"/>
      <c r="C513">
        <v>0</v>
      </c>
      <c r="D513" s="50" t="s">
        <v>13</v>
      </c>
      <c r="E513" s="50" t="s">
        <v>109</v>
      </c>
      <c r="F513" t="s">
        <v>184</v>
      </c>
      <c r="H513" t="s">
        <v>15</v>
      </c>
    </row>
    <row r="514" spans="1:9">
      <c r="A514" s="56"/>
      <c r="B514" s="57"/>
      <c r="C514" s="56"/>
      <c r="D514" s="56"/>
      <c r="E514" s="56"/>
      <c r="F514" s="56"/>
      <c r="G514" s="56"/>
      <c r="H514" s="56"/>
      <c r="I514" s="58"/>
    </row>
    <row r="515" spans="1:9">
      <c r="A515" s="43" t="s">
        <v>1</v>
      </c>
      <c r="B515" s="43" t="s">
        <v>290</v>
      </c>
      <c r="I515"/>
    </row>
    <row r="516" spans="1:9">
      <c r="A516" s="46" t="s">
        <v>11</v>
      </c>
      <c r="B516" s="59"/>
      <c r="I516"/>
    </row>
    <row r="517" spans="1:9">
      <c r="A517" s="46" t="s">
        <v>2</v>
      </c>
      <c r="B517" t="s">
        <v>29</v>
      </c>
      <c r="I517"/>
    </row>
    <row r="518" spans="1:9">
      <c r="A518" s="46" t="s">
        <v>3</v>
      </c>
      <c r="B518" s="47">
        <v>1</v>
      </c>
      <c r="I518"/>
    </row>
    <row r="519" spans="1:9">
      <c r="A519" s="46" t="s">
        <v>4</v>
      </c>
      <c r="B519" t="s">
        <v>261</v>
      </c>
      <c r="I519"/>
    </row>
    <row r="520" spans="1:9">
      <c r="A520" s="46" t="s">
        <v>6</v>
      </c>
      <c r="B520" t="s">
        <v>128</v>
      </c>
      <c r="I520"/>
    </row>
    <row r="521" spans="1:9">
      <c r="A521" s="46" t="s">
        <v>76</v>
      </c>
      <c r="B521"/>
      <c r="I521"/>
    </row>
    <row r="522" spans="1:9" ht="15.6">
      <c r="A522" s="30" t="s">
        <v>7</v>
      </c>
      <c r="B522"/>
      <c r="I522"/>
    </row>
    <row r="523" spans="1:9">
      <c r="A523" s="46" t="s">
        <v>8</v>
      </c>
      <c r="B523" s="46" t="s">
        <v>4</v>
      </c>
      <c r="C523" s="46" t="s">
        <v>9</v>
      </c>
      <c r="D523" s="46" t="s">
        <v>6</v>
      </c>
      <c r="E523" s="46" t="s">
        <v>106</v>
      </c>
      <c r="F523" s="46" t="s">
        <v>10</v>
      </c>
      <c r="G523" s="46" t="s">
        <v>2</v>
      </c>
      <c r="H523" s="46" t="s">
        <v>5</v>
      </c>
      <c r="I523" s="46" t="s">
        <v>11</v>
      </c>
    </row>
    <row r="524" spans="1:9">
      <c r="A524" t="s">
        <v>290</v>
      </c>
      <c r="B524" t="s">
        <v>261</v>
      </c>
      <c r="C524">
        <v>1</v>
      </c>
      <c r="D524" t="s">
        <v>128</v>
      </c>
      <c r="E524" s="50"/>
      <c r="G524" t="s">
        <v>29</v>
      </c>
      <c r="H524" t="s">
        <v>18</v>
      </c>
    </row>
    <row r="525" spans="1:9">
      <c r="A525" t="s">
        <v>266</v>
      </c>
      <c r="B525" t="s">
        <v>267</v>
      </c>
      <c r="C525">
        <v>0.14950127537864799</v>
      </c>
      <c r="D525" t="s">
        <v>13</v>
      </c>
      <c r="E525" t="s">
        <v>211</v>
      </c>
      <c r="G525" t="s">
        <v>140</v>
      </c>
      <c r="H525" t="s">
        <v>12</v>
      </c>
    </row>
    <row r="526" spans="1:9">
      <c r="A526" t="s">
        <v>268</v>
      </c>
      <c r="B526" t="s">
        <v>135</v>
      </c>
      <c r="C526">
        <v>0</v>
      </c>
      <c r="D526" t="s">
        <v>6</v>
      </c>
      <c r="E526" t="s">
        <v>211</v>
      </c>
      <c r="G526" t="s">
        <v>140</v>
      </c>
      <c r="H526" t="s">
        <v>12</v>
      </c>
    </row>
    <row r="527" spans="1:9">
      <c r="A527" t="s">
        <v>28</v>
      </c>
      <c r="B527" t="s">
        <v>20</v>
      </c>
      <c r="C527">
        <v>0.65406807978158488</v>
      </c>
      <c r="D527" t="s">
        <v>19</v>
      </c>
      <c r="E527" t="s">
        <v>211</v>
      </c>
      <c r="G527" t="s">
        <v>27</v>
      </c>
      <c r="H527" t="s">
        <v>12</v>
      </c>
    </row>
    <row r="528" spans="1:9">
      <c r="A528" t="s">
        <v>180</v>
      </c>
      <c r="B528" t="s">
        <v>181</v>
      </c>
      <c r="C528">
        <v>0</v>
      </c>
      <c r="D528" t="s">
        <v>13</v>
      </c>
      <c r="E528" t="s">
        <v>211</v>
      </c>
      <c r="G528" t="s">
        <v>49</v>
      </c>
      <c r="H528" t="s">
        <v>12</v>
      </c>
    </row>
    <row r="529" spans="1:8">
      <c r="A529" t="s">
        <v>269</v>
      </c>
      <c r="B529" t="s">
        <v>270</v>
      </c>
      <c r="C529">
        <v>0</v>
      </c>
      <c r="D529" t="s">
        <v>13</v>
      </c>
      <c r="E529" t="s">
        <v>211</v>
      </c>
      <c r="G529" t="s">
        <v>140</v>
      </c>
      <c r="H529" t="s">
        <v>12</v>
      </c>
    </row>
    <row r="530" spans="1:8">
      <c r="A530" t="s">
        <v>271</v>
      </c>
      <c r="B530" s="19" t="s">
        <v>197</v>
      </c>
      <c r="C530">
        <v>1.8687659422330998</v>
      </c>
      <c r="D530" s="45" t="s">
        <v>128</v>
      </c>
      <c r="G530" s="50" t="s">
        <v>29</v>
      </c>
      <c r="H530" t="s">
        <v>12</v>
      </c>
    </row>
    <row r="531" spans="1:8">
      <c r="A531" t="s">
        <v>218</v>
      </c>
      <c r="B531"/>
      <c r="C531">
        <v>1.7398751234684424</v>
      </c>
      <c r="D531" t="s">
        <v>13</v>
      </c>
      <c r="E531" t="s">
        <v>109</v>
      </c>
      <c r="F531" t="s">
        <v>184</v>
      </c>
      <c r="H531" t="s">
        <v>15</v>
      </c>
    </row>
    <row r="532" spans="1:8">
      <c r="A532" t="s">
        <v>262</v>
      </c>
      <c r="B532"/>
      <c r="C532">
        <v>0</v>
      </c>
      <c r="D532" t="s">
        <v>46</v>
      </c>
      <c r="E532" t="s">
        <v>109</v>
      </c>
      <c r="F532" t="s">
        <v>184</v>
      </c>
      <c r="H532" t="s">
        <v>15</v>
      </c>
    </row>
    <row r="533" spans="1:8">
      <c r="A533" t="s">
        <v>263</v>
      </c>
      <c r="B533"/>
      <c r="C533">
        <v>0</v>
      </c>
      <c r="D533" t="s">
        <v>13</v>
      </c>
      <c r="E533" t="s">
        <v>109</v>
      </c>
      <c r="F533" t="s">
        <v>184</v>
      </c>
      <c r="H533" t="s">
        <v>15</v>
      </c>
    </row>
    <row r="534" spans="1:8">
      <c r="A534" t="s">
        <v>185</v>
      </c>
      <c r="B534"/>
      <c r="C534">
        <v>3.4834928759999994E-4</v>
      </c>
      <c r="D534" t="s">
        <v>13</v>
      </c>
      <c r="E534" t="s">
        <v>109</v>
      </c>
      <c r="F534" t="s">
        <v>184</v>
      </c>
      <c r="H534" t="s">
        <v>15</v>
      </c>
    </row>
    <row r="535" spans="1:8">
      <c r="A535" t="s">
        <v>264</v>
      </c>
      <c r="B535"/>
      <c r="C535">
        <v>0</v>
      </c>
      <c r="D535" t="s">
        <v>13</v>
      </c>
      <c r="E535" t="s">
        <v>109</v>
      </c>
      <c r="F535" t="s">
        <v>25</v>
      </c>
      <c r="H535" t="s">
        <v>15</v>
      </c>
    </row>
    <row r="536" spans="1:8">
      <c r="A536" t="s">
        <v>125</v>
      </c>
      <c r="B536"/>
      <c r="C536">
        <v>0</v>
      </c>
      <c r="D536" t="s">
        <v>13</v>
      </c>
      <c r="E536" t="s">
        <v>109</v>
      </c>
      <c r="F536" t="s">
        <v>265</v>
      </c>
      <c r="H536" t="s">
        <v>15</v>
      </c>
    </row>
    <row r="537" spans="1:8">
      <c r="A537" s="50" t="s">
        <v>38</v>
      </c>
      <c r="B537" s="50" t="s">
        <v>39</v>
      </c>
      <c r="C537" s="61">
        <v>0</v>
      </c>
      <c r="D537" s="50" t="s">
        <v>13</v>
      </c>
      <c r="E537" t="s">
        <v>211</v>
      </c>
      <c r="G537" s="50" t="s">
        <v>22</v>
      </c>
      <c r="H537" t="s">
        <v>12</v>
      </c>
    </row>
    <row r="538" spans="1:8">
      <c r="A538" s="50" t="s">
        <v>276</v>
      </c>
      <c r="B538" s="50" t="s">
        <v>277</v>
      </c>
      <c r="C538">
        <v>0</v>
      </c>
      <c r="D538" s="50" t="s">
        <v>13</v>
      </c>
      <c r="E538" t="s">
        <v>211</v>
      </c>
      <c r="G538" s="50" t="s">
        <v>140</v>
      </c>
      <c r="H538" t="s">
        <v>12</v>
      </c>
    </row>
    <row r="539" spans="1:8">
      <c r="A539" s="50" t="s">
        <v>278</v>
      </c>
      <c r="B539" s="50" t="s">
        <v>279</v>
      </c>
      <c r="C539">
        <v>0</v>
      </c>
      <c r="D539" s="50" t="s">
        <v>13</v>
      </c>
      <c r="E539" t="s">
        <v>211</v>
      </c>
      <c r="G539" s="50" t="s">
        <v>140</v>
      </c>
      <c r="H539" t="s">
        <v>12</v>
      </c>
    </row>
    <row r="540" spans="1:8">
      <c r="A540" t="s">
        <v>280</v>
      </c>
      <c r="B540" t="s">
        <v>281</v>
      </c>
      <c r="C540">
        <v>0</v>
      </c>
      <c r="D540" s="50" t="s">
        <v>13</v>
      </c>
      <c r="E540" t="s">
        <v>211</v>
      </c>
      <c r="G540" s="50" t="s">
        <v>140</v>
      </c>
      <c r="H540" t="s">
        <v>12</v>
      </c>
    </row>
    <row r="541" spans="1:8">
      <c r="A541" s="50" t="s">
        <v>282</v>
      </c>
      <c r="B541" s="51" t="s">
        <v>283</v>
      </c>
      <c r="C541">
        <v>0</v>
      </c>
      <c r="D541" s="50" t="s">
        <v>13</v>
      </c>
      <c r="E541" t="s">
        <v>211</v>
      </c>
      <c r="G541" s="50" t="s">
        <v>140</v>
      </c>
      <c r="H541" t="s">
        <v>12</v>
      </c>
    </row>
    <row r="542" spans="1:8">
      <c r="A542" s="50" t="s">
        <v>284</v>
      </c>
      <c r="B542" s="51" t="s">
        <v>285</v>
      </c>
      <c r="C542">
        <v>0</v>
      </c>
      <c r="D542" s="50" t="s">
        <v>13</v>
      </c>
      <c r="E542" t="s">
        <v>211</v>
      </c>
      <c r="G542" s="50" t="s">
        <v>140</v>
      </c>
      <c r="H542" t="s">
        <v>12</v>
      </c>
    </row>
    <row r="543" spans="1:8">
      <c r="A543" s="15" t="s">
        <v>286</v>
      </c>
      <c r="B543" s="51"/>
      <c r="C543">
        <v>0</v>
      </c>
      <c r="D543" s="50" t="s">
        <v>13</v>
      </c>
      <c r="E543" s="50" t="s">
        <v>109</v>
      </c>
      <c r="F543" t="s">
        <v>184</v>
      </c>
      <c r="H543" t="s">
        <v>15</v>
      </c>
    </row>
    <row r="544" spans="1:8">
      <c r="A544" s="15" t="s">
        <v>108</v>
      </c>
      <c r="B544" s="50"/>
      <c r="C544">
        <v>0</v>
      </c>
      <c r="D544" s="50" t="s">
        <v>13</v>
      </c>
      <c r="E544" s="50" t="s">
        <v>109</v>
      </c>
      <c r="F544" t="s">
        <v>184</v>
      </c>
      <c r="H544" t="s">
        <v>15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D28" sqref="D28"/>
    </sheetView>
  </sheetViews>
  <sheetFormatPr defaultColWidth="11.44140625" defaultRowHeight="14.4"/>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350000000000001"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350000000000001"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6">
      <c r="A57" s="28" t="s">
        <v>73</v>
      </c>
      <c r="B57" s="19">
        <f>3.6/0.5/120</f>
        <v>6.0000000000000005E-2</v>
      </c>
      <c r="C57" t="s">
        <v>29</v>
      </c>
      <c r="D57" t="s">
        <v>13</v>
      </c>
      <c r="E57" t="s">
        <v>12</v>
      </c>
      <c r="F57" s="27" t="s">
        <v>57</v>
      </c>
      <c r="H57" s="13"/>
      <c r="I57" s="18"/>
      <c r="K57" s="8"/>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2025-03-19T15:55:41Z</dcterms:modified>
</cp:coreProperties>
</file>