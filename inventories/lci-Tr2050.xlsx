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jschlesinger\0.Joanna\2. HySPI\ADEME_scenarios_premise\inventories\"/>
    </mc:Choice>
  </mc:AlternateContent>
  <xr:revisionPtr revIDLastSave="0" documentId="13_ncr:1_{A0E18D1B-4BB5-4CBC-8B72-ECD349E20320}" xr6:coauthVersionLast="47" xr6:coauthVersionMax="47" xr10:uidLastSave="{00000000-0000-0000-0000-000000000000}"/>
  <bookViews>
    <workbookView xWindow="28680" yWindow="-120" windowWidth="25440" windowHeight="15270" xr2:uid="{00000000-000D-0000-FFFF-FFFF00000000}"/>
  </bookViews>
  <sheets>
    <sheet name="lci" sheetId="1" r:id="rId1"/>
    <sheet name="Feuil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81" i="1" l="1"/>
  <c r="D81" i="1"/>
  <c r="A81" i="1"/>
  <c r="C33" i="1"/>
  <c r="B57" i="2" l="1"/>
  <c r="B56" i="2"/>
  <c r="C55" i="2"/>
  <c r="B44" i="2"/>
  <c r="B43" i="2"/>
  <c r="B42" i="2"/>
  <c r="C41" i="2"/>
  <c r="A41" i="2"/>
  <c r="B27" i="2"/>
  <c r="B12" i="2"/>
  <c r="A15" i="1"/>
  <c r="D15" i="1"/>
  <c r="G15" i="1"/>
  <c r="B17" i="1"/>
  <c r="B18" i="1"/>
  <c r="B19" i="1"/>
  <c r="B20" i="1"/>
  <c r="B21" i="1"/>
  <c r="B22" i="1"/>
  <c r="B66" i="1" l="1"/>
  <c r="B60" i="1"/>
  <c r="B62" i="1" s="1"/>
  <c r="B59" i="1"/>
  <c r="B61" i="1" s="1"/>
  <c r="D58" i="1"/>
  <c r="C58" i="1"/>
</calcChain>
</file>

<file path=xl/sharedStrings.xml><?xml version="1.0" encoding="utf-8"?>
<sst xmlns="http://schemas.openxmlformats.org/spreadsheetml/2006/main" count="429" uniqueCount="133">
  <si>
    <t>Database</t>
  </si>
  <si>
    <t>Activity</t>
  </si>
  <si>
    <t>location</t>
  </si>
  <si>
    <t>production amount</t>
  </si>
  <si>
    <t>reference product</t>
  </si>
  <si>
    <t>type</t>
  </si>
  <si>
    <t>unit</t>
  </si>
  <si>
    <t>Exchanges</t>
  </si>
  <si>
    <t>name</t>
  </si>
  <si>
    <t>amount</t>
  </si>
  <si>
    <t>categories</t>
  </si>
  <si>
    <t>comment</t>
  </si>
  <si>
    <t>technosphere</t>
  </si>
  <si>
    <t>kilogram</t>
  </si>
  <si>
    <t>cutoff</t>
  </si>
  <si>
    <t>biosphere</t>
  </si>
  <si>
    <t>natural resource::land</t>
  </si>
  <si>
    <t>square meter-year</t>
  </si>
  <si>
    <t>production</t>
  </si>
  <si>
    <t>kilowatt hour</t>
  </si>
  <si>
    <t>electricity, low voltage</t>
  </si>
  <si>
    <t>market for water, deionised</t>
  </si>
  <si>
    <t>Europe without Switzerland</t>
  </si>
  <si>
    <t>water, deionised</t>
  </si>
  <si>
    <t>Oxygen</t>
  </si>
  <si>
    <t>air</t>
  </si>
  <si>
    <t>hydrogen, gaseous</t>
  </si>
  <si>
    <t>CH</t>
  </si>
  <si>
    <t>market for electricity, low voltage</t>
  </si>
  <si>
    <t>FR</t>
  </si>
  <si>
    <t>electricity production, from hydrogen, FE2050</t>
  </si>
  <si>
    <t>electricity, high voltage</t>
  </si>
  <si>
    <t>fuel cell production, stack polymer electrolyte membrane, 2kW electrical, future</t>
  </si>
  <si>
    <t>fuel cell, stack polymer electrolyte membrane, 2kW electrical, future</t>
  </si>
  <si>
    <t>1 kWh of electricity produced using hydrogen through a PEM fuel cell stack, for seasonal storage. Assumes a 90% load factor, 6 years lifetime. A 50% electrical efficiency is assumed in 2020, according to Cigolotti, V.; Genovese, M.; Fragiacomo, P. Comprehensive Review on Fuel Cell Technology for Stationary Applications as Sustainable and Efficient Poly-Generation Energy Systems. Energies 2021, 14, 4963. https://doi.org/10.3390/en14164963.</t>
  </si>
  <si>
    <t>coking</t>
  </si>
  <si>
    <t>coal gas</t>
  </si>
  <si>
    <t>coal tar</t>
  </si>
  <si>
    <t>market for tap water</t>
  </si>
  <si>
    <t>tap water</t>
  </si>
  <si>
    <t>Carbon dioxide, fossil</t>
  </si>
  <si>
    <t>1 kg of hydrogen recovered from coke oven gas. After benzol absorption step, gas stream is being subjected to the reforming technology, which comprises the following process units: coke oven gas reforming
system, oxygen production installation, CO conversion system and the hydrolysis of COS, desulphurization system and CO2 removal system, H2 separation system and other plant. Although not specified, the oxygen and steam requirement is assumed to come from the coking step, hence, not listed as inventory inputs. Adapted to French context. Burmistrz et al., 2016. DOI: 10.1051/e3sconf/20161000023</t>
  </si>
  <si>
    <t>DE</t>
  </si>
  <si>
    <t>electricity, medium voltage</t>
  </si>
  <si>
    <t>hydrogen, recovered from coke oven gas, FE2050</t>
  </si>
  <si>
    <t>market for electricity, medium voltage</t>
  </si>
  <si>
    <t>megajoule</t>
  </si>
  <si>
    <t>hydrogen, recovered from coke oven gas, with carbon capture and storage, FE2050</t>
  </si>
  <si>
    <t>1 kg of hydrogen recovered from coke oven gas. After benzol absorption step, gas stream is being subjected to the reforming technology, which comprises the following process units: coke oven gas reforming
system, oxygen production installation, CO conversion system and the hydrolysis of COS, desulphurization system and CO2 removal system, H2 separation system and other plant. Although not specified, the oxygen and steam requirement is assumed to come from the coking step, hence, not listed as inventory inputs. Carbon dioxide is transported in the liquid phase. The pressure at the inlet to a transport system (pipe) is
120 bar, which allows to transport of CO2 at about 100 - 150 km distance without additional compression Adapted to French context. Burmistrz et al., 2016. DOI: 10.1051/e3sconf/20161000023</t>
  </si>
  <si>
    <t>RER</t>
  </si>
  <si>
    <t>1 kWh of electricity discharged from a stationary battery. Accounts for charge and discharge losses: 19%. The original dataset is a 19.5 kWh home storage system, using NMC811 cells. The system has a stand-by consumption of 22 W over 6000 hours per year. Assumes lifetime of 2500 charge-discharge cycles over 13 years, and a maximum depth of discharge of 80%. IN total, the system delivers 2500 [cycles] x 80% x 19.5 [Wh] = 39000 kWh.</t>
  </si>
  <si>
    <t>Accounts for the round trip efficiency of 81%.</t>
  </si>
  <si>
    <t>Accounts or standby electricity consumption.</t>
  </si>
  <si>
    <t>home electricity storage system, 19.5 kWh, NMC811 battery</t>
  </si>
  <si>
    <t>home electricity storage system</t>
  </si>
  <si>
    <t>Home storage system</t>
  </si>
  <si>
    <t>1 kg H2 produced using a PEM electrolyzer. Original source: 1 MW PEM electrolyzer based on Niklas Gerloff, Comparative Life-Cycle-Assessment analysis of three major water electrolysis technologies while applying various energy scenarios for a greener hydrogen production, Journal of Energy Storage, Volume 43, 2021, https://doi.org/10.1016/j.est.2021.102759.
Further refined (with respect to stack and system lifetime and water use, notably) from data from manufacturer's specifications (see tab "Manufacturers' data") and IndWEDe project report (https://www.now-gmbh.de/wp-content/uploads/2020/09/181127_bro_a4_indwede-studie_kurzfassung_de_v03.pdf). For further secifications (e.g., efficiency, lifetime, etc.), see tab "Final specifications".</t>
  </si>
  <si>
    <t>hydrogen, gaseous, 30 bar</t>
  </si>
  <si>
    <t>electrolyzer, 1MWe, PEM, Stack</t>
  </si>
  <si>
    <t>Stack, 5.5 years lifetime.</t>
  </si>
  <si>
    <t>electrolyzer, 1MWe, PEM, Balance of Plant</t>
  </si>
  <si>
    <t>BoP, 20 years lifetime.</t>
  </si>
  <si>
    <t>treatment of fuel cell stack, 1MWe, PEM</t>
  </si>
  <si>
    <t>used fuel cell stack, 1MWe, PEM</t>
  </si>
  <si>
    <t>Stack EoL</t>
  </si>
  <si>
    <t>treatment of fuel cell balance of plant, 1MWe, PEM</t>
  </si>
  <si>
    <t>used fuel cell balance of plant, 1MWe, PEM</t>
  </si>
  <si>
    <t>BoP EoL</t>
  </si>
  <si>
    <t>Electricity consumption with 61.7% eff.</t>
  </si>
  <si>
    <t xml:space="preserve">A perfect reaction of H2O results in 1 kg H2 and 8 kg O2, and needs 9 kg H2O, however, considering some losses we assume 14 kg H2O (Simoes et al., 2021). </t>
  </si>
  <si>
    <t>Occupation, unspecified</t>
  </si>
  <si>
    <t>electrolyzer production, 1MWe, PEM, Stack</t>
  </si>
  <si>
    <t>electrolyzer production, 1MWe, PEM, Balance of Plant</t>
  </si>
  <si>
    <t>hydrogen production, gaseous, 30 bar, from PEM electrolysis, from grid electricity, domestic, FE2050</t>
  </si>
  <si>
    <t/>
  </si>
  <si>
    <t>The power capacity for this application is 1MW and the net storage capacity 6 MWh. The net capacity considers the internal inefficiencies of the batteries and the min SoC, requiring a certain oversizing of the batteries. For providing net 6 MWh, a nominal capacity of 8.3 MWh is required for the VRFB with the assumed operation parameters. The assumed lifetime of the stack is 10 years. The lifetimeof the system is 20 years or 8176 cycle-lifes (49,000 MWh).</t>
  </si>
  <si>
    <t>source</t>
  </si>
  <si>
    <t>Life Cycle Assessment of a Vanadium Redox Flow Battery, Selina Weber, Jens F. Peters, Manuel Baumann, and Marcel Weil, Environ. Sci. Technol. 2018, 52, 10864−10873, DOI: 10.1021/acs.est.8b02073</t>
  </si>
  <si>
    <t>process</t>
  </si>
  <si>
    <t>Electricity input plus losses</t>
  </si>
  <si>
    <t>vanadium-redox flow battery system assembly, 8.3 megawatt hour</t>
  </si>
  <si>
    <t>vanadium-redox flow battery system</t>
  </si>
  <si>
    <t>Infrastructure requirements 1/49000 MWh</t>
  </si>
  <si>
    <t>vanadium-redox flow battery stack assembly</t>
  </si>
  <si>
    <t>vanadium-redox flow battery stack</t>
  </si>
  <si>
    <t>Replacement stack</t>
  </si>
  <si>
    <t>treatment of stack, for VRFB system</t>
  </si>
  <si>
    <t>used stack, for VRFB system</t>
  </si>
  <si>
    <t>EoL of both stack</t>
  </si>
  <si>
    <t>treatment of electrolyte tank, for VRFB system</t>
  </si>
  <si>
    <t>used electrolyte tank, for VRFB system</t>
  </si>
  <si>
    <t>Electrolyte tank EoL</t>
  </si>
  <si>
    <t>treatment of electrolyte solution, for VRFB system</t>
  </si>
  <si>
    <t>used electrolyte solution, for VRFB system</t>
  </si>
  <si>
    <t>Electrolyte EoL</t>
  </si>
  <si>
    <t>treatment of periphericals, for VRFB system</t>
  </si>
  <si>
    <t>used periphericals, for VRFB system</t>
  </si>
  <si>
    <t>Peripherals EoL</t>
  </si>
  <si>
    <t>market for electricity, high voltage</t>
  </si>
  <si>
    <t>electricity production, from stationary battery, Tr2050</t>
  </si>
  <si>
    <t>Tr2050</t>
  </si>
  <si>
    <t>electricity production, from hydrogen, Tr2050</t>
  </si>
  <si>
    <t>Dinitrogen monoxide</t>
  </si>
  <si>
    <t>cubic meter</t>
  </si>
  <si>
    <t>natural resource::in water</t>
  </si>
  <si>
    <t>Water</t>
  </si>
  <si>
    <t>water</t>
  </si>
  <si>
    <t>hydrogen, recovered from coke oven gas, with carbon capture and storage</t>
  </si>
  <si>
    <t>hydrogen, recovered from coke oven gas</t>
  </si>
  <si>
    <t>hydrogen production, gaseous, 30 bar, from PEM electrolysis, from grid electricity, domestic, Tr2050</t>
  </si>
  <si>
    <t>electricity supply, high voltage, from vanadium-redox flow battery system, Tr2050</t>
  </si>
  <si>
    <t>skip</t>
  </si>
  <si>
    <t>Activity adapted from the similar inventory provided by premise: change of the location of the electricity input &gt; FR</t>
  </si>
  <si>
    <t>hydropower plant construction, reservoir, alpine region</t>
  </si>
  <si>
    <t>hydropower plant, reservoir, alpine region</t>
  </si>
  <si>
    <t>market for lubricating oil</t>
  </si>
  <si>
    <t>lubricating oil</t>
  </si>
  <si>
    <t>market for waste mineral oil</t>
  </si>
  <si>
    <t>waste mineral oil</t>
  </si>
  <si>
    <t>air::non-urban air or from high stacks</t>
  </si>
  <si>
    <t>Methane, non-fossil</t>
  </si>
  <si>
    <t>Occupation, lake, artificial</t>
  </si>
  <si>
    <t>Transformation, from unspecified</t>
  </si>
  <si>
    <t>square meter</t>
  </si>
  <si>
    <t>Transformation, to industrial area</t>
  </si>
  <si>
    <t>Transformation, to lake, artificial</t>
  </si>
  <si>
    <t>Volume occupied, reservoir</t>
  </si>
  <si>
    <t>cubic meter-year</t>
  </si>
  <si>
    <t>Water, turbine use, unspecified natural origin</t>
  </si>
  <si>
    <t>electricity production, hydro, pumped storage, Tr2050</t>
  </si>
  <si>
    <t>nothing</t>
  </si>
  <si>
    <t>empty activity, for market that does not exist any more in 2050, Tr2050</t>
  </si>
  <si>
    <t>used for market for hydrogen, for fossil fuel refinery in 2050 as this market does not exist anymore in 2050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</si>
</sst>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E+00"/>
  </numFmts>
  <fonts count="13">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scheme val="minor"/>
    </font>
    <font>
      <b/>
      <sz val="11"/>
      <color indexed="8"/>
      <name val="Calibri"/>
      <family val="2"/>
      <scheme val="minor"/>
    </font>
    <font>
      <sz val="10"/>
      <color theme="1"/>
      <name val="Arial"/>
      <family val="2"/>
    </font>
    <font>
      <sz val="11"/>
      <color rgb="FF9C5700"/>
      <name val="Calibri"/>
      <family val="2"/>
      <scheme val="minor"/>
    </font>
    <font>
      <b/>
      <sz val="12"/>
      <color theme="1"/>
      <name val="Calibri"/>
      <family val="2"/>
      <scheme val="minor"/>
    </font>
    <font>
      <b/>
      <sz val="12"/>
      <name val="Calibri (Body)"/>
    </font>
    <font>
      <sz val="12"/>
      <name val="Calibri (Body)"/>
    </font>
    <font>
      <sz val="12"/>
      <name val="Calibri"/>
      <family val="2"/>
      <scheme val="minor"/>
    </font>
    <font>
      <i/>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FFEB9C"/>
      </patternFill>
    </fill>
    <fill>
      <patternFill patternType="solid">
        <fgColor rgb="FFFFFF00"/>
        <bgColor indexed="64"/>
      </patternFill>
    </fill>
  </fills>
  <borders count="2">
    <border>
      <left/>
      <right/>
      <top/>
      <bottom/>
      <diagonal/>
    </border>
    <border>
      <left/>
      <right style="thin">
        <color indexed="64"/>
      </right>
      <top/>
      <bottom/>
      <diagonal/>
    </border>
  </borders>
  <cellStyleXfs count="5">
    <xf numFmtId="0" fontId="0" fillId="0" borderId="0"/>
    <xf numFmtId="0" fontId="1" fillId="0" borderId="0"/>
    <xf numFmtId="0" fontId="1" fillId="0" borderId="0"/>
    <xf numFmtId="0" fontId="5" fillId="0" borderId="0"/>
    <xf numFmtId="0" fontId="6" fillId="2" borderId="0" applyNumberFormat="0" applyBorder="0" applyAlignment="0" applyProtection="0"/>
  </cellStyleXfs>
  <cellXfs count="47">
    <xf numFmtId="0" fontId="0" fillId="0" borderId="0" xfId="0"/>
    <xf numFmtId="0" fontId="0" fillId="0" borderId="0" xfId="2" applyFont="1"/>
    <xf numFmtId="11" fontId="1" fillId="0" borderId="0" xfId="4" applyNumberFormat="1" applyFont="1" applyFill="1"/>
    <xf numFmtId="0" fontId="0" fillId="0" borderId="1" xfId="0" applyBorder="1"/>
    <xf numFmtId="0" fontId="2" fillId="0" borderId="0" xfId="1" applyFont="1"/>
    <xf numFmtId="11" fontId="2" fillId="0" borderId="0" xfId="1" applyNumberFormat="1" applyFont="1"/>
    <xf numFmtId="0" fontId="1" fillId="0" borderId="0" xfId="1"/>
    <xf numFmtId="0" fontId="1" fillId="0" borderId="1" xfId="1" applyBorder="1"/>
    <xf numFmtId="0" fontId="1" fillId="0" borderId="0" xfId="0" applyFont="1"/>
    <xf numFmtId="0" fontId="3" fillId="0" borderId="0" xfId="0" applyFont="1"/>
    <xf numFmtId="11" fontId="3" fillId="0" borderId="0" xfId="0" applyNumberFormat="1" applyFont="1"/>
    <xf numFmtId="0" fontId="3" fillId="0" borderId="1" xfId="0" applyFont="1" applyBorder="1"/>
    <xf numFmtId="11" fontId="4" fillId="0" borderId="0" xfId="0" applyNumberFormat="1" applyFont="1"/>
    <xf numFmtId="0" fontId="1" fillId="0" borderId="0" xfId="2"/>
    <xf numFmtId="11" fontId="1" fillId="0" borderId="0" xfId="1" applyNumberFormat="1" applyAlignment="1">
      <alignment horizontal="left"/>
    </xf>
    <xf numFmtId="11" fontId="0" fillId="0" borderId="0" xfId="1" applyNumberFormat="1" applyFont="1" applyAlignment="1">
      <alignment horizontal="left"/>
    </xf>
    <xf numFmtId="0" fontId="4" fillId="0" borderId="0" xfId="0" applyFont="1"/>
    <xf numFmtId="0" fontId="4" fillId="0" borderId="1" xfId="0" applyFont="1" applyBorder="1"/>
    <xf numFmtId="0" fontId="1" fillId="0" borderId="1" xfId="2" applyBorder="1"/>
    <xf numFmtId="11" fontId="0" fillId="0" borderId="0" xfId="0" applyNumberFormat="1"/>
    <xf numFmtId="0" fontId="0" fillId="0" borderId="1" xfId="2" applyFont="1" applyBorder="1"/>
    <xf numFmtId="0" fontId="0" fillId="0" borderId="0" xfId="1" applyFont="1" applyAlignment="1">
      <alignment wrapText="1"/>
    </xf>
    <xf numFmtId="0" fontId="0" fillId="0" borderId="0" xfId="2" quotePrefix="1" applyFont="1"/>
    <xf numFmtId="11" fontId="0" fillId="0" borderId="0" xfId="1" applyNumberFormat="1" applyFont="1" applyAlignment="1">
      <alignment horizontal="left" vertical="top"/>
    </xf>
    <xf numFmtId="0" fontId="8" fillId="0" borderId="0" xfId="1" applyFont="1"/>
    <xf numFmtId="11" fontId="8" fillId="0" borderId="0" xfId="0" applyNumberFormat="1" applyFont="1"/>
    <xf numFmtId="0" fontId="9" fillId="0" borderId="0" xfId="2" applyFont="1"/>
    <xf numFmtId="0" fontId="9" fillId="0" borderId="0" xfId="0" applyFont="1"/>
    <xf numFmtId="2" fontId="9" fillId="0" borderId="0" xfId="0" applyNumberFormat="1" applyFont="1"/>
    <xf numFmtId="0" fontId="9" fillId="0" borderId="0" xfId="1" applyFont="1"/>
    <xf numFmtId="11" fontId="9" fillId="0" borderId="0" xfId="1" applyNumberFormat="1" applyFont="1" applyAlignment="1">
      <alignment horizontal="left"/>
    </xf>
    <xf numFmtId="11" fontId="9" fillId="0" borderId="0" xfId="4" applyNumberFormat="1" applyFont="1" applyFill="1"/>
    <xf numFmtId="11" fontId="9" fillId="0" borderId="0" xfId="0" applyNumberFormat="1" applyFont="1"/>
    <xf numFmtId="0" fontId="8" fillId="0" borderId="0" xfId="0" applyFont="1"/>
    <xf numFmtId="0" fontId="7" fillId="0" borderId="0" xfId="0" applyFont="1"/>
    <xf numFmtId="2" fontId="7" fillId="0" borderId="0" xfId="0" applyNumberFormat="1" applyFont="1"/>
    <xf numFmtId="2" fontId="0" fillId="0" borderId="0" xfId="0" applyNumberFormat="1"/>
    <xf numFmtId="0" fontId="10" fillId="0" borderId="0" xfId="0" applyFont="1"/>
    <xf numFmtId="0" fontId="9" fillId="0" borderId="0" xfId="4" applyFont="1" applyFill="1"/>
    <xf numFmtId="0" fontId="9" fillId="0" borderId="0" xfId="4" applyFont="1" applyFill="1" applyBorder="1"/>
    <xf numFmtId="0" fontId="11" fillId="0" borderId="0" xfId="0" applyFont="1"/>
    <xf numFmtId="164" fontId="0" fillId="0" borderId="0" xfId="0" applyNumberFormat="1"/>
    <xf numFmtId="0" fontId="12" fillId="0" borderId="0" xfId="0" applyFont="1"/>
    <xf numFmtId="11" fontId="2" fillId="0" borderId="0" xfId="0" applyNumberFormat="1" applyFont="1"/>
    <xf numFmtId="0" fontId="0" fillId="3" borderId="0" xfId="0" applyFill="1"/>
    <xf numFmtId="0" fontId="9" fillId="3" borderId="0" xfId="1" applyFont="1" applyFill="1"/>
    <xf numFmtId="0" fontId="9" fillId="3" borderId="0" xfId="0" applyFont="1" applyFill="1"/>
  </cellXfs>
  <cellStyles count="5">
    <cellStyle name="Neutre" xfId="4" builtinId="28"/>
    <cellStyle name="Normal" xfId="0" builtinId="0"/>
    <cellStyle name="Normal 11 3" xfId="1" xr:uid="{00000000-0005-0000-0000-000002000000}"/>
    <cellStyle name="Normal 2" xfId="2" xr:uid="{00000000-0005-0000-0000-000003000000}"/>
    <cellStyle name="Normal 3"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8"/>
  <sheetViews>
    <sheetView tabSelected="1" zoomScaleNormal="100" workbookViewId="0">
      <selection activeCell="A24" sqref="A24"/>
    </sheetView>
  </sheetViews>
  <sheetFormatPr baseColWidth="10" defaultColWidth="8.81640625" defaultRowHeight="14.5"/>
  <cols>
    <col min="1" max="1" width="55.36328125" customWidth="1"/>
    <col min="2" max="2" width="18.6328125" style="19" customWidth="1"/>
    <col min="3" max="3" width="17.1796875" customWidth="1"/>
    <col min="4" max="4" width="24.36328125" bestFit="1" customWidth="1"/>
    <col min="5" max="5" width="26.453125" customWidth="1"/>
    <col min="6" max="6" width="14.81640625" bestFit="1" customWidth="1"/>
    <col min="7" max="7" width="33.453125" bestFit="1" customWidth="1"/>
    <col min="8" max="8" width="19.6328125" bestFit="1" customWidth="1"/>
    <col min="9" max="9" width="99.1796875" style="3" customWidth="1"/>
    <col min="10" max="10" width="31" customWidth="1"/>
  </cols>
  <sheetData>
    <row r="1" spans="1:14">
      <c r="A1" t="s">
        <v>14</v>
      </c>
      <c r="B1">
        <v>9</v>
      </c>
    </row>
    <row r="2" spans="1:14">
      <c r="A2" s="4" t="s">
        <v>0</v>
      </c>
      <c r="B2" s="5" t="s">
        <v>100</v>
      </c>
      <c r="C2" s="6"/>
      <c r="D2" s="6"/>
      <c r="E2" s="6"/>
      <c r="F2" s="6"/>
      <c r="G2" s="6"/>
      <c r="H2" s="6"/>
      <c r="I2" s="7"/>
      <c r="K2" s="8"/>
    </row>
    <row r="3" spans="1:14">
      <c r="A3" s="4"/>
      <c r="B3" s="5"/>
      <c r="C3" s="6"/>
      <c r="D3" s="6"/>
      <c r="E3" s="6"/>
      <c r="F3" s="6"/>
      <c r="G3" s="6"/>
      <c r="H3" s="6"/>
      <c r="I3" s="7"/>
      <c r="K3" s="8"/>
    </row>
    <row r="4" spans="1:14">
      <c r="A4" s="9"/>
      <c r="B4" s="10"/>
      <c r="C4" s="9"/>
      <c r="D4" s="9"/>
      <c r="E4" s="9"/>
      <c r="F4" s="9"/>
      <c r="G4" s="9"/>
      <c r="H4" s="9"/>
      <c r="I4" s="11"/>
      <c r="K4" s="8"/>
    </row>
    <row r="5" spans="1:14" ht="15.5">
      <c r="A5" s="34" t="s">
        <v>1</v>
      </c>
      <c r="B5" s="34" t="s">
        <v>110</v>
      </c>
      <c r="I5"/>
      <c r="M5" t="s">
        <v>74</v>
      </c>
    </row>
    <row r="6" spans="1:14">
      <c r="A6" t="s">
        <v>2</v>
      </c>
      <c r="B6" t="s">
        <v>29</v>
      </c>
      <c r="I6"/>
      <c r="M6" t="s">
        <v>74</v>
      </c>
    </row>
    <row r="7" spans="1:14">
      <c r="A7" t="s">
        <v>11</v>
      </c>
      <c r="B7" t="s">
        <v>75</v>
      </c>
      <c r="I7"/>
    </row>
    <row r="8" spans="1:14">
      <c r="A8" t="s">
        <v>3</v>
      </c>
      <c r="B8">
        <v>1</v>
      </c>
      <c r="I8"/>
      <c r="M8" t="s">
        <v>74</v>
      </c>
    </row>
    <row r="9" spans="1:14">
      <c r="A9" t="s">
        <v>76</v>
      </c>
      <c r="B9" t="s">
        <v>77</v>
      </c>
      <c r="I9"/>
    </row>
    <row r="10" spans="1:14">
      <c r="A10" t="s">
        <v>4</v>
      </c>
      <c r="B10" t="s">
        <v>31</v>
      </c>
      <c r="I10"/>
      <c r="M10" t="s">
        <v>74</v>
      </c>
    </row>
    <row r="11" spans="1:14">
      <c r="A11" t="s">
        <v>5</v>
      </c>
      <c r="B11" t="s">
        <v>78</v>
      </c>
      <c r="I11"/>
      <c r="M11" t="s">
        <v>74</v>
      </c>
    </row>
    <row r="12" spans="1:14">
      <c r="A12" t="s">
        <v>6</v>
      </c>
      <c r="B12" t="s">
        <v>19</v>
      </c>
      <c r="I12"/>
      <c r="M12" t="s">
        <v>74</v>
      </c>
    </row>
    <row r="13" spans="1:14" ht="15.5">
      <c r="A13" s="34" t="s">
        <v>7</v>
      </c>
      <c r="B13"/>
      <c r="I13"/>
      <c r="M13" t="s">
        <v>74</v>
      </c>
    </row>
    <row r="14" spans="1:14" ht="15.5">
      <c r="A14" s="34" t="s">
        <v>8</v>
      </c>
      <c r="B14" s="34" t="s">
        <v>9</v>
      </c>
      <c r="C14" s="34" t="s">
        <v>2</v>
      </c>
      <c r="D14" s="34" t="s">
        <v>6</v>
      </c>
      <c r="E14" s="34" t="s">
        <v>10</v>
      </c>
      <c r="F14" s="34" t="s">
        <v>5</v>
      </c>
      <c r="G14" s="34" t="s">
        <v>4</v>
      </c>
      <c r="H14" s="34" t="s">
        <v>11</v>
      </c>
      <c r="I14" s="40"/>
    </row>
    <row r="15" spans="1:14">
      <c r="A15" t="str">
        <f>B5</f>
        <v>electricity supply, high voltage, from vanadium-redox flow battery system, Tr2050</v>
      </c>
      <c r="B15">
        <v>1</v>
      </c>
      <c r="C15" t="s">
        <v>29</v>
      </c>
      <c r="D15" t="str">
        <f>B12</f>
        <v>kilowatt hour</v>
      </c>
      <c r="F15" t="s">
        <v>18</v>
      </c>
      <c r="G15" t="str">
        <f>B10</f>
        <v>electricity, high voltage</v>
      </c>
      <c r="I15" s="8"/>
      <c r="J15" s="8"/>
      <c r="K15" s="8"/>
      <c r="L15" s="8"/>
      <c r="M15" s="8"/>
      <c r="N15" s="8"/>
    </row>
    <row r="16" spans="1:14">
      <c r="A16" s="44" t="s">
        <v>98</v>
      </c>
      <c r="B16">
        <v>1.33</v>
      </c>
      <c r="C16" s="44" t="s">
        <v>29</v>
      </c>
      <c r="D16" t="s">
        <v>19</v>
      </c>
      <c r="F16" t="s">
        <v>12</v>
      </c>
      <c r="G16" t="s">
        <v>31</v>
      </c>
      <c r="H16" t="s">
        <v>79</v>
      </c>
      <c r="I16" s="8"/>
      <c r="J16" s="8"/>
      <c r="K16" s="8"/>
      <c r="L16" s="8"/>
      <c r="M16" s="8"/>
      <c r="N16" s="8"/>
    </row>
    <row r="17" spans="1:11">
      <c r="A17" t="s">
        <v>80</v>
      </c>
      <c r="B17" s="41">
        <f>1/(49000000)</f>
        <v>2.0408163265306123E-8</v>
      </c>
      <c r="C17" t="s">
        <v>49</v>
      </c>
      <c r="D17" t="s">
        <v>6</v>
      </c>
      <c r="F17" t="s">
        <v>12</v>
      </c>
      <c r="G17" t="s">
        <v>81</v>
      </c>
      <c r="H17" t="s">
        <v>82</v>
      </c>
      <c r="I17"/>
    </row>
    <row r="18" spans="1:11">
      <c r="A18" t="s">
        <v>83</v>
      </c>
      <c r="B18" s="41">
        <f>1/(49000000)</f>
        <v>2.0408163265306123E-8</v>
      </c>
      <c r="C18" t="s">
        <v>49</v>
      </c>
      <c r="D18" t="s">
        <v>6</v>
      </c>
      <c r="F18" t="s">
        <v>12</v>
      </c>
      <c r="G18" t="s">
        <v>84</v>
      </c>
      <c r="H18" t="s">
        <v>85</v>
      </c>
      <c r="I18"/>
    </row>
    <row r="19" spans="1:11">
      <c r="A19" t="s">
        <v>86</v>
      </c>
      <c r="B19" s="41">
        <f>-0.41/1000</f>
        <v>-4.0999999999999999E-4</v>
      </c>
      <c r="C19" t="s">
        <v>49</v>
      </c>
      <c r="D19" t="s">
        <v>13</v>
      </c>
      <c r="F19" t="s">
        <v>12</v>
      </c>
      <c r="G19" t="s">
        <v>87</v>
      </c>
      <c r="H19" t="s">
        <v>88</v>
      </c>
      <c r="I19"/>
    </row>
    <row r="20" spans="1:11">
      <c r="A20" t="s">
        <v>89</v>
      </c>
      <c r="B20">
        <f>-0.66/1000</f>
        <v>-6.6E-4</v>
      </c>
      <c r="C20" t="s">
        <v>49</v>
      </c>
      <c r="D20" t="s">
        <v>13</v>
      </c>
      <c r="F20" t="s">
        <v>12</v>
      </c>
      <c r="G20" t="s">
        <v>90</v>
      </c>
      <c r="H20" t="s">
        <v>91</v>
      </c>
      <c r="I20"/>
    </row>
    <row r="21" spans="1:11">
      <c r="A21" t="s">
        <v>92</v>
      </c>
      <c r="B21">
        <f>-5.55/1000</f>
        <v>-5.5500000000000002E-3</v>
      </c>
      <c r="C21" t="s">
        <v>49</v>
      </c>
      <c r="D21" t="s">
        <v>13</v>
      </c>
      <c r="F21" t="s">
        <v>12</v>
      </c>
      <c r="G21" t="s">
        <v>93</v>
      </c>
      <c r="H21" t="s">
        <v>94</v>
      </c>
      <c r="I21"/>
    </row>
    <row r="22" spans="1:11">
      <c r="A22" t="s">
        <v>95</v>
      </c>
      <c r="B22">
        <f>-0.1/1000</f>
        <v>-1E-4</v>
      </c>
      <c r="C22" t="s">
        <v>49</v>
      </c>
      <c r="D22" t="s">
        <v>13</v>
      </c>
      <c r="F22" t="s">
        <v>12</v>
      </c>
      <c r="G22" t="s">
        <v>96</v>
      </c>
      <c r="H22" t="s">
        <v>97</v>
      </c>
      <c r="I22"/>
    </row>
    <row r="23" spans="1:11">
      <c r="B23"/>
      <c r="I23"/>
    </row>
    <row r="24" spans="1:11">
      <c r="B24"/>
      <c r="I24"/>
    </row>
    <row r="25" spans="1:11">
      <c r="A25" s="4" t="s">
        <v>1</v>
      </c>
      <c r="B25" s="43" t="s">
        <v>129</v>
      </c>
      <c r="C25" s="13"/>
      <c r="D25" s="9"/>
      <c r="E25" s="9"/>
      <c r="F25" s="9"/>
      <c r="G25" s="9"/>
      <c r="H25" s="9"/>
      <c r="I25" s="11"/>
      <c r="K25" s="8"/>
    </row>
    <row r="26" spans="1:11">
      <c r="A26" s="6" t="s">
        <v>3</v>
      </c>
      <c r="B26" s="14">
        <v>1</v>
      </c>
      <c r="C26" s="9"/>
      <c r="D26" s="9"/>
      <c r="E26" s="9"/>
      <c r="F26" s="9"/>
      <c r="G26" s="9"/>
      <c r="H26" s="9"/>
      <c r="I26" s="11"/>
      <c r="K26" s="8"/>
    </row>
    <row r="27" spans="1:11">
      <c r="A27" s="6" t="s">
        <v>11</v>
      </c>
      <c r="B27" s="15" t="s">
        <v>112</v>
      </c>
      <c r="C27" s="9"/>
      <c r="D27" s="9"/>
      <c r="E27" s="9"/>
      <c r="F27" s="9"/>
      <c r="G27" s="9"/>
      <c r="H27" s="9"/>
      <c r="I27" s="11"/>
      <c r="K27" s="8"/>
    </row>
    <row r="28" spans="1:11">
      <c r="A28" s="6" t="s">
        <v>4</v>
      </c>
      <c r="B28" t="s">
        <v>31</v>
      </c>
      <c r="C28" s="9"/>
      <c r="D28" s="9"/>
      <c r="E28" s="9"/>
      <c r="F28" s="9"/>
      <c r="G28" s="9"/>
      <c r="H28" s="9"/>
      <c r="I28" s="11"/>
      <c r="K28" s="8"/>
    </row>
    <row r="29" spans="1:11">
      <c r="A29" s="6" t="s">
        <v>2</v>
      </c>
      <c r="B29" s="15" t="s">
        <v>29</v>
      </c>
      <c r="C29" s="9"/>
      <c r="D29" s="9"/>
      <c r="E29" s="9"/>
      <c r="F29" s="9"/>
      <c r="G29" s="9"/>
      <c r="H29" s="9"/>
      <c r="I29" s="11"/>
      <c r="K29" s="8"/>
    </row>
    <row r="30" spans="1:11">
      <c r="A30" s="6" t="s">
        <v>6</v>
      </c>
      <c r="B30" s="10" t="s">
        <v>19</v>
      </c>
      <c r="C30" s="9"/>
      <c r="D30" s="9"/>
      <c r="E30" s="9"/>
      <c r="F30" s="9"/>
      <c r="G30" s="9"/>
      <c r="H30" s="16"/>
      <c r="I30" s="17"/>
      <c r="K30" s="8"/>
    </row>
    <row r="31" spans="1:11">
      <c r="A31" s="16" t="s">
        <v>7</v>
      </c>
      <c r="B31" s="12"/>
      <c r="C31" s="16"/>
      <c r="D31" s="16"/>
      <c r="E31" s="16"/>
      <c r="F31" s="16"/>
      <c r="G31" s="16"/>
      <c r="H31" s="13"/>
      <c r="I31" s="18"/>
      <c r="K31" s="8"/>
    </row>
    <row r="32" spans="1:11">
      <c r="A32" t="s">
        <v>8</v>
      </c>
      <c r="B32" s="19" t="s">
        <v>9</v>
      </c>
      <c r="C32" t="s">
        <v>2</v>
      </c>
      <c r="D32" t="s">
        <v>6</v>
      </c>
      <c r="E32" t="s">
        <v>5</v>
      </c>
      <c r="F32" t="s">
        <v>4</v>
      </c>
      <c r="G32" t="s">
        <v>10</v>
      </c>
      <c r="H32" s="20" t="s">
        <v>11</v>
      </c>
      <c r="J32" s="1"/>
      <c r="K32" s="8"/>
    </row>
    <row r="33" spans="1:11">
      <c r="A33" s="19" t="s">
        <v>129</v>
      </c>
      <c r="B33" s="19">
        <v>1</v>
      </c>
      <c r="C33" t="str">
        <f>B29</f>
        <v>FR</v>
      </c>
      <c r="D33" s="10" t="s">
        <v>19</v>
      </c>
      <c r="E33" t="s">
        <v>18</v>
      </c>
      <c r="F33" t="s">
        <v>31</v>
      </c>
      <c r="G33" s="13"/>
      <c r="H33" s="18"/>
      <c r="K33" s="8"/>
    </row>
    <row r="34" spans="1:11">
      <c r="A34" t="s">
        <v>113</v>
      </c>
      <c r="B34" s="19">
        <v>4.0404040404040398E-13</v>
      </c>
      <c r="C34" t="s">
        <v>49</v>
      </c>
      <c r="D34" t="s">
        <v>6</v>
      </c>
      <c r="E34" t="s">
        <v>12</v>
      </c>
      <c r="F34" t="s">
        <v>114</v>
      </c>
    </row>
    <row r="35" spans="1:11">
      <c r="A35" t="s">
        <v>115</v>
      </c>
      <c r="B35" s="19">
        <v>7.5599999999999996E-6</v>
      </c>
      <c r="C35" t="s">
        <v>49</v>
      </c>
      <c r="D35" t="s">
        <v>13</v>
      </c>
      <c r="E35" t="s">
        <v>12</v>
      </c>
      <c r="F35" t="s">
        <v>116</v>
      </c>
    </row>
    <row r="36" spans="1:11">
      <c r="A36" t="s">
        <v>117</v>
      </c>
      <c r="B36" s="19">
        <v>-7.5599999999999996E-6</v>
      </c>
      <c r="C36" t="s">
        <v>22</v>
      </c>
      <c r="D36" t="s">
        <v>13</v>
      </c>
      <c r="E36" t="s">
        <v>12</v>
      </c>
      <c r="F36" t="s">
        <v>118</v>
      </c>
    </row>
    <row r="37" spans="1:11">
      <c r="A37" s="44" t="s">
        <v>98</v>
      </c>
      <c r="B37" s="19">
        <v>1.25125</v>
      </c>
      <c r="C37" s="44" t="s">
        <v>29</v>
      </c>
      <c r="D37" t="s">
        <v>19</v>
      </c>
      <c r="E37" t="s">
        <v>12</v>
      </c>
      <c r="F37" t="s">
        <v>31</v>
      </c>
    </row>
    <row r="38" spans="1:11">
      <c r="A38" t="s">
        <v>102</v>
      </c>
      <c r="B38" s="19">
        <v>7.7000000000000001E-8</v>
      </c>
      <c r="D38" t="s">
        <v>13</v>
      </c>
      <c r="E38" t="s">
        <v>15</v>
      </c>
      <c r="G38" t="s">
        <v>119</v>
      </c>
    </row>
    <row r="39" spans="1:11">
      <c r="A39" t="s">
        <v>120</v>
      </c>
      <c r="B39" s="19">
        <v>1.4E-5</v>
      </c>
      <c r="D39" t="s">
        <v>13</v>
      </c>
      <c r="E39" t="s">
        <v>15</v>
      </c>
      <c r="G39" t="s">
        <v>119</v>
      </c>
    </row>
    <row r="40" spans="1:11">
      <c r="A40" t="s">
        <v>105</v>
      </c>
      <c r="B40" s="19">
        <v>2.49876858810916E-4</v>
      </c>
      <c r="D40" t="s">
        <v>103</v>
      </c>
      <c r="E40" t="s">
        <v>15</v>
      </c>
      <c r="G40" t="s">
        <v>25</v>
      </c>
    </row>
    <row r="41" spans="1:11">
      <c r="A41" t="s">
        <v>105</v>
      </c>
      <c r="B41" s="19">
        <v>1.1580501231411899</v>
      </c>
      <c r="D41" t="s">
        <v>103</v>
      </c>
      <c r="E41" t="s">
        <v>15</v>
      </c>
      <c r="G41" t="s">
        <v>106</v>
      </c>
    </row>
    <row r="42" spans="1:11">
      <c r="A42" t="s">
        <v>121</v>
      </c>
      <c r="B42" s="19">
        <v>3.4499999999999999E-3</v>
      </c>
      <c r="D42" t="s">
        <v>17</v>
      </c>
      <c r="E42" t="s">
        <v>15</v>
      </c>
      <c r="G42" t="s">
        <v>16</v>
      </c>
    </row>
    <row r="43" spans="1:11">
      <c r="A43" t="s">
        <v>122</v>
      </c>
      <c r="B43" s="19">
        <v>2.3E-5</v>
      </c>
      <c r="D43" t="s">
        <v>123</v>
      </c>
      <c r="E43" t="s">
        <v>15</v>
      </c>
      <c r="G43" t="s">
        <v>16</v>
      </c>
    </row>
    <row r="44" spans="1:11">
      <c r="A44" t="s">
        <v>124</v>
      </c>
      <c r="B44" s="19">
        <v>2.2999999999999999E-7</v>
      </c>
      <c r="D44" t="s">
        <v>123</v>
      </c>
      <c r="E44" t="s">
        <v>15</v>
      </c>
      <c r="G44" t="s">
        <v>16</v>
      </c>
    </row>
    <row r="45" spans="1:11">
      <c r="A45" t="s">
        <v>125</v>
      </c>
      <c r="B45" s="19">
        <v>2.2770000000000001E-5</v>
      </c>
      <c r="D45" t="s">
        <v>123</v>
      </c>
      <c r="E45" t="s">
        <v>15</v>
      </c>
      <c r="G45" t="s">
        <v>16</v>
      </c>
    </row>
    <row r="46" spans="1:11">
      <c r="A46" t="s">
        <v>126</v>
      </c>
      <c r="B46" s="19">
        <v>0.15</v>
      </c>
      <c r="D46" t="s">
        <v>127</v>
      </c>
      <c r="E46" t="s">
        <v>15</v>
      </c>
      <c r="G46" t="s">
        <v>104</v>
      </c>
    </row>
    <row r="47" spans="1:11">
      <c r="A47" t="s">
        <v>128</v>
      </c>
      <c r="B47" s="19">
        <v>1.1583000000000001</v>
      </c>
      <c r="D47" t="s">
        <v>103</v>
      </c>
      <c r="E47" t="s">
        <v>15</v>
      </c>
      <c r="G47" t="s">
        <v>104</v>
      </c>
    </row>
    <row r="48" spans="1:11">
      <c r="B48"/>
      <c r="I48"/>
    </row>
    <row r="49" spans="1:20">
      <c r="B49"/>
      <c r="I49"/>
    </row>
    <row r="50" spans="1:20" s="27" customFormat="1" ht="15.5">
      <c r="A50" s="24" t="s">
        <v>1</v>
      </c>
      <c r="B50" s="25" t="s">
        <v>109</v>
      </c>
      <c r="C50" s="26"/>
      <c r="K50" s="28"/>
      <c r="L50" s="28"/>
      <c r="M50" s="28"/>
      <c r="N50" s="28"/>
      <c r="O50" s="28"/>
      <c r="P50" s="28"/>
    </row>
    <row r="51" spans="1:20" s="27" customFormat="1" ht="15.5">
      <c r="A51" s="29" t="s">
        <v>3</v>
      </c>
      <c r="B51" s="30">
        <v>1</v>
      </c>
      <c r="K51" s="28"/>
      <c r="L51" s="28"/>
      <c r="M51" s="28"/>
      <c r="N51" s="28"/>
      <c r="O51" s="28"/>
      <c r="P51" s="28"/>
    </row>
    <row r="52" spans="1:20" s="27" customFormat="1" ht="15.5">
      <c r="A52" s="29" t="s">
        <v>11</v>
      </c>
      <c r="B52" s="30" t="s">
        <v>56</v>
      </c>
      <c r="K52" s="28"/>
      <c r="L52" s="28"/>
      <c r="M52" s="28"/>
      <c r="N52" s="28"/>
      <c r="O52" s="28"/>
      <c r="P52" s="28"/>
    </row>
    <row r="53" spans="1:20" s="27" customFormat="1" ht="15.5">
      <c r="A53" s="29" t="s">
        <v>4</v>
      </c>
      <c r="B53" s="31" t="s">
        <v>57</v>
      </c>
      <c r="K53" s="28"/>
      <c r="L53" s="28"/>
      <c r="M53" s="28"/>
      <c r="N53" s="28"/>
      <c r="O53" s="28"/>
      <c r="P53" s="28"/>
    </row>
    <row r="54" spans="1:20" s="27" customFormat="1" ht="15.5">
      <c r="A54" s="29" t="s">
        <v>2</v>
      </c>
      <c r="B54" s="30" t="s">
        <v>29</v>
      </c>
      <c r="K54" s="28"/>
      <c r="L54" s="28"/>
      <c r="M54" s="28"/>
      <c r="N54" s="28"/>
      <c r="O54" s="28"/>
      <c r="P54" s="28"/>
    </row>
    <row r="55" spans="1:20" s="27" customFormat="1" ht="15.5">
      <c r="A55" s="29" t="s">
        <v>6</v>
      </c>
      <c r="B55" s="32" t="s">
        <v>13</v>
      </c>
      <c r="H55" s="33"/>
      <c r="I55" s="33"/>
      <c r="J55" s="33"/>
      <c r="K55" s="28"/>
      <c r="L55" s="28"/>
      <c r="M55" s="28"/>
      <c r="N55" s="28"/>
      <c r="O55" s="28"/>
      <c r="P55" s="28"/>
    </row>
    <row r="56" spans="1:20" s="27" customFormat="1" ht="15.5">
      <c r="A56" s="33" t="s">
        <v>7</v>
      </c>
      <c r="B56" s="25"/>
      <c r="C56" s="33"/>
      <c r="D56" s="33"/>
      <c r="E56" s="33"/>
      <c r="F56" s="33"/>
      <c r="G56" s="33"/>
      <c r="H56" s="26"/>
      <c r="I56" s="26"/>
      <c r="J56" s="26"/>
      <c r="K56" s="28"/>
      <c r="L56" s="28"/>
      <c r="M56" s="28"/>
      <c r="N56" s="28"/>
      <c r="O56" s="28"/>
      <c r="P56" s="28"/>
    </row>
    <row r="57" spans="1:20" s="27" customFormat="1" ht="15.5">
      <c r="A57" s="33" t="s">
        <v>8</v>
      </c>
      <c r="B57" s="33" t="s">
        <v>9</v>
      </c>
      <c r="C57" s="33" t="s">
        <v>2</v>
      </c>
      <c r="D57" s="33" t="s">
        <v>6</v>
      </c>
      <c r="E57" s="33" t="s">
        <v>10</v>
      </c>
      <c r="F57" s="33" t="s">
        <v>5</v>
      </c>
      <c r="G57" s="33" t="s">
        <v>4</v>
      </c>
      <c r="H57" s="33" t="s">
        <v>11</v>
      </c>
      <c r="I57" s="33"/>
      <c r="J57" s="34"/>
      <c r="K57" s="35"/>
      <c r="L57" s="35"/>
      <c r="M57" s="35"/>
      <c r="N57" s="35"/>
      <c r="O57" s="35"/>
      <c r="P57" s="35"/>
      <c r="Q57" s="34"/>
      <c r="R57" s="34"/>
      <c r="S57" s="33"/>
      <c r="T57" s="34"/>
    </row>
    <row r="58" spans="1:20" s="27" customFormat="1" ht="15.5">
      <c r="A58" s="32" t="s">
        <v>73</v>
      </c>
      <c r="B58" s="32">
        <v>1</v>
      </c>
      <c r="C58" s="27" t="str">
        <f>B54</f>
        <v>FR</v>
      </c>
      <c r="D58" s="27" t="str">
        <f>B55</f>
        <v>kilogram</v>
      </c>
      <c r="E58" s="26"/>
      <c r="F58" s="27" t="s">
        <v>18</v>
      </c>
      <c r="G58" s="27" t="s">
        <v>57</v>
      </c>
      <c r="H58" s="26"/>
      <c r="I58" s="26"/>
      <c r="K58" s="28"/>
      <c r="L58" s="28"/>
      <c r="M58" s="28"/>
      <c r="N58" s="28"/>
      <c r="O58" s="28"/>
      <c r="P58" s="28"/>
      <c r="T58"/>
    </row>
    <row r="59" spans="1:20" s="27" customFormat="1" ht="15.5">
      <c r="A59" s="32" t="s">
        <v>71</v>
      </c>
      <c r="B59" s="27">
        <f>(1/2963200)*4</f>
        <v>1.3498920086393089E-6</v>
      </c>
      <c r="C59" s="27" t="s">
        <v>49</v>
      </c>
      <c r="D59" s="27" t="s">
        <v>6</v>
      </c>
      <c r="F59" s="27" t="s">
        <v>12</v>
      </c>
      <c r="G59" s="27" t="s">
        <v>58</v>
      </c>
      <c r="H59" s="27" t="s">
        <v>59</v>
      </c>
      <c r="J59"/>
      <c r="K59" s="36"/>
      <c r="L59" s="36"/>
      <c r="M59" s="36"/>
      <c r="N59" s="36"/>
      <c r="O59" s="36"/>
      <c r="P59" s="36"/>
      <c r="Q59"/>
      <c r="R59"/>
    </row>
    <row r="60" spans="1:20" s="27" customFormat="1" ht="15.5">
      <c r="A60" s="32" t="s">
        <v>72</v>
      </c>
      <c r="B60" s="27">
        <f>1/2963200</f>
        <v>3.3747300215982723E-7</v>
      </c>
      <c r="C60" s="27" t="s">
        <v>49</v>
      </c>
      <c r="D60" s="27" t="s">
        <v>6</v>
      </c>
      <c r="F60" s="27" t="s">
        <v>12</v>
      </c>
      <c r="G60" s="27" t="s">
        <v>60</v>
      </c>
      <c r="H60" s="27" t="s">
        <v>61</v>
      </c>
      <c r="J60"/>
      <c r="K60" s="36"/>
      <c r="L60" s="36"/>
      <c r="M60" s="36"/>
      <c r="N60" s="36"/>
      <c r="O60" s="36"/>
      <c r="P60" s="36"/>
      <c r="Q60"/>
      <c r="R60"/>
    </row>
    <row r="61" spans="1:20" s="27" customFormat="1" ht="15.5">
      <c r="A61" s="32" t="s">
        <v>62</v>
      </c>
      <c r="B61" s="27">
        <f>B59*-1</f>
        <v>-1.3498920086393089E-6</v>
      </c>
      <c r="C61" s="27" t="s">
        <v>49</v>
      </c>
      <c r="D61" s="27" t="s">
        <v>6</v>
      </c>
      <c r="F61" s="27" t="s">
        <v>12</v>
      </c>
      <c r="G61" s="27" t="s">
        <v>63</v>
      </c>
      <c r="H61" s="27" t="s">
        <v>64</v>
      </c>
      <c r="J61"/>
      <c r="K61" s="36"/>
      <c r="L61" s="36"/>
      <c r="M61" s="36"/>
      <c r="N61" s="36"/>
      <c r="O61" s="36"/>
      <c r="P61" s="36"/>
      <c r="Q61"/>
      <c r="R61"/>
    </row>
    <row r="62" spans="1:20" s="27" customFormat="1" ht="15.5">
      <c r="A62" s="32" t="s">
        <v>65</v>
      </c>
      <c r="B62" s="27">
        <f>-1*B60</f>
        <v>-3.3747300215982723E-7</v>
      </c>
      <c r="C62" s="27" t="s">
        <v>49</v>
      </c>
      <c r="D62" s="27" t="s">
        <v>6</v>
      </c>
      <c r="F62" s="27" t="s">
        <v>12</v>
      </c>
      <c r="G62" s="27" t="s">
        <v>66</v>
      </c>
      <c r="H62" s="27" t="s">
        <v>67</v>
      </c>
      <c r="J62"/>
      <c r="K62" s="36"/>
      <c r="L62" s="36"/>
      <c r="M62" s="36"/>
      <c r="N62" s="36"/>
      <c r="O62" s="36"/>
      <c r="P62" s="36"/>
      <c r="Q62"/>
      <c r="R62"/>
    </row>
    <row r="63" spans="1:20" s="27" customFormat="1" ht="15.5">
      <c r="A63" s="45" t="s">
        <v>28</v>
      </c>
      <c r="B63" s="32">
        <v>54</v>
      </c>
      <c r="C63" s="46" t="s">
        <v>29</v>
      </c>
      <c r="D63" s="27" t="s">
        <v>19</v>
      </c>
      <c r="E63" s="26"/>
      <c r="F63" s="27" t="s">
        <v>12</v>
      </c>
      <c r="G63" s="27" t="s">
        <v>20</v>
      </c>
      <c r="H63" s="26" t="s">
        <v>68</v>
      </c>
      <c r="J63"/>
      <c r="K63" s="36"/>
      <c r="L63" s="36"/>
      <c r="M63" s="36"/>
      <c r="N63" s="36"/>
      <c r="O63" s="36"/>
      <c r="P63" s="36"/>
      <c r="Q63"/>
      <c r="R63"/>
    </row>
    <row r="64" spans="1:20" s="27" customFormat="1" ht="15.5">
      <c r="A64" s="29" t="s">
        <v>21</v>
      </c>
      <c r="B64" s="32">
        <v>14</v>
      </c>
      <c r="C64" s="27" t="s">
        <v>22</v>
      </c>
      <c r="D64" s="27" t="s">
        <v>13</v>
      </c>
      <c r="F64" s="27" t="s">
        <v>12</v>
      </c>
      <c r="G64" s="27" t="s">
        <v>23</v>
      </c>
      <c r="H64" s="37" t="s">
        <v>69</v>
      </c>
      <c r="J64"/>
      <c r="K64" s="36"/>
      <c r="L64" s="36"/>
      <c r="M64" s="36"/>
      <c r="N64" s="36"/>
      <c r="O64" s="36"/>
      <c r="P64" s="36"/>
      <c r="Q64"/>
      <c r="R64"/>
    </row>
    <row r="65" spans="1:18" s="27" customFormat="1" ht="15.5">
      <c r="A65" s="38" t="s">
        <v>24</v>
      </c>
      <c r="B65" s="31">
        <v>8</v>
      </c>
      <c r="C65" s="38"/>
      <c r="D65" s="38" t="s">
        <v>13</v>
      </c>
      <c r="E65" s="38" t="s">
        <v>25</v>
      </c>
      <c r="F65" s="38" t="s">
        <v>15</v>
      </c>
      <c r="G65" s="38"/>
      <c r="H65" s="39"/>
      <c r="J65"/>
      <c r="K65" s="36"/>
      <c r="L65" s="36"/>
      <c r="M65" s="36"/>
      <c r="N65" s="36"/>
      <c r="O65" s="36"/>
      <c r="P65" s="36"/>
      <c r="Q65" s="36"/>
      <c r="R65"/>
    </row>
    <row r="66" spans="1:18" s="27" customFormat="1" ht="15.5">
      <c r="A66" s="38" t="s">
        <v>70</v>
      </c>
      <c r="B66" s="31">
        <f>(0.09*1000*20)/2963200</f>
        <v>6.0745140388768898E-4</v>
      </c>
      <c r="C66" s="38"/>
      <c r="D66" s="38" t="s">
        <v>17</v>
      </c>
      <c r="E66" s="38" t="s">
        <v>16</v>
      </c>
      <c r="F66" s="38" t="s">
        <v>15</v>
      </c>
      <c r="G66" s="38"/>
      <c r="H66" s="39"/>
      <c r="J66"/>
      <c r="K66" s="36"/>
      <c r="L66" s="36"/>
      <c r="M66" s="36"/>
      <c r="N66" s="36"/>
      <c r="O66" s="36"/>
      <c r="P66" s="36"/>
      <c r="Q66" s="36"/>
      <c r="R66"/>
    </row>
    <row r="67" spans="1:18" s="27" customFormat="1" ht="15.5">
      <c r="K67" s="28"/>
      <c r="L67" s="28"/>
      <c r="M67" s="28"/>
      <c r="N67" s="28"/>
      <c r="O67" s="28"/>
      <c r="P67" s="28"/>
    </row>
    <row r="69" spans="1:18">
      <c r="A69" s="42"/>
      <c r="B69" s="42"/>
      <c r="C69" s="42"/>
      <c r="D69" s="42"/>
      <c r="E69" s="42"/>
      <c r="F69" s="42"/>
      <c r="G69" s="42"/>
      <c r="H69" s="42"/>
      <c r="I69" s="42"/>
    </row>
    <row r="71" spans="1:18" ht="15.5">
      <c r="A71" s="34" t="s">
        <v>1</v>
      </c>
      <c r="B71" s="34" t="s">
        <v>131</v>
      </c>
    </row>
    <row r="72" spans="1:18">
      <c r="A72" t="s">
        <v>2</v>
      </c>
      <c r="B72" t="s">
        <v>29</v>
      </c>
    </row>
    <row r="73" spans="1:18">
      <c r="A73" t="s">
        <v>11</v>
      </c>
      <c r="B73" t="s">
        <v>132</v>
      </c>
    </row>
    <row r="74" spans="1:18">
      <c r="A74" t="s">
        <v>3</v>
      </c>
      <c r="B74">
        <v>1</v>
      </c>
    </row>
    <row r="75" spans="1:18">
      <c r="A75" t="s">
        <v>76</v>
      </c>
      <c r="B75"/>
    </row>
    <row r="76" spans="1:18">
      <c r="A76" t="s">
        <v>4</v>
      </c>
      <c r="B76" t="s">
        <v>130</v>
      </c>
    </row>
    <row r="77" spans="1:18">
      <c r="A77" t="s">
        <v>5</v>
      </c>
      <c r="B77" t="s">
        <v>78</v>
      </c>
    </row>
    <row r="78" spans="1:18">
      <c r="A78" t="s">
        <v>6</v>
      </c>
      <c r="B78" s="42" t="s">
        <v>13</v>
      </c>
    </row>
    <row r="79" spans="1:18" ht="15.5">
      <c r="A79" s="34" t="s">
        <v>7</v>
      </c>
      <c r="B79"/>
    </row>
    <row r="80" spans="1:18" ht="15.5">
      <c r="A80" s="34" t="s">
        <v>8</v>
      </c>
      <c r="B80" s="34" t="s">
        <v>9</v>
      </c>
      <c r="C80" s="34" t="s">
        <v>2</v>
      </c>
      <c r="D80" s="34" t="s">
        <v>6</v>
      </c>
      <c r="E80" s="34" t="s">
        <v>10</v>
      </c>
      <c r="F80" s="34" t="s">
        <v>5</v>
      </c>
      <c r="G80" s="34" t="s">
        <v>4</v>
      </c>
      <c r="H80" s="34" t="s">
        <v>11</v>
      </c>
    </row>
    <row r="81" spans="1:7">
      <c r="A81" t="str">
        <f>B71</f>
        <v>empty activity, for market that does not exist any more in 2050, Tr2050</v>
      </c>
      <c r="B81">
        <v>1</v>
      </c>
      <c r="C81" t="s">
        <v>29</v>
      </c>
      <c r="D81" t="str">
        <f>B78</f>
        <v>kilogram</v>
      </c>
      <c r="F81" t="s">
        <v>18</v>
      </c>
      <c r="G81" t="str">
        <f>B76</f>
        <v>nothing</v>
      </c>
    </row>
    <row r="82" spans="1:7">
      <c r="B82"/>
    </row>
    <row r="83" spans="1:7">
      <c r="B83" s="41"/>
    </row>
    <row r="84" spans="1:7">
      <c r="B84" s="41"/>
    </row>
    <row r="85" spans="1:7">
      <c r="B85" s="41"/>
    </row>
    <row r="86" spans="1:7">
      <c r="B86"/>
    </row>
    <row r="87" spans="1:7">
      <c r="B87"/>
    </row>
    <row r="88" spans="1:7">
      <c r="B88"/>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33916-1C4C-4A86-8A8C-AB33DBD5A2E2}">
  <dimension ref="A1:K57"/>
  <sheetViews>
    <sheetView topLeftCell="A30" workbookViewId="0">
      <selection activeCell="A33" sqref="A33:XFD57"/>
    </sheetView>
  </sheetViews>
  <sheetFormatPr baseColWidth="10" defaultRowHeight="14.5"/>
  <sheetData>
    <row r="1" spans="1:11">
      <c r="A1" t="s">
        <v>111</v>
      </c>
    </row>
    <row r="3" spans="1:11">
      <c r="A3" s="4" t="s">
        <v>1</v>
      </c>
      <c r="B3" s="12" t="s">
        <v>108</v>
      </c>
      <c r="C3" s="9"/>
      <c r="D3" s="9"/>
      <c r="E3" s="9"/>
      <c r="F3" s="9"/>
      <c r="G3" s="9"/>
      <c r="H3" s="9"/>
      <c r="I3" s="3"/>
      <c r="J3" s="21"/>
      <c r="K3" s="22"/>
    </row>
    <row r="4" spans="1:11">
      <c r="A4" s="6" t="s">
        <v>3</v>
      </c>
      <c r="B4" s="14">
        <v>1</v>
      </c>
      <c r="C4" s="9"/>
      <c r="D4" s="9"/>
      <c r="E4" s="9"/>
      <c r="F4" s="9"/>
      <c r="G4" s="9"/>
      <c r="H4" s="9"/>
      <c r="I4" s="3"/>
      <c r="J4" s="13"/>
      <c r="K4" s="22"/>
    </row>
    <row r="5" spans="1:11">
      <c r="A5" s="6" t="s">
        <v>11</v>
      </c>
      <c r="B5" s="23" t="s">
        <v>41</v>
      </c>
      <c r="C5" s="9"/>
      <c r="D5" s="9"/>
      <c r="E5" s="9"/>
      <c r="F5" s="9"/>
      <c r="G5" s="9"/>
      <c r="H5" s="9"/>
      <c r="I5" s="3"/>
      <c r="K5" s="22"/>
    </row>
    <row r="6" spans="1:11">
      <c r="A6" s="6" t="s">
        <v>4</v>
      </c>
      <c r="B6" s="10" t="s">
        <v>26</v>
      </c>
      <c r="C6" s="9"/>
      <c r="D6" s="9"/>
      <c r="E6" s="9"/>
      <c r="F6" s="9"/>
      <c r="G6" s="9"/>
      <c r="H6" s="9"/>
      <c r="I6" s="3"/>
    </row>
    <row r="7" spans="1:11" ht="16.25" customHeight="1">
      <c r="A7" s="6" t="s">
        <v>2</v>
      </c>
      <c r="B7" s="15" t="s">
        <v>29</v>
      </c>
      <c r="C7" s="9"/>
      <c r="D7" s="9"/>
      <c r="E7" s="9"/>
      <c r="F7" s="9"/>
      <c r="G7" s="9"/>
      <c r="H7" s="9"/>
      <c r="I7" s="3"/>
    </row>
    <row r="8" spans="1:11">
      <c r="A8" s="6" t="s">
        <v>6</v>
      </c>
      <c r="B8" s="10" t="s">
        <v>13</v>
      </c>
      <c r="C8" s="9"/>
      <c r="D8" s="9"/>
      <c r="E8" s="9"/>
      <c r="F8" s="9"/>
      <c r="G8" s="9"/>
      <c r="H8" s="16"/>
      <c r="I8" s="3"/>
    </row>
    <row r="9" spans="1:11">
      <c r="A9" s="16" t="s">
        <v>7</v>
      </c>
      <c r="B9" s="12"/>
      <c r="C9" s="16"/>
      <c r="D9" s="16"/>
      <c r="E9" s="16"/>
      <c r="F9" s="16"/>
      <c r="G9" s="16"/>
      <c r="H9" s="13"/>
      <c r="I9" s="3"/>
    </row>
    <row r="10" spans="1:11">
      <c r="A10" t="s">
        <v>8</v>
      </c>
      <c r="B10" s="19" t="s">
        <v>9</v>
      </c>
      <c r="C10" t="s">
        <v>2</v>
      </c>
      <c r="D10" t="s">
        <v>6</v>
      </c>
      <c r="E10" t="s">
        <v>5</v>
      </c>
      <c r="F10" t="s">
        <v>4</v>
      </c>
      <c r="G10" s="1" t="s">
        <v>10</v>
      </c>
      <c r="H10" s="20" t="s">
        <v>11</v>
      </c>
      <c r="I10" s="3"/>
    </row>
    <row r="11" spans="1:11">
      <c r="A11" t="s">
        <v>44</v>
      </c>
      <c r="B11" s="19">
        <v>1</v>
      </c>
      <c r="C11" t="s">
        <v>29</v>
      </c>
      <c r="D11" t="s">
        <v>13</v>
      </c>
      <c r="E11" t="s">
        <v>18</v>
      </c>
      <c r="F11" s="10" t="s">
        <v>26</v>
      </c>
      <c r="G11" s="13"/>
      <c r="I11" s="3"/>
    </row>
    <row r="12" spans="1:11">
      <c r="A12" t="s">
        <v>35</v>
      </c>
      <c r="B12" s="19">
        <f>4.3*28.6</f>
        <v>122.98</v>
      </c>
      <c r="C12" t="s">
        <v>42</v>
      </c>
      <c r="D12" t="s">
        <v>46</v>
      </c>
      <c r="E12" t="s">
        <v>12</v>
      </c>
      <c r="F12" t="s">
        <v>36</v>
      </c>
      <c r="I12" s="3"/>
    </row>
    <row r="13" spans="1:11">
      <c r="A13" t="s">
        <v>35</v>
      </c>
      <c r="B13" s="19">
        <v>1.34</v>
      </c>
      <c r="C13" t="s">
        <v>42</v>
      </c>
      <c r="D13" t="s">
        <v>13</v>
      </c>
      <c r="E13" t="s">
        <v>12</v>
      </c>
      <c r="F13" t="s">
        <v>37</v>
      </c>
      <c r="I13" s="3"/>
    </row>
    <row r="14" spans="1:11">
      <c r="A14" t="s">
        <v>38</v>
      </c>
      <c r="B14" s="19">
        <v>4.03</v>
      </c>
      <c r="C14" t="s">
        <v>22</v>
      </c>
      <c r="D14" t="s">
        <v>13</v>
      </c>
      <c r="E14" t="s">
        <v>12</v>
      </c>
      <c r="F14" t="s">
        <v>39</v>
      </c>
      <c r="I14" s="3"/>
    </row>
    <row r="15" spans="1:11">
      <c r="A15" t="s">
        <v>40</v>
      </c>
      <c r="B15" s="19">
        <v>8.34</v>
      </c>
      <c r="D15" t="s">
        <v>13</v>
      </c>
      <c r="E15" t="s">
        <v>15</v>
      </c>
      <c r="G15" t="s">
        <v>25</v>
      </c>
      <c r="I15" s="3"/>
    </row>
    <row r="16" spans="1:11">
      <c r="A16" t="s">
        <v>45</v>
      </c>
      <c r="B16" s="19">
        <v>4.6399999999999997</v>
      </c>
      <c r="C16" t="s">
        <v>29</v>
      </c>
      <c r="D16" t="s">
        <v>19</v>
      </c>
      <c r="E16" t="s">
        <v>12</v>
      </c>
      <c r="F16" t="s">
        <v>43</v>
      </c>
      <c r="I16" s="3"/>
    </row>
    <row r="17" spans="1:11">
      <c r="B17" s="19"/>
      <c r="I17" s="3"/>
    </row>
    <row r="18" spans="1:11">
      <c r="A18" s="4" t="s">
        <v>1</v>
      </c>
      <c r="B18" s="12" t="s">
        <v>107</v>
      </c>
      <c r="C18" s="9"/>
      <c r="D18" s="9"/>
      <c r="E18" s="9"/>
      <c r="F18" s="9"/>
      <c r="G18" s="9"/>
      <c r="H18" s="9"/>
      <c r="I18" s="3"/>
      <c r="J18" s="21"/>
      <c r="K18" s="22"/>
    </row>
    <row r="19" spans="1:11">
      <c r="A19" s="6" t="s">
        <v>3</v>
      </c>
      <c r="B19" s="14">
        <v>1</v>
      </c>
      <c r="C19" s="9"/>
      <c r="D19" s="9"/>
      <c r="E19" s="9"/>
      <c r="F19" s="9"/>
      <c r="G19" s="9"/>
      <c r="H19" s="9"/>
      <c r="I19" s="3"/>
      <c r="J19" s="13"/>
      <c r="K19" s="22"/>
    </row>
    <row r="20" spans="1:11">
      <c r="A20" s="6" t="s">
        <v>11</v>
      </c>
      <c r="B20" s="23" t="s">
        <v>48</v>
      </c>
      <c r="C20" s="9"/>
      <c r="D20" s="9"/>
      <c r="E20" s="9"/>
      <c r="F20" s="9"/>
      <c r="G20" s="9"/>
      <c r="H20" s="9"/>
      <c r="I20" s="3"/>
      <c r="K20" s="22"/>
    </row>
    <row r="21" spans="1:11">
      <c r="A21" s="6" t="s">
        <v>4</v>
      </c>
      <c r="B21" s="10" t="s">
        <v>26</v>
      </c>
      <c r="C21" s="9"/>
      <c r="D21" s="9"/>
      <c r="E21" s="9"/>
      <c r="F21" s="9"/>
      <c r="G21" s="9"/>
      <c r="H21" s="9"/>
      <c r="I21" s="3"/>
    </row>
    <row r="22" spans="1:11" ht="16.25" customHeight="1">
      <c r="A22" s="6" t="s">
        <v>2</v>
      </c>
      <c r="B22" s="15" t="s">
        <v>29</v>
      </c>
      <c r="C22" s="9"/>
      <c r="D22" s="9"/>
      <c r="E22" s="9"/>
      <c r="F22" s="9"/>
      <c r="G22" s="9"/>
      <c r="H22" s="9"/>
      <c r="I22" s="3"/>
    </row>
    <row r="23" spans="1:11">
      <c r="A23" s="6" t="s">
        <v>6</v>
      </c>
      <c r="B23" s="10" t="s">
        <v>13</v>
      </c>
      <c r="C23" s="9"/>
      <c r="D23" s="9"/>
      <c r="E23" s="9"/>
      <c r="F23" s="9"/>
      <c r="G23" s="9"/>
      <c r="H23" s="16"/>
      <c r="I23" s="3"/>
    </row>
    <row r="24" spans="1:11">
      <c r="A24" s="16" t="s">
        <v>7</v>
      </c>
      <c r="B24" s="12"/>
      <c r="C24" s="16"/>
      <c r="D24" s="16"/>
      <c r="E24" s="16"/>
      <c r="F24" s="16"/>
      <c r="G24" s="16"/>
      <c r="H24" s="13"/>
      <c r="I24" s="3"/>
    </row>
    <row r="25" spans="1:11">
      <c r="A25" t="s">
        <v>8</v>
      </c>
      <c r="B25" s="19" t="s">
        <v>9</v>
      </c>
      <c r="C25" t="s">
        <v>2</v>
      </c>
      <c r="D25" t="s">
        <v>6</v>
      </c>
      <c r="E25" t="s">
        <v>5</v>
      </c>
      <c r="F25" t="s">
        <v>4</v>
      </c>
      <c r="G25" s="1" t="s">
        <v>10</v>
      </c>
      <c r="H25" s="20" t="s">
        <v>11</v>
      </c>
      <c r="I25" s="3"/>
    </row>
    <row r="26" spans="1:11">
      <c r="A26" t="s">
        <v>47</v>
      </c>
      <c r="B26" s="19">
        <v>1</v>
      </c>
      <c r="C26" t="s">
        <v>29</v>
      </c>
      <c r="D26" t="s">
        <v>13</v>
      </c>
      <c r="E26" t="s">
        <v>18</v>
      </c>
      <c r="F26" s="10" t="s">
        <v>26</v>
      </c>
      <c r="G26" s="13"/>
      <c r="I26" s="3"/>
    </row>
    <row r="27" spans="1:11">
      <c r="A27" t="s">
        <v>35</v>
      </c>
      <c r="B27" s="19">
        <f>4.3*28.6</f>
        <v>122.98</v>
      </c>
      <c r="C27" t="s">
        <v>42</v>
      </c>
      <c r="D27" t="s">
        <v>46</v>
      </c>
      <c r="E27" t="s">
        <v>12</v>
      </c>
      <c r="F27" t="s">
        <v>36</v>
      </c>
      <c r="I27" s="3"/>
    </row>
    <row r="28" spans="1:11">
      <c r="A28" t="s">
        <v>35</v>
      </c>
      <c r="B28" s="19">
        <v>1.34</v>
      </c>
      <c r="C28" t="s">
        <v>42</v>
      </c>
      <c r="D28" t="s">
        <v>13</v>
      </c>
      <c r="E28" t="s">
        <v>12</v>
      </c>
      <c r="F28" t="s">
        <v>37</v>
      </c>
      <c r="I28" s="3"/>
    </row>
    <row r="29" spans="1:11">
      <c r="A29" t="s">
        <v>38</v>
      </c>
      <c r="B29" s="19">
        <v>4.03</v>
      </c>
      <c r="C29" t="s">
        <v>22</v>
      </c>
      <c r="D29" t="s">
        <v>13</v>
      </c>
      <c r="E29" t="s">
        <v>12</v>
      </c>
      <c r="F29" t="s">
        <v>39</v>
      </c>
      <c r="I29" s="3"/>
    </row>
    <row r="30" spans="1:11">
      <c r="A30" t="s">
        <v>45</v>
      </c>
      <c r="B30" s="19">
        <v>4.6399999999999997</v>
      </c>
      <c r="C30" t="s">
        <v>29</v>
      </c>
      <c r="D30" t="s">
        <v>19</v>
      </c>
      <c r="E30" t="s">
        <v>12</v>
      </c>
      <c r="F30" t="s">
        <v>43</v>
      </c>
      <c r="I30" s="3"/>
    </row>
    <row r="31" spans="1:11">
      <c r="A31" t="s">
        <v>45</v>
      </c>
      <c r="B31" s="19">
        <v>0.7</v>
      </c>
      <c r="C31" t="s">
        <v>29</v>
      </c>
      <c r="D31" t="s">
        <v>19</v>
      </c>
      <c r="E31" t="s">
        <v>12</v>
      </c>
      <c r="F31" t="s">
        <v>43</v>
      </c>
      <c r="I31" s="3"/>
    </row>
    <row r="33" spans="1:11">
      <c r="A33" s="4" t="s">
        <v>1</v>
      </c>
      <c r="B33" s="12" t="s">
        <v>99</v>
      </c>
      <c r="C33" s="13"/>
      <c r="D33" s="9"/>
      <c r="E33" s="9"/>
      <c r="F33" s="9"/>
      <c r="G33" s="9"/>
      <c r="H33" s="9"/>
      <c r="I33" s="11"/>
      <c r="K33" s="8"/>
    </row>
    <row r="34" spans="1:11">
      <c r="A34" s="6" t="s">
        <v>3</v>
      </c>
      <c r="B34" s="14">
        <v>1</v>
      </c>
      <c r="C34" s="9"/>
      <c r="D34" s="9"/>
      <c r="E34" s="9"/>
      <c r="F34" s="9"/>
      <c r="G34" s="9"/>
      <c r="H34" s="9"/>
      <c r="I34" s="11"/>
      <c r="K34" s="8"/>
    </row>
    <row r="35" spans="1:11">
      <c r="A35" s="6" t="s">
        <v>11</v>
      </c>
      <c r="B35" s="15" t="s">
        <v>50</v>
      </c>
      <c r="C35" s="9"/>
      <c r="D35" s="9"/>
      <c r="E35" s="9"/>
      <c r="F35" s="9"/>
      <c r="G35" s="9"/>
      <c r="H35" s="9"/>
      <c r="I35" s="11"/>
      <c r="K35" s="8"/>
    </row>
    <row r="36" spans="1:11">
      <c r="A36" s="6" t="s">
        <v>4</v>
      </c>
      <c r="B36" s="2" t="s">
        <v>31</v>
      </c>
      <c r="C36" s="9"/>
      <c r="D36" s="9"/>
      <c r="E36" s="9"/>
      <c r="F36" s="9"/>
      <c r="G36" s="9"/>
      <c r="H36" s="9"/>
      <c r="I36" s="11"/>
      <c r="K36" s="8"/>
    </row>
    <row r="37" spans="1:11">
      <c r="A37" s="6" t="s">
        <v>2</v>
      </c>
      <c r="B37" s="15" t="s">
        <v>29</v>
      </c>
      <c r="C37" s="9"/>
      <c r="D37" s="9"/>
      <c r="E37" s="9"/>
      <c r="F37" s="9"/>
      <c r="G37" s="9"/>
      <c r="H37" s="9"/>
      <c r="I37" s="11"/>
      <c r="K37" s="8"/>
    </row>
    <row r="38" spans="1:11">
      <c r="A38" s="6" t="s">
        <v>6</v>
      </c>
      <c r="B38" s="10" t="s">
        <v>19</v>
      </c>
      <c r="C38" s="9"/>
      <c r="D38" s="9"/>
      <c r="E38" s="9"/>
      <c r="F38" s="9"/>
      <c r="G38" s="9"/>
      <c r="H38" s="16"/>
      <c r="I38" s="17"/>
      <c r="K38" s="8"/>
    </row>
    <row r="39" spans="1:11">
      <c r="A39" s="16" t="s">
        <v>7</v>
      </c>
      <c r="B39" s="12"/>
      <c r="C39" s="16"/>
      <c r="D39" s="16"/>
      <c r="E39" s="16"/>
      <c r="F39" s="16"/>
      <c r="G39" s="16"/>
      <c r="H39" s="13"/>
      <c r="I39" s="18"/>
      <c r="K39" s="8"/>
    </row>
    <row r="40" spans="1:11">
      <c r="A40" t="s">
        <v>8</v>
      </c>
      <c r="B40" s="19" t="s">
        <v>9</v>
      </c>
      <c r="C40" t="s">
        <v>2</v>
      </c>
      <c r="D40" t="s">
        <v>6</v>
      </c>
      <c r="E40" t="s">
        <v>5</v>
      </c>
      <c r="F40" t="s">
        <v>4</v>
      </c>
      <c r="G40" t="s">
        <v>10</v>
      </c>
      <c r="H40" s="20" t="s">
        <v>11</v>
      </c>
      <c r="I40" s="3"/>
      <c r="J40" s="1"/>
      <c r="K40" s="8"/>
    </row>
    <row r="41" spans="1:11">
      <c r="A41" s="19" t="str">
        <f>B33</f>
        <v>electricity production, from stationary battery, Tr2050</v>
      </c>
      <c r="B41" s="19">
        <v>1</v>
      </c>
      <c r="C41" t="str">
        <f>B37</f>
        <v>FR</v>
      </c>
      <c r="D41" t="s">
        <v>19</v>
      </c>
      <c r="E41" t="s">
        <v>18</v>
      </c>
      <c r="F41" t="s">
        <v>31</v>
      </c>
      <c r="G41" s="13"/>
      <c r="H41" s="18"/>
      <c r="I41" s="3"/>
      <c r="K41" s="8"/>
    </row>
    <row r="42" spans="1:11">
      <c r="A42" s="6" t="s">
        <v>28</v>
      </c>
      <c r="B42" s="19">
        <f>1*1.19</f>
        <v>1.19</v>
      </c>
      <c r="C42" t="s">
        <v>29</v>
      </c>
      <c r="D42" t="s">
        <v>19</v>
      </c>
      <c r="E42" t="s">
        <v>12</v>
      </c>
      <c r="F42" t="s">
        <v>20</v>
      </c>
      <c r="G42" s="13"/>
      <c r="H42" s="20" t="s">
        <v>51</v>
      </c>
      <c r="I42" s="3"/>
    </row>
    <row r="43" spans="1:11">
      <c r="A43" s="6" t="s">
        <v>28</v>
      </c>
      <c r="B43" s="19">
        <f>((22/1000)*6000*13)/(2500*19.5*0.8)</f>
        <v>4.3999999999999997E-2</v>
      </c>
      <c r="C43" t="s">
        <v>29</v>
      </c>
      <c r="D43" t="s">
        <v>19</v>
      </c>
      <c r="E43" t="s">
        <v>12</v>
      </c>
      <c r="F43" t="s">
        <v>20</v>
      </c>
      <c r="G43" s="13"/>
      <c r="H43" s="20" t="s">
        <v>52</v>
      </c>
      <c r="I43" s="3"/>
    </row>
    <row r="44" spans="1:11">
      <c r="A44" s="6" t="s">
        <v>53</v>
      </c>
      <c r="B44" s="19">
        <f>1/(2500*80%*19.5)</f>
        <v>2.564102564102564E-5</v>
      </c>
      <c r="C44" t="s">
        <v>49</v>
      </c>
      <c r="D44" t="s">
        <v>6</v>
      </c>
      <c r="E44" t="s">
        <v>12</v>
      </c>
      <c r="F44" t="s">
        <v>54</v>
      </c>
      <c r="G44" s="13"/>
      <c r="H44" s="1" t="s">
        <v>55</v>
      </c>
      <c r="I44" s="3"/>
    </row>
    <row r="45" spans="1:11">
      <c r="A45" s="6"/>
      <c r="B45" s="19"/>
      <c r="G45" s="13"/>
      <c r="H45" s="1"/>
      <c r="I45" s="3"/>
    </row>
    <row r="46" spans="1:11">
      <c r="A46" s="19"/>
      <c r="B46" s="19"/>
      <c r="G46" s="13"/>
      <c r="H46" s="13"/>
      <c r="I46" s="3"/>
      <c r="K46" s="8"/>
    </row>
    <row r="47" spans="1:11">
      <c r="A47" s="4" t="s">
        <v>1</v>
      </c>
      <c r="B47" s="12" t="s">
        <v>101</v>
      </c>
      <c r="C47" s="13"/>
      <c r="D47" s="9"/>
      <c r="E47" s="9"/>
      <c r="F47" s="9"/>
      <c r="G47" s="9"/>
      <c r="H47" s="9"/>
      <c r="I47" s="11"/>
      <c r="K47" s="8"/>
    </row>
    <row r="48" spans="1:11">
      <c r="A48" s="6" t="s">
        <v>3</v>
      </c>
      <c r="B48" s="14">
        <v>1</v>
      </c>
      <c r="C48" s="9"/>
      <c r="D48" s="9"/>
      <c r="E48" s="9"/>
      <c r="F48" s="9"/>
      <c r="G48" s="9"/>
      <c r="H48" s="9"/>
      <c r="I48" s="11"/>
      <c r="K48" s="8"/>
    </row>
    <row r="49" spans="1:11">
      <c r="A49" s="6" t="s">
        <v>11</v>
      </c>
      <c r="B49" s="15" t="s">
        <v>34</v>
      </c>
      <c r="C49" s="9"/>
      <c r="D49" s="9"/>
      <c r="E49" s="9"/>
      <c r="F49" s="9"/>
      <c r="G49" s="9"/>
      <c r="H49" s="9"/>
      <c r="I49" s="11"/>
      <c r="K49" s="8"/>
    </row>
    <row r="50" spans="1:11">
      <c r="A50" s="6" t="s">
        <v>4</v>
      </c>
      <c r="B50" s="2" t="s">
        <v>31</v>
      </c>
      <c r="C50" s="9"/>
      <c r="D50" s="9"/>
      <c r="E50" s="9"/>
      <c r="F50" s="9"/>
      <c r="G50" s="9"/>
      <c r="H50" s="9"/>
      <c r="I50" s="11"/>
      <c r="K50" s="8"/>
    </row>
    <row r="51" spans="1:11">
      <c r="A51" s="6" t="s">
        <v>2</v>
      </c>
      <c r="B51" s="15" t="s">
        <v>29</v>
      </c>
      <c r="C51" s="9"/>
      <c r="D51" s="9"/>
      <c r="E51" s="9"/>
      <c r="F51" s="9"/>
      <c r="G51" s="9"/>
      <c r="H51" s="9"/>
      <c r="I51" s="11"/>
      <c r="K51" s="8"/>
    </row>
    <row r="52" spans="1:11">
      <c r="A52" s="6" t="s">
        <v>6</v>
      </c>
      <c r="B52" s="10" t="s">
        <v>19</v>
      </c>
      <c r="C52" s="9"/>
      <c r="D52" s="9"/>
      <c r="E52" s="9"/>
      <c r="F52" s="9"/>
      <c r="G52" s="9"/>
      <c r="H52" s="16"/>
      <c r="I52" s="17"/>
      <c r="K52" s="8"/>
    </row>
    <row r="53" spans="1:11">
      <c r="A53" s="16" t="s">
        <v>7</v>
      </c>
      <c r="B53" s="12"/>
      <c r="C53" s="16"/>
      <c r="D53" s="16"/>
      <c r="E53" s="16"/>
      <c r="F53" s="16"/>
      <c r="G53" s="16"/>
      <c r="H53" s="13"/>
      <c r="I53" s="18"/>
      <c r="K53" s="8"/>
    </row>
    <row r="54" spans="1:11">
      <c r="A54" t="s">
        <v>8</v>
      </c>
      <c r="B54" s="19" t="s">
        <v>9</v>
      </c>
      <c r="C54" t="s">
        <v>2</v>
      </c>
      <c r="D54" t="s">
        <v>6</v>
      </c>
      <c r="E54" t="s">
        <v>5</v>
      </c>
      <c r="F54" t="s">
        <v>4</v>
      </c>
      <c r="G54" t="s">
        <v>10</v>
      </c>
      <c r="H54" s="20" t="s">
        <v>11</v>
      </c>
      <c r="I54" s="3"/>
      <c r="J54" s="1"/>
      <c r="K54" s="8"/>
    </row>
    <row r="55" spans="1:11">
      <c r="A55" s="19" t="s">
        <v>30</v>
      </c>
      <c r="B55" s="19">
        <v>1</v>
      </c>
      <c r="C55" t="str">
        <f>B51</f>
        <v>FR</v>
      </c>
      <c r="D55" t="s">
        <v>19</v>
      </c>
      <c r="E55" t="s">
        <v>18</v>
      </c>
      <c r="F55" t="s">
        <v>31</v>
      </c>
      <c r="G55" s="13"/>
      <c r="H55" s="18"/>
      <c r="I55" s="3"/>
      <c r="K55" s="8"/>
    </row>
    <row r="56" spans="1:11">
      <c r="A56" s="19" t="s">
        <v>32</v>
      </c>
      <c r="B56" s="19">
        <f>1/30000*2</f>
        <v>6.666666666666667E-5</v>
      </c>
      <c r="C56" t="s">
        <v>27</v>
      </c>
      <c r="D56" t="s">
        <v>6</v>
      </c>
      <c r="E56" t="s">
        <v>12</v>
      </c>
      <c r="F56" t="s">
        <v>33</v>
      </c>
      <c r="G56" s="13"/>
      <c r="H56" s="18"/>
      <c r="I56" s="3"/>
      <c r="K56" s="8"/>
    </row>
    <row r="57" spans="1:11" ht="15.5">
      <c r="A57" s="32" t="s">
        <v>73</v>
      </c>
      <c r="B57" s="19">
        <f>3.6/0.5/120</f>
        <v>6.0000000000000005E-2</v>
      </c>
      <c r="C57" t="s">
        <v>29</v>
      </c>
      <c r="D57" t="s">
        <v>13</v>
      </c>
      <c r="E57" t="s">
        <v>12</v>
      </c>
      <c r="F57" s="31" t="s">
        <v>57</v>
      </c>
      <c r="H57" s="13"/>
      <c r="I57" s="18"/>
      <c r="K57"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lci</vt:lpstr>
      <vt:lpstr>Feuil1</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Terlouw Tom Mike</dc:creator>
  <cp:lastModifiedBy>Joanna SCHLESINGER</cp:lastModifiedBy>
  <dcterms:created xsi:type="dcterms:W3CDTF">2020-12-17T11:52:00Z</dcterms:created>
  <dcterms:modified xsi:type="dcterms:W3CDTF">2025-03-12T15:38:05Z</dcterms:modified>
</cp:coreProperties>
</file>