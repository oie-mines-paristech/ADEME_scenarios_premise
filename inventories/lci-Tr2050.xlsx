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759" documentId="13_ncr:1_{6A9A1C53-53B4-4DAF-B82F-70FF83AECA95}" xr6:coauthVersionLast="47" xr6:coauthVersionMax="47" xr10:uidLastSave="{4D0D3474-BBD2-4870-A7ED-E2183A0A0CA7}"/>
  <bookViews>
    <workbookView xWindow="-120" yWindow="-120" windowWidth="29040" windowHeight="157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<sst xmlns="http://schemas.openxmlformats.org/spreadsheetml/2006/main" count="3934" uniqueCount="480">
  <si>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</si>
  <si>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</si>
  <si>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</si>
  <si>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</si>
  <si>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</si>
  <si>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</si>
  <si>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</si>
  <si>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</si>
  <si>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</si>
  <si>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</si>
  <si>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</si>
  <si>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</si>
  <si>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</si>
  <si>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</si>
  <si>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</si>
  <si>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</si>
  <si>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</si>
  <si>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</si>
  <si>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</si>
  <si>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</si>
  <si>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</si>
  <si>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</si>
  <si>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</si>
  <si>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</si>
  <si>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</si>
  <si>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</si>
  <si>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</si>
  <si>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</si>
  <si>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</si>
  <si>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</si>
  <si>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</si>
  <si>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</si>
  <si>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</si>
  <si>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</si>
  <si>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</si>
  <si>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</si>
  <si>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</si>
  <si>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</si>
  <si>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</si>
  <si>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</si>
  <si>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</si>
  <si>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</si>
  <si>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</si>
  <si>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</si>
  <si>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</si>
  <si>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</si>
  <si>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</si>
  <si>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</si>
  <si>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</si>
  <si>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</si>
  <si>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</si>
  <si>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</si>
  <si>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</si>
  <si>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</si>
  <si>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</si>
  <si>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</si>
  <si>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</si>
  <si>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</si>
  <si>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</si>
  <si>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</si>
  <si>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</si>
  <si>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</si>
  <si>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</si>
  <si>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</si>
  <si>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</si>
  <si>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</si>
  <si>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</si>
  <si>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</si>
  <si>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</si>
  <si>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</si>
  <si>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</si>
  <si>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</si>
  <si>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</si>
  <si>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</si>
  <si>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</si>
  <si>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</si>
  <si>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</si>
  <si>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</si>
  <si>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</si>
  <si>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</si>
  <si>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</si>
  <si>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</si>
  <si>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</si>
  <si>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</si>
  <si>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</si>
  <si>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</si>
  <si>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</si>
  <si>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</si>
  <si>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</si>
  <si>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</si>
  <si>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</si>
  <si>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</si>
  <si>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</si>
  <si>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</si>
  <si>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</si>
  <si>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</si>
  <si>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</si>
  <si>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</si>
  <si>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</si>
  <si>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</si>
  <si>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</si>
  <si>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</si>
  <si>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</si>
  <si>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</si>
  <si>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</si>
  <si>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</si>
  <si>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</si>
  <si>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</si>
  <si>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</si>
  <si>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</si>
  <si>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</si>
  <si>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</si>
  <si>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</si>
  <si>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</si>
  <si>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</si>
  <si>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</si>
  <si>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</si>
  <si>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</si>
  <si>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</si>
  <si>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</si>
  <si>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</si>
  <si>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</si>
  <si>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</si>
  <si>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</si>
  <si>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</si>
  <si>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</si>
  <si>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</si>
  <si>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</si>
  <si>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</si>
  <si>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</si>
  <si>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</si>
  <si>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</si>
  <si>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</si>
  <si>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</si>
  <si>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</si>
  <si>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</si>
  <si>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</si>
  <si>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</si>
  <si>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</si>
  <si>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</si>
  <si>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</si>
  <si>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</si>
  <si>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</si>
  <si>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</si>
  <si>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</si>
  <si>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</si>
  <si>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</si>
  <si>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</si>
  <si>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</si>
  <si>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</si>
  <si>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</si>
  <si>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</si>
  <si>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</si>
  <si>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</si>
  <si>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</si>
  <si>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</si>
  <si>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</si>
  <si>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</si>
  <si>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</si>
  <si>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</si>
  <si>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</si>
  <si>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</si>
  <si>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</si>
  <si>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</si>
  <si>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</si>
  <si>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</si>
  <si>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</si>
  <si>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</si>
  <si>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</si>
  <si>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</si>
  <si>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</si>
  <si>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</si>
  <si>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</si>
  <si>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</si>
  <si>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</si>
  <si>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</si>
  <si>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</si>
  <si>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</si>
  <si>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</si>
  <si>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</si>
  <si>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</si>
  <si>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</si>
  <si>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</si>
  <si>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</si>
  <si>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</si>
  <si>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</si>
  <si>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</si>
  <si>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</si>
  <si>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</si>
  <si>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</si>
  <si>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</si>
  <si>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</si>
  <si>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</si>
  <si>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</si>
  <si>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</si>
  <si>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</si>
  <si>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</si>
  <si>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</si>
  <si>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</si>
  <si>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</si>
  <si>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</si>
  <si>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</si>
  <si>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</si>
  <si>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</si>
  <si>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</si>
  <si>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</si>
  <si>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</si>
  <si>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</si>
  <si>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</si>
  <si>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</si>
  <si>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</si>
  <si>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</si>
  <si>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</si>
  <si>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</si>
  <si>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</si>
  <si>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</si>
  <si>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</si>
  <si>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</si>
  <si>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</si>
  <si>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</si>
  <si>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</si>
  <si>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</si>
  <si>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</si>
  <si>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</si>
  <si>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</si>
  <si>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</si>
  <si>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</si>
  <si>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</si>
  <si>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</si>
  <si>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</si>
  <si>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</si>
  <si>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</si>
  <si>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</si>
  <si>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</si>
  <si>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</si>
  <si>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</si>
  <si>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</si>
  <si>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</si>
  <si>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</si>
  <si>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</si>
  <si>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</si>
  <si>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</si>
  <si>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</si>
  <si>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</si>
  <si>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</si>
  <si>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</si>
  <si>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</si>
  <si>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</si>
  <si>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</si>
  <si>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</si>
  <si>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</si>
  <si>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</si>
  <si>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</si>
  <si>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</si>
  <si>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</si>
  <si>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</si>
  <si>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</si>
  <si>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</si>
  <si>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</si>
  <si>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</si>
  <si>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</si>
  <si>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</si>
  <si>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</si>
  <si>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</si>
  <si>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</si>
  <si>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</si>
  <si>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</si>
  <si>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</si>
  <si>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</si>
  <si>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</si>
  <si>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</si>
  <si>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</si>
  <si>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</si>
  <si>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</si>
  <si>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</si>
  <si>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</si>
  <si>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</si>
  <si>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</si>
  <si>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</si>
  <si>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</si>
  <si>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</si>
  <si>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</si>
  <si>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</si>
  <si>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</si>
  <si>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</si>
  <si>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</si>
  <si>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</si>
  <si>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</si>
  <si>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</si>
  <si>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</si>
  <si>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</si>
  <si>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</si>
  <si>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</si>
  <si>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</si>
  <si>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</si>
  <si>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</si>
  <si>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</si>
  <si>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</si>
  <si>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</si>
  <si>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</si>
  <si>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</si>
  <si>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</si>
  <si>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</si>
  <si>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</si>
  <si>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</si>
  <si>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</si>
  <si>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</si>
  <si>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</si>
  <si>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</si>
  <si>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</si>
  <si>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</si>
  <si>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</si>
  <si>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</si>
  <si>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</si>
  <si>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</si>
  <si>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</si>
  <si>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</si>
  <si>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</si>
  <si>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</si>
  <si>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</si>
  <si>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</si>
  <si>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</si>
  <si>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</si>
  <si>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</si>
  <si>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</si>
  <si>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</si>
  <si>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</si>
  <si>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</si>
  <si>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</si>
  <si>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</si>
  <si>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</si>
  <si>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</si>
  <si>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</si>
  <si>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</si>
  <si>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</si>
  <si>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</si>
  <si>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</si>
  <si>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</si>
  <si>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</si>
  <si>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</si>
  <si>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</si>
  <si>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</si>
  <si>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</si>
  <si>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</si>
  <si>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</si>
  <si>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</si>
  <si>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</si>
  <si>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</si>
  <si>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</si>
  <si>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</si>
  <si>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</si>
  <si>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</si>
  <si>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</si>
  <si>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</si>
  <si>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</si>
  <si>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</si>
  <si>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</si>
  <si>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</si>
  <si>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</si>
  <si>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</si>
  <si>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</si>
  <si>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</si>
  <si>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</si>
  <si>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</si>
  <si>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</si>
  <si>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</si>
  <si>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</si>
  <si>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</si>
  <si>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</si>
  <si>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</si>
  <si>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</si>
  <si>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</si>
  <si>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</si>
  <si>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</si>
  <si>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</si>
  <si>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</si>
  <si>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</si>
  <si>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</si>
  <si>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</si>
  <si>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</si>
  <si>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</si>
  <si>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</si>
  <si>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</si>
  <si>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</si>
  <si>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</si>
  <si>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</si>
  <si>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</si>
  <si>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</si>
  <si>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</si>
  <si>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</si>
  <si>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</si>
  <si>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</si>
  <si>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</si>
  <si>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</si>
  <si>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</si>
  <si>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</si>
  <si>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</si>
  <si>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</si>
  <si>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</si>
  <si>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</si>
  <si>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</si>
  <si>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</si>
  <si>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</si>
  <si>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</si>
  <si>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</si>
  <si>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</si>
  <si>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</si>
  <si>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</si>
  <si>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</si>
  <si>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</si>
  <si>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</si>
  <si>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</si>
  <si>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</si>
  <si>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</si>
  <si>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</si>
  <si>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</si>
  <si>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</si>
  <si>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</si>
  <si>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</si>
  <si>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</si>
  <si>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</si>
  <si>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</si>
  <si>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</si>
  <si>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kg</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</si>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</sst>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8">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23"/>
  <sheetViews>
    <sheetView tabSelected="1" topLeftCell="A809" zoomScaleNormal="100" workbookViewId="0">
      <selection activeCell="I836" sqref="I836"/>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100</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54</v>
      </c>
      <c r="B56">
        <v>1</v>
      </c>
      <c r="C56" t="str">
        <f>B52</f>
        <v>FR</v>
      </c>
      <c r="D56" t="str">
        <f>B53</f>
        <v>kilogram</v>
      </c>
      <c r="E56"/>
      <c r="F56" t="s">
        <v>18</v>
      </c>
      <c r="G56" t="s">
        <v>38</v>
      </c>
      <c r="H56"/>
      <c r="I56" s="14"/>
      <c r="K56" s="16"/>
      <c r="L56" s="16"/>
      <c r="M56" s="16"/>
      <c r="N56" s="16"/>
      <c r="O56" s="16"/>
      <c r="P56" s="16"/>
      <c r="T56"/>
    </row>
    <row r="57" spans="1:20" s="15" customFormat="1" ht="15.75">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43</v>
      </c>
      <c r="B59">
        <f>B57*-1</f>
        <v>-1.3498920086393089E-6</v>
      </c>
      <c r="C59" t="s">
        <v>36</v>
      </c>
      <c r="D59" t="s">
        <v>6</v>
      </c>
      <c r="E59"/>
      <c r="F59" t="s">
        <v>12</v>
      </c>
      <c r="G59" t="s">
        <v>44</v>
      </c>
      <c r="H59" t="s">
        <v>45</v>
      </c>
      <c r="J59"/>
      <c r="K59" s="20"/>
      <c r="L59" s="20"/>
      <c r="M59" s="20"/>
      <c r="N59" s="20"/>
      <c r="O59" s="20"/>
      <c r="P59" s="20"/>
      <c r="Q59"/>
      <c r="R59"/>
    </row>
    <row r="60" spans="1:20" s="15" customFormat="1" ht="15.75">
      <c r="A60" t="s">
        <v>46</v>
      </c>
      <c r="B60">
        <f>-1*B58</f>
        <v>-3.3747300215982723E-7</v>
      </c>
      <c r="C60" t="s">
        <v>36</v>
      </c>
      <c r="D60" t="s">
        <v>6</v>
      </c>
      <c r="E60"/>
      <c r="F60" t="s">
        <v>12</v>
      </c>
      <c r="G60" t="s">
        <v>47</v>
      </c>
      <c r="H60" t="s">
        <v>48</v>
      </c>
      <c r="J60"/>
      <c r="K60" s="20"/>
      <c r="L60" s="20"/>
      <c r="M60" s="20"/>
      <c r="N60" s="20"/>
      <c r="O60" s="20"/>
      <c r="P60" s="20"/>
      <c r="Q60"/>
      <c r="R60"/>
    </row>
    <row r="61" spans="1:20" s="15" customFormat="1" ht="15.75">
      <c r="A61" t="s">
        <v>27</v>
      </c>
      <c r="B61">
        <v>54</v>
      </c>
      <c r="C61" t="s">
        <v>28</v>
      </c>
      <c r="D61" t="s">
        <v>19</v>
      </c>
      <c r="E61"/>
      <c r="F61" t="s">
        <v>12</v>
      </c>
      <c r="G61" t="s">
        <v>20</v>
      </c>
      <c r="H61" t="s">
        <v>49</v>
      </c>
      <c r="J61"/>
      <c r="K61" s="20"/>
      <c r="L61" s="20"/>
      <c r="M61" s="20"/>
      <c r="N61" s="20"/>
      <c r="O61" s="20"/>
      <c r="P61" s="20"/>
      <c r="Q61"/>
      <c r="R61"/>
    </row>
    <row r="62" spans="1:20" s="15" customFormat="1" ht="15.75">
      <c r="A62" t="s">
        <v>21</v>
      </c>
      <c r="B62">
        <v>14</v>
      </c>
      <c r="C62" t="s">
        <v>22</v>
      </c>
      <c r="D62" t="s">
        <v>13</v>
      </c>
      <c r="E62"/>
      <c r="F62" t="s">
        <v>12</v>
      </c>
      <c r="G62" t="s">
        <v>23</v>
      </c>
      <c r="H62" t="s">
        <v>50</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308</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309</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310</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311</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312</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313</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268</v>
      </c>
      <c r="B206" s="26" t="s">
        <v>267</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314</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315</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420</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419</v>
      </c>
      <c r="C271" s="22"/>
      <c r="D271" s="22"/>
      <c r="E271" s="22"/>
      <c r="F271" s="22"/>
      <c r="G271" s="22"/>
      <c r="H271" s="22"/>
      <c r="I271" s="22"/>
      <c r="J271" s="22"/>
      <c r="K271" s="22"/>
      <c r="L271" s="22"/>
      <c r="M271" s="22"/>
      <c r="N271" s="22"/>
    </row>
    <row r="272" spans="1:34">
      <c r="A272" s="24" t="s">
        <v>57</v>
      </c>
      <c r="B272" s="31" t="s">
        <v>425</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420</v>
      </c>
      <c r="B276" s="22" t="s">
        <v>419</v>
      </c>
      <c r="C276" s="22">
        <v>1</v>
      </c>
      <c r="D276" s="22" t="s">
        <v>13</v>
      </c>
      <c r="F276" s="31" t="s">
        <v>28</v>
      </c>
      <c r="G276" s="22"/>
      <c r="H276" s="22" t="s">
        <v>18</v>
      </c>
      <c r="I276" s="22"/>
      <c r="K276" s="22"/>
      <c r="L276" s="22"/>
      <c r="M276" s="22"/>
      <c r="N276" s="22"/>
    </row>
    <row r="277" spans="1:14">
      <c r="A277" s="22" t="s">
        <v>332</v>
      </c>
      <c r="B277" s="22" t="s">
        <v>334</v>
      </c>
      <c r="C277" s="22">
        <v>8.9499999999999996E-3</v>
      </c>
      <c r="D277" s="22" t="s">
        <v>13</v>
      </c>
      <c r="E277" s="31" t="s">
        <v>131</v>
      </c>
      <c r="F277" s="22" t="s">
        <v>96</v>
      </c>
      <c r="G277" s="22"/>
      <c r="H277" s="22" t="s">
        <v>12</v>
      </c>
      <c r="I277" s="22" t="s">
        <v>333</v>
      </c>
      <c r="K277" s="22"/>
      <c r="L277" s="22"/>
      <c r="M277" s="22"/>
      <c r="N277" s="22"/>
    </row>
    <row r="278" spans="1:14">
      <c r="A278" s="22" t="s">
        <v>297</v>
      </c>
      <c r="B278" s="22" t="s">
        <v>99</v>
      </c>
      <c r="C278" s="22">
        <v>3.3800000000000002E-3</v>
      </c>
      <c r="D278" s="22" t="s">
        <v>91</v>
      </c>
      <c r="E278" s="31" t="s">
        <v>131</v>
      </c>
      <c r="F278" s="22" t="s">
        <v>28</v>
      </c>
      <c r="G278" s="22"/>
      <c r="H278" s="22" t="s">
        <v>12</v>
      </c>
      <c r="I278" s="22" t="s">
        <v>335</v>
      </c>
      <c r="K278" s="22"/>
      <c r="L278" s="22"/>
      <c r="M278" s="22"/>
      <c r="N278" s="22"/>
    </row>
    <row r="279" spans="1:14">
      <c r="A279" s="22" t="s">
        <v>169</v>
      </c>
      <c r="B279" s="22" t="s">
        <v>160</v>
      </c>
      <c r="C279" s="22">
        <v>1.9699999999999999E-2</v>
      </c>
      <c r="D279" s="22" t="s">
        <v>13</v>
      </c>
      <c r="E279" s="31" t="s">
        <v>131</v>
      </c>
      <c r="F279" s="22" t="s">
        <v>28</v>
      </c>
      <c r="G279" s="22"/>
      <c r="H279" s="22" t="s">
        <v>12</v>
      </c>
      <c r="I279" s="22" t="s">
        <v>336</v>
      </c>
      <c r="K279" s="22"/>
      <c r="L279" s="22"/>
      <c r="M279" s="22"/>
      <c r="N279" s="22"/>
    </row>
    <row r="280" spans="1:14">
      <c r="A280" s="22" t="s">
        <v>337</v>
      </c>
      <c r="B280" s="22" t="s">
        <v>339</v>
      </c>
      <c r="C280" s="22">
        <v>1.79E-6</v>
      </c>
      <c r="D280" s="22" t="s">
        <v>13</v>
      </c>
      <c r="E280" s="31" t="s">
        <v>131</v>
      </c>
      <c r="F280" s="22" t="s">
        <v>96</v>
      </c>
      <c r="G280" s="22"/>
      <c r="H280" s="22" t="s">
        <v>12</v>
      </c>
      <c r="I280" s="22" t="s">
        <v>338</v>
      </c>
      <c r="K280" s="22"/>
      <c r="L280" s="22"/>
      <c r="M280" s="22"/>
      <c r="N280" s="22"/>
    </row>
    <row r="281" spans="1:14">
      <c r="A281" s="22" t="s">
        <v>340</v>
      </c>
      <c r="B281" s="22" t="s">
        <v>342</v>
      </c>
      <c r="C281" s="22">
        <v>9.859999999999999E-4</v>
      </c>
      <c r="D281" s="22" t="s">
        <v>13</v>
      </c>
      <c r="E281" s="31" t="s">
        <v>131</v>
      </c>
      <c r="F281" s="22" t="s">
        <v>96</v>
      </c>
      <c r="G281" s="22"/>
      <c r="H281" s="22" t="s">
        <v>12</v>
      </c>
      <c r="I281" s="22" t="s">
        <v>341</v>
      </c>
      <c r="K281" s="22"/>
      <c r="L281" s="22"/>
      <c r="M281" s="22"/>
      <c r="N281" s="22"/>
    </row>
    <row r="282" spans="1:14">
      <c r="A282" s="22" t="s">
        <v>343</v>
      </c>
      <c r="B282" s="22" t="s">
        <v>345</v>
      </c>
      <c r="C282" s="22">
        <v>5.3699999999999998E-3</v>
      </c>
      <c r="D282" s="22" t="s">
        <v>13</v>
      </c>
      <c r="E282" s="31" t="s">
        <v>131</v>
      </c>
      <c r="F282" s="22" t="s">
        <v>28</v>
      </c>
      <c r="G282" s="22"/>
      <c r="H282" s="22" t="s">
        <v>12</v>
      </c>
      <c r="I282" s="22" t="s">
        <v>344</v>
      </c>
      <c r="K282" s="22"/>
      <c r="L282" s="22"/>
      <c r="M282" s="22"/>
      <c r="N282" s="22"/>
    </row>
    <row r="283" spans="1:14">
      <c r="A283" s="22" t="s">
        <v>346</v>
      </c>
      <c r="B283" s="22" t="s">
        <v>348</v>
      </c>
      <c r="C283" s="22">
        <v>5.3699999999999998E-3</v>
      </c>
      <c r="D283" s="22" t="s">
        <v>13</v>
      </c>
      <c r="E283" s="31" t="s">
        <v>131</v>
      </c>
      <c r="F283" s="22" t="s">
        <v>28</v>
      </c>
      <c r="G283" s="22"/>
      <c r="H283" s="22" t="s">
        <v>12</v>
      </c>
      <c r="I283" s="22" t="s">
        <v>347</v>
      </c>
      <c r="K283" s="22"/>
      <c r="L283" s="22"/>
      <c r="M283" s="22"/>
      <c r="N283" s="22"/>
    </row>
    <row r="284" spans="1:14">
      <c r="A284" s="22" t="s">
        <v>349</v>
      </c>
      <c r="B284" s="22" t="s">
        <v>350</v>
      </c>
      <c r="C284" s="22">
        <v>2.3300000000000001E-2</v>
      </c>
      <c r="D284" s="22" t="s">
        <v>13</v>
      </c>
      <c r="E284" s="31" t="s">
        <v>131</v>
      </c>
      <c r="F284" s="22" t="s">
        <v>96</v>
      </c>
      <c r="G284" s="22"/>
      <c r="H284" s="22" t="s">
        <v>12</v>
      </c>
      <c r="I284" s="22" t="s">
        <v>336</v>
      </c>
      <c r="K284" s="22"/>
      <c r="L284" s="22"/>
      <c r="M284" s="22"/>
      <c r="N284" s="22"/>
    </row>
    <row r="285" spans="1:14">
      <c r="A285" s="22" t="s">
        <v>351</v>
      </c>
      <c r="B285" s="22" t="s">
        <v>353</v>
      </c>
      <c r="C285" s="22">
        <v>0.55700000000000005</v>
      </c>
      <c r="D285" s="22" t="s">
        <v>35</v>
      </c>
      <c r="E285" s="31" t="s">
        <v>131</v>
      </c>
      <c r="F285" s="22" t="s">
        <v>96</v>
      </c>
      <c r="G285" s="22"/>
      <c r="H285" s="22" t="s">
        <v>12</v>
      </c>
      <c r="I285" s="22" t="s">
        <v>352</v>
      </c>
      <c r="K285" s="22"/>
      <c r="L285" s="22"/>
      <c r="M285" s="22"/>
      <c r="N285" s="22"/>
    </row>
    <row r="286" spans="1:14">
      <c r="A286" s="22" t="s">
        <v>34</v>
      </c>
      <c r="B286" s="22" t="s">
        <v>33</v>
      </c>
      <c r="C286" s="22">
        <v>7.4599999999999996E-3</v>
      </c>
      <c r="D286" s="22" t="s">
        <v>19</v>
      </c>
      <c r="E286" s="31" t="s">
        <v>131</v>
      </c>
      <c r="F286" s="22" t="s">
        <v>28</v>
      </c>
      <c r="G286" s="22"/>
      <c r="H286" s="22" t="s">
        <v>12</v>
      </c>
      <c r="I286" s="22" t="s">
        <v>335</v>
      </c>
      <c r="K286" s="22"/>
      <c r="L286" s="22"/>
      <c r="M286" s="22"/>
      <c r="N286" s="22"/>
    </row>
    <row r="287" spans="1:14">
      <c r="A287" s="22" t="s">
        <v>34</v>
      </c>
      <c r="B287" s="22" t="s">
        <v>33</v>
      </c>
      <c r="C287" s="22">
        <v>1.9400000000000001E-3</v>
      </c>
      <c r="D287" s="22" t="s">
        <v>19</v>
      </c>
      <c r="E287" s="31" t="s">
        <v>131</v>
      </c>
      <c r="F287" s="22" t="s">
        <v>28</v>
      </c>
      <c r="G287" s="22"/>
      <c r="H287" s="22" t="s">
        <v>12</v>
      </c>
      <c r="I287" s="22" t="s">
        <v>355</v>
      </c>
      <c r="K287" s="22"/>
      <c r="L287" s="22"/>
      <c r="M287" s="22"/>
      <c r="N287" s="22"/>
    </row>
    <row r="288" spans="1:14">
      <c r="A288" s="22" t="s">
        <v>356</v>
      </c>
      <c r="B288" s="22" t="s">
        <v>357</v>
      </c>
      <c r="C288" s="22">
        <v>3.9199999999999999E-3</v>
      </c>
      <c r="D288" s="22" t="s">
        <v>13</v>
      </c>
      <c r="E288" s="31" t="s">
        <v>131</v>
      </c>
      <c r="F288" s="22" t="s">
        <v>36</v>
      </c>
      <c r="G288" s="22"/>
      <c r="H288" s="22" t="s">
        <v>12</v>
      </c>
      <c r="I288" s="22" t="s">
        <v>335</v>
      </c>
      <c r="K288" s="22"/>
      <c r="L288" s="22"/>
      <c r="M288" s="22"/>
      <c r="N288" s="22"/>
    </row>
    <row r="289" spans="1:14">
      <c r="A289" s="22" t="s">
        <v>85</v>
      </c>
      <c r="B289" s="22"/>
      <c r="C289" s="22">
        <v>7.5699999999999997E-4</v>
      </c>
      <c r="D289" s="22" t="s">
        <v>13</v>
      </c>
      <c r="E289" s="26" t="s">
        <v>83</v>
      </c>
      <c r="F289" s="22"/>
      <c r="G289" s="22" t="s">
        <v>25</v>
      </c>
      <c r="H289" s="22" t="s">
        <v>15</v>
      </c>
      <c r="I289" s="22" t="s">
        <v>330</v>
      </c>
      <c r="K289" s="22"/>
      <c r="L289" s="22"/>
      <c r="M289" s="22"/>
      <c r="N289" s="22"/>
    </row>
    <row r="290" spans="1:14">
      <c r="A290" s="22" t="s">
        <v>85</v>
      </c>
      <c r="B290" s="22"/>
      <c r="C290" s="22">
        <v>1.79E-6</v>
      </c>
      <c r="D290" s="22" t="s">
        <v>13</v>
      </c>
      <c r="E290" s="26" t="s">
        <v>83</v>
      </c>
      <c r="F290" s="22"/>
      <c r="G290" s="22" t="s">
        <v>25</v>
      </c>
      <c r="H290" s="22" t="s">
        <v>15</v>
      </c>
      <c r="I290" s="22" t="s">
        <v>331</v>
      </c>
      <c r="K290" s="22"/>
      <c r="L290" s="22"/>
      <c r="M290" s="22"/>
      <c r="N290" s="22"/>
    </row>
    <row r="291" spans="1:14">
      <c r="A291" s="22" t="s">
        <v>358</v>
      </c>
      <c r="C291" s="22">
        <v>15.4</v>
      </c>
      <c r="D291" s="22" t="s">
        <v>35</v>
      </c>
      <c r="E291" s="26" t="s">
        <v>83</v>
      </c>
      <c r="F291" s="22"/>
      <c r="G291" s="22" t="s">
        <v>359</v>
      </c>
      <c r="H291" s="22" t="s">
        <v>15</v>
      </c>
      <c r="I291" s="22" t="s">
        <v>360</v>
      </c>
      <c r="J291" s="22"/>
      <c r="K291" s="22"/>
      <c r="L291" s="22"/>
      <c r="M291" s="22"/>
      <c r="N291" s="22"/>
    </row>
    <row r="292" spans="1:14">
      <c r="A292" s="22" t="s">
        <v>123</v>
      </c>
      <c r="C292" s="22">
        <v>0</v>
      </c>
      <c r="D292" s="22" t="s">
        <v>13</v>
      </c>
      <c r="E292" s="26" t="s">
        <v>83</v>
      </c>
      <c r="F292" s="22"/>
      <c r="G292" s="22" t="s">
        <v>124</v>
      </c>
      <c r="H292" s="22" t="s">
        <v>15</v>
      </c>
      <c r="I292" s="22" t="s">
        <v>418</v>
      </c>
      <c r="J292" s="22"/>
      <c r="K292" s="22"/>
      <c r="L292" s="22"/>
      <c r="M292" s="22"/>
      <c r="N292" s="22"/>
    </row>
    <row r="293" spans="1:14">
      <c r="A293" s="22" t="s">
        <v>361</v>
      </c>
      <c r="C293" s="22">
        <v>1.4</v>
      </c>
      <c r="D293" s="22" t="s">
        <v>17</v>
      </c>
      <c r="E293" s="26" t="s">
        <v>83</v>
      </c>
      <c r="F293" s="22"/>
      <c r="G293" s="22" t="s">
        <v>16</v>
      </c>
      <c r="H293" s="22" t="s">
        <v>15</v>
      </c>
      <c r="I293" s="22" t="s">
        <v>362</v>
      </c>
      <c r="J293" s="22"/>
      <c r="K293" s="22"/>
      <c r="L293" s="22"/>
      <c r="M293" s="22"/>
      <c r="N293" s="22"/>
    </row>
    <row r="294" spans="1:14">
      <c r="A294" s="22" t="s">
        <v>363</v>
      </c>
      <c r="C294" s="22">
        <v>1.4</v>
      </c>
      <c r="D294" s="22" t="s">
        <v>113</v>
      </c>
      <c r="E294" s="26" t="s">
        <v>83</v>
      </c>
      <c r="F294" s="22"/>
      <c r="G294" s="22" t="s">
        <v>16</v>
      </c>
      <c r="H294" s="22" t="s">
        <v>15</v>
      </c>
      <c r="I294" s="22" t="s">
        <v>364</v>
      </c>
      <c r="J294" s="22"/>
      <c r="K294" s="22"/>
      <c r="L294" s="22"/>
      <c r="M294" s="22"/>
      <c r="N294" s="22"/>
    </row>
    <row r="295" spans="1:14">
      <c r="A295" s="22" t="s">
        <v>365</v>
      </c>
      <c r="C295" s="22">
        <v>1.4</v>
      </c>
      <c r="D295" s="22" t="s">
        <v>113</v>
      </c>
      <c r="E295" s="26" t="s">
        <v>83</v>
      </c>
      <c r="F295" s="22"/>
      <c r="G295" s="22" t="s">
        <v>16</v>
      </c>
      <c r="H295" s="22" t="s">
        <v>15</v>
      </c>
      <c r="I295" s="22" t="s">
        <v>364</v>
      </c>
      <c r="J295" s="22"/>
      <c r="K295" s="22"/>
      <c r="L295" s="22"/>
      <c r="M295" s="22"/>
      <c r="N295" s="22"/>
    </row>
    <row r="296" spans="1:14">
      <c r="A296" s="22" t="s">
        <v>93</v>
      </c>
      <c r="C296" s="22">
        <v>0.17</v>
      </c>
      <c r="D296" s="22" t="s">
        <v>91</v>
      </c>
      <c r="E296" s="26" t="s">
        <v>83</v>
      </c>
      <c r="F296" s="22"/>
      <c r="G296" s="22" t="s">
        <v>25</v>
      </c>
      <c r="H296" s="22" t="s">
        <v>15</v>
      </c>
      <c r="I296" s="22" t="s">
        <v>366</v>
      </c>
      <c r="J296" s="22"/>
      <c r="K296" s="22"/>
      <c r="L296" s="22"/>
      <c r="M296" s="22"/>
      <c r="N296" s="22"/>
    </row>
    <row r="297" spans="1:14">
      <c r="A297" s="22" t="s">
        <v>87</v>
      </c>
      <c r="C297" s="22">
        <v>8.3499999999999997E-5</v>
      </c>
      <c r="D297" s="22" t="s">
        <v>13</v>
      </c>
      <c r="E297" s="26" t="s">
        <v>83</v>
      </c>
      <c r="F297" s="22"/>
      <c r="G297" s="22" t="s">
        <v>109</v>
      </c>
      <c r="H297" s="22" t="s">
        <v>15</v>
      </c>
      <c r="I297" s="22" t="s">
        <v>366</v>
      </c>
      <c r="J297" s="22"/>
      <c r="K297" s="22"/>
      <c r="L297" s="22"/>
      <c r="M297" s="22"/>
      <c r="N297" s="22"/>
    </row>
    <row r="298" spans="1:14">
      <c r="A298" s="22" t="s">
        <v>194</v>
      </c>
      <c r="C298" s="22">
        <v>1.0200000000000001E-3</v>
      </c>
      <c r="D298" s="22" t="s">
        <v>13</v>
      </c>
      <c r="E298" s="26" t="s">
        <v>83</v>
      </c>
      <c r="F298" s="22"/>
      <c r="G298" s="22" t="s">
        <v>109</v>
      </c>
      <c r="H298" s="22" t="s">
        <v>15</v>
      </c>
      <c r="I298" s="22" t="s">
        <v>366</v>
      </c>
      <c r="J298" s="22"/>
      <c r="K298" s="22"/>
      <c r="L298" s="22"/>
      <c r="M298" s="22"/>
      <c r="N298" s="22"/>
    </row>
    <row r="299" spans="1:14">
      <c r="A299" s="22" t="s">
        <v>367</v>
      </c>
      <c r="C299" s="22">
        <v>0.48</v>
      </c>
      <c r="D299" s="22" t="s">
        <v>113</v>
      </c>
      <c r="E299" s="26" t="s">
        <v>83</v>
      </c>
      <c r="F299" s="22"/>
      <c r="G299" s="22" t="s">
        <v>16</v>
      </c>
      <c r="H299" s="22" t="s">
        <v>15</v>
      </c>
      <c r="I299" s="22" t="s">
        <v>368</v>
      </c>
      <c r="J299" s="22"/>
      <c r="K299" s="22"/>
      <c r="L299" s="22"/>
      <c r="M299" s="22"/>
      <c r="N299" s="22"/>
    </row>
    <row r="300" spans="1:14">
      <c r="A300" s="22" t="s">
        <v>369</v>
      </c>
      <c r="C300" s="22">
        <v>0.48</v>
      </c>
      <c r="D300" s="22" t="s">
        <v>113</v>
      </c>
      <c r="E300" s="26" t="s">
        <v>83</v>
      </c>
      <c r="F300" s="22"/>
      <c r="G300" s="22" t="s">
        <v>16</v>
      </c>
      <c r="H300" s="22" t="s">
        <v>15</v>
      </c>
      <c r="I300" s="22" t="s">
        <v>368</v>
      </c>
      <c r="J300" s="22"/>
      <c r="K300" s="22"/>
      <c r="L300" s="22"/>
      <c r="M300" s="22"/>
      <c r="N300" s="22"/>
    </row>
    <row r="301" spans="1:14">
      <c r="A301" s="22" t="s">
        <v>370</v>
      </c>
      <c r="C301" s="22">
        <v>0.96</v>
      </c>
      <c r="D301" s="22" t="s">
        <v>17</v>
      </c>
      <c r="E301" s="26" t="s">
        <v>83</v>
      </c>
      <c r="F301" s="22"/>
      <c r="G301" s="22" t="s">
        <v>16</v>
      </c>
      <c r="H301" s="22" t="s">
        <v>15</v>
      </c>
      <c r="I301" s="22" t="s">
        <v>371</v>
      </c>
      <c r="J301" s="22"/>
      <c r="K301" s="22"/>
      <c r="L301" s="22"/>
      <c r="M301" s="22"/>
      <c r="N301" s="22"/>
    </row>
    <row r="302" spans="1:14">
      <c r="A302" s="22" t="s">
        <v>372</v>
      </c>
      <c r="C302" s="22">
        <v>1.0100000000000001E-6</v>
      </c>
      <c r="D302" s="22" t="s">
        <v>13</v>
      </c>
      <c r="E302" s="26" t="s">
        <v>83</v>
      </c>
      <c r="F302" s="22"/>
      <c r="G302" s="22" t="s">
        <v>373</v>
      </c>
      <c r="H302" s="22" t="s">
        <v>15</v>
      </c>
      <c r="I302" s="22" t="s">
        <v>366</v>
      </c>
      <c r="J302" s="22"/>
      <c r="K302" s="22"/>
      <c r="L302" s="22"/>
      <c r="M302" s="22"/>
      <c r="N302" s="22"/>
    </row>
    <row r="303" spans="1:14">
      <c r="A303" s="22" t="s">
        <v>374</v>
      </c>
      <c r="C303" s="22">
        <v>6.1399999999999997E-7</v>
      </c>
      <c r="D303" s="22" t="s">
        <v>13</v>
      </c>
      <c r="E303" s="26" t="s">
        <v>83</v>
      </c>
      <c r="F303" s="22"/>
      <c r="G303" s="22" t="s">
        <v>373</v>
      </c>
      <c r="H303" s="22" t="s">
        <v>15</v>
      </c>
      <c r="I303" s="22" t="s">
        <v>366</v>
      </c>
      <c r="J303" s="22"/>
      <c r="K303" s="22"/>
      <c r="L303" s="22"/>
      <c r="M303" s="22"/>
      <c r="N303" s="22"/>
    </row>
    <row r="304" spans="1:14">
      <c r="A304" s="22" t="s">
        <v>375</v>
      </c>
      <c r="C304" s="22">
        <v>4.8099999999999997E-9</v>
      </c>
      <c r="D304" s="22" t="s">
        <v>13</v>
      </c>
      <c r="E304" s="26" t="s">
        <v>83</v>
      </c>
      <c r="F304" s="22"/>
      <c r="G304" s="22" t="s">
        <v>373</v>
      </c>
      <c r="H304" s="22" t="s">
        <v>15</v>
      </c>
      <c r="I304" s="22" t="s">
        <v>366</v>
      </c>
      <c r="J304" s="22"/>
      <c r="K304" s="22"/>
      <c r="L304" s="22"/>
      <c r="M304" s="22"/>
      <c r="N304" s="22"/>
    </row>
    <row r="305" spans="1:14">
      <c r="A305" s="22" t="s">
        <v>376</v>
      </c>
      <c r="C305" s="22">
        <v>6.5000000000000002E-7</v>
      </c>
      <c r="D305" s="22" t="s">
        <v>13</v>
      </c>
      <c r="E305" s="26" t="s">
        <v>83</v>
      </c>
      <c r="F305" s="22"/>
      <c r="G305" s="22" t="s">
        <v>373</v>
      </c>
      <c r="H305" s="22" t="s">
        <v>15</v>
      </c>
      <c r="I305" s="22" t="s">
        <v>366</v>
      </c>
      <c r="J305" s="22"/>
      <c r="K305" s="22"/>
      <c r="L305" s="22"/>
      <c r="M305" s="22"/>
      <c r="N305" s="22"/>
    </row>
    <row r="306" spans="1:14">
      <c r="A306" s="22" t="s">
        <v>377</v>
      </c>
      <c r="C306" s="22">
        <v>-1.5E-6</v>
      </c>
      <c r="D306" s="22" t="s">
        <v>13</v>
      </c>
      <c r="E306" s="26" t="s">
        <v>83</v>
      </c>
      <c r="F306" s="22"/>
      <c r="G306" s="22" t="s">
        <v>373</v>
      </c>
      <c r="H306" s="22" t="s">
        <v>15</v>
      </c>
      <c r="I306" s="22" t="s">
        <v>366</v>
      </c>
      <c r="J306" s="22"/>
      <c r="K306" s="22"/>
      <c r="L306" s="22"/>
      <c r="M306" s="22"/>
      <c r="N306" s="22"/>
    </row>
    <row r="307" spans="1:14">
      <c r="A307" s="22" t="s">
        <v>378</v>
      </c>
      <c r="C307" s="22">
        <v>1.1999999999999999E-7</v>
      </c>
      <c r="D307" s="22" t="s">
        <v>13</v>
      </c>
      <c r="E307" s="26" t="s">
        <v>83</v>
      </c>
      <c r="F307" s="22"/>
      <c r="G307" s="22" t="s">
        <v>373</v>
      </c>
      <c r="H307" s="22" t="s">
        <v>15</v>
      </c>
      <c r="I307" s="22" t="s">
        <v>366</v>
      </c>
      <c r="J307" s="22"/>
      <c r="K307" s="22"/>
      <c r="L307" s="22"/>
      <c r="M307" s="22"/>
      <c r="N307" s="22"/>
    </row>
    <row r="308" spans="1:14">
      <c r="A308" s="22" t="s">
        <v>379</v>
      </c>
      <c r="C308" s="22">
        <v>2.48E-6</v>
      </c>
      <c r="D308" s="22" t="s">
        <v>13</v>
      </c>
      <c r="E308" s="26" t="s">
        <v>83</v>
      </c>
      <c r="F308" s="22"/>
      <c r="G308" s="22" t="s">
        <v>373</v>
      </c>
      <c r="H308" s="22" t="s">
        <v>15</v>
      </c>
      <c r="I308" s="22" t="s">
        <v>366</v>
      </c>
      <c r="J308" s="22"/>
      <c r="K308" s="22"/>
      <c r="L308" s="22"/>
      <c r="M308" s="22"/>
      <c r="N308" s="22"/>
    </row>
    <row r="309" spans="1:14">
      <c r="A309" s="22" t="s">
        <v>380</v>
      </c>
      <c r="C309" s="22">
        <v>1.08E-7</v>
      </c>
      <c r="D309" s="22" t="s">
        <v>13</v>
      </c>
      <c r="E309" s="26" t="s">
        <v>83</v>
      </c>
      <c r="F309" s="22"/>
      <c r="G309" s="22" t="s">
        <v>373</v>
      </c>
      <c r="H309" s="22" t="s">
        <v>15</v>
      </c>
      <c r="I309" s="22" t="s">
        <v>366</v>
      </c>
      <c r="J309" s="22"/>
      <c r="K309" s="22"/>
      <c r="L309" s="22"/>
      <c r="M309" s="22"/>
      <c r="N309" s="22"/>
    </row>
    <row r="310" spans="1:14">
      <c r="A310" s="22" t="s">
        <v>381</v>
      </c>
      <c r="C310" s="22">
        <v>1.0100000000000001E-6</v>
      </c>
      <c r="D310" s="22" t="s">
        <v>13</v>
      </c>
      <c r="E310" s="26" t="s">
        <v>83</v>
      </c>
      <c r="F310" s="22"/>
      <c r="G310" s="22" t="s">
        <v>373</v>
      </c>
      <c r="H310" s="22" t="s">
        <v>15</v>
      </c>
      <c r="I310" s="22" t="s">
        <v>366</v>
      </c>
      <c r="J310" s="22"/>
      <c r="K310" s="22"/>
      <c r="L310" s="22"/>
      <c r="M310" s="22"/>
      <c r="N310" s="22"/>
    </row>
    <row r="311" spans="1:14">
      <c r="A311" s="22" t="s">
        <v>382</v>
      </c>
      <c r="C311" s="22">
        <v>2.4100000000000001E-8</v>
      </c>
      <c r="D311" s="22" t="s">
        <v>13</v>
      </c>
      <c r="E311" s="26" t="s">
        <v>83</v>
      </c>
      <c r="F311" s="22"/>
      <c r="G311" s="22" t="s">
        <v>373</v>
      </c>
      <c r="H311" s="22" t="s">
        <v>15</v>
      </c>
      <c r="I311" s="22" t="s">
        <v>366</v>
      </c>
      <c r="J311" s="22"/>
      <c r="K311" s="22"/>
      <c r="L311" s="22"/>
      <c r="M311" s="22"/>
      <c r="N311" s="22"/>
    </row>
    <row r="312" spans="1:14">
      <c r="A312" s="22" t="s">
        <v>383</v>
      </c>
      <c r="C312" s="22">
        <v>-3.2899999999999999E-7</v>
      </c>
      <c r="D312" s="22" t="s">
        <v>13</v>
      </c>
      <c r="E312" s="26" t="s">
        <v>83</v>
      </c>
      <c r="F312" s="22"/>
      <c r="G312" s="22" t="s">
        <v>373</v>
      </c>
      <c r="H312" s="22" t="s">
        <v>15</v>
      </c>
      <c r="I312" s="22" t="s">
        <v>366</v>
      </c>
      <c r="J312" s="22"/>
      <c r="K312" s="22"/>
      <c r="L312" s="22"/>
      <c r="M312" s="22"/>
      <c r="N312" s="22"/>
    </row>
    <row r="313" spans="1:14">
      <c r="A313" s="22" t="s">
        <v>384</v>
      </c>
      <c r="C313" s="22">
        <v>7.9400000000000004E-7</v>
      </c>
      <c r="D313" s="22" t="s">
        <v>13</v>
      </c>
      <c r="E313" s="26" t="s">
        <v>83</v>
      </c>
      <c r="F313" s="22"/>
      <c r="G313" s="22" t="s">
        <v>373</v>
      </c>
      <c r="H313" s="22" t="s">
        <v>15</v>
      </c>
      <c r="I313" s="22" t="s">
        <v>366</v>
      </c>
      <c r="J313" s="22"/>
      <c r="K313" s="22"/>
      <c r="L313" s="22"/>
      <c r="M313" s="22"/>
      <c r="N313" s="22"/>
    </row>
    <row r="314" spans="1:14">
      <c r="A314" s="22" t="s">
        <v>385</v>
      </c>
      <c r="C314" s="22">
        <v>4.1400000000000002E-6</v>
      </c>
      <c r="D314" s="22" t="s">
        <v>13</v>
      </c>
      <c r="E314" s="26" t="s">
        <v>83</v>
      </c>
      <c r="F314" s="22"/>
      <c r="G314" s="22" t="s">
        <v>373</v>
      </c>
      <c r="H314" s="22" t="s">
        <v>15</v>
      </c>
      <c r="I314" s="22" t="s">
        <v>366</v>
      </c>
      <c r="J314" s="22"/>
      <c r="K314" s="22"/>
      <c r="L314" s="22"/>
      <c r="M314" s="22"/>
      <c r="N314" s="22"/>
    </row>
    <row r="315" spans="1:14">
      <c r="A315" s="22" t="s">
        <v>386</v>
      </c>
      <c r="C315" s="22">
        <v>5.0500000000000002E-8</v>
      </c>
      <c r="D315" s="22" t="s">
        <v>13</v>
      </c>
      <c r="E315" s="26" t="s">
        <v>83</v>
      </c>
      <c r="F315" s="22"/>
      <c r="G315" s="22" t="s">
        <v>373</v>
      </c>
      <c r="H315" s="22" t="s">
        <v>15</v>
      </c>
      <c r="I315" s="22" t="s">
        <v>366</v>
      </c>
      <c r="J315" s="22"/>
      <c r="K315" s="22"/>
      <c r="L315" s="22"/>
      <c r="M315" s="22"/>
      <c r="N315" s="22"/>
    </row>
    <row r="316" spans="1:14">
      <c r="A316" s="22" t="s">
        <v>387</v>
      </c>
      <c r="C316" s="22">
        <v>-5.9000000000000003E-6</v>
      </c>
      <c r="D316" s="22" t="s">
        <v>13</v>
      </c>
      <c r="E316" s="26" t="s">
        <v>83</v>
      </c>
      <c r="F316" s="22"/>
      <c r="G316" s="22" t="s">
        <v>373</v>
      </c>
      <c r="H316" s="22" t="s">
        <v>15</v>
      </c>
      <c r="I316" s="22" t="s">
        <v>366</v>
      </c>
      <c r="J316" s="22"/>
      <c r="K316" s="22"/>
      <c r="L316" s="22"/>
      <c r="M316" s="22"/>
      <c r="N316" s="22"/>
    </row>
    <row r="317" spans="1:14">
      <c r="A317" s="22" t="s">
        <v>388</v>
      </c>
      <c r="C317" s="22">
        <v>1.5600000000000001E-6</v>
      </c>
      <c r="D317" s="22" t="s">
        <v>13</v>
      </c>
      <c r="E317" s="26" t="s">
        <v>83</v>
      </c>
      <c r="F317" s="22"/>
      <c r="G317" s="22" t="s">
        <v>373</v>
      </c>
      <c r="H317" s="22" t="s">
        <v>15</v>
      </c>
      <c r="I317" s="22" t="s">
        <v>366</v>
      </c>
      <c r="J317" s="22"/>
      <c r="K317" s="22"/>
      <c r="L317" s="22"/>
      <c r="M317" s="22"/>
      <c r="N317" s="22"/>
    </row>
    <row r="318" spans="1:14">
      <c r="A318" s="22" t="s">
        <v>389</v>
      </c>
      <c r="C318" s="22">
        <v>2.7E-6</v>
      </c>
      <c r="D318" s="22" t="s">
        <v>13</v>
      </c>
      <c r="E318" s="26" t="s">
        <v>83</v>
      </c>
      <c r="F318" s="22"/>
      <c r="G318" s="22" t="s">
        <v>373</v>
      </c>
      <c r="H318" s="22" t="s">
        <v>15</v>
      </c>
      <c r="I318" s="22" t="s">
        <v>366</v>
      </c>
      <c r="J318" s="22"/>
      <c r="K318" s="22"/>
      <c r="L318" s="22"/>
      <c r="M318" s="22"/>
      <c r="N318" s="22"/>
    </row>
    <row r="319" spans="1:14">
      <c r="A319" s="22" t="s">
        <v>390</v>
      </c>
      <c r="C319" s="22">
        <v>4.4500000000000001E-8</v>
      </c>
      <c r="D319" s="22" t="s">
        <v>13</v>
      </c>
      <c r="E319" s="26" t="s">
        <v>83</v>
      </c>
      <c r="F319" s="22"/>
      <c r="G319" s="22" t="s">
        <v>373</v>
      </c>
      <c r="H319" s="22" t="s">
        <v>15</v>
      </c>
      <c r="I319" s="22" t="s">
        <v>366</v>
      </c>
      <c r="J319" s="22"/>
      <c r="K319" s="22"/>
      <c r="L319" s="22"/>
      <c r="M319" s="22"/>
      <c r="N319" s="22"/>
    </row>
    <row r="320" spans="1:14">
      <c r="A320" s="22" t="s">
        <v>391</v>
      </c>
      <c r="C320" s="22">
        <v>3.6099999999999999E-8</v>
      </c>
      <c r="D320" s="22" t="s">
        <v>13</v>
      </c>
      <c r="E320" s="26" t="s">
        <v>83</v>
      </c>
      <c r="F320" s="22"/>
      <c r="G320" s="22" t="s">
        <v>373</v>
      </c>
      <c r="H320" s="22" t="s">
        <v>15</v>
      </c>
      <c r="I320" s="22" t="s">
        <v>366</v>
      </c>
      <c r="J320" s="22"/>
      <c r="K320" s="22"/>
      <c r="L320" s="22"/>
      <c r="M320" s="22"/>
      <c r="N320" s="22"/>
    </row>
    <row r="321" spans="1:14">
      <c r="A321" s="22" t="s">
        <v>392</v>
      </c>
      <c r="C321" s="22">
        <v>2.17E-7</v>
      </c>
      <c r="D321" s="22" t="s">
        <v>13</v>
      </c>
      <c r="E321" s="26" t="s">
        <v>83</v>
      </c>
      <c r="F321" s="22"/>
      <c r="G321" s="22" t="s">
        <v>373</v>
      </c>
      <c r="H321" s="22" t="s">
        <v>15</v>
      </c>
      <c r="I321" s="22" t="s">
        <v>366</v>
      </c>
      <c r="J321" s="22"/>
      <c r="K321" s="22"/>
      <c r="L321" s="22"/>
      <c r="M321" s="22"/>
      <c r="N321" s="22"/>
    </row>
    <row r="322" spans="1:14">
      <c r="A322" s="22" t="s">
        <v>393</v>
      </c>
      <c r="C322" s="22">
        <v>-1.88E-8</v>
      </c>
      <c r="D322" s="22" t="s">
        <v>13</v>
      </c>
      <c r="E322" s="26" t="s">
        <v>83</v>
      </c>
      <c r="F322" s="22"/>
      <c r="G322" s="22" t="s">
        <v>373</v>
      </c>
      <c r="H322" s="22" t="s">
        <v>15</v>
      </c>
      <c r="I322" s="22" t="s">
        <v>366</v>
      </c>
      <c r="J322" s="22"/>
      <c r="K322" s="22"/>
      <c r="L322" s="22"/>
      <c r="M322" s="22"/>
      <c r="N322" s="22"/>
    </row>
    <row r="323" spans="1:14">
      <c r="A323" s="22" t="s">
        <v>394</v>
      </c>
      <c r="C323" s="22">
        <v>4.2899999999999999E-5</v>
      </c>
      <c r="D323" s="22" t="s">
        <v>13</v>
      </c>
      <c r="E323" s="26" t="s">
        <v>83</v>
      </c>
      <c r="F323" s="22"/>
      <c r="G323" s="22" t="s">
        <v>373</v>
      </c>
      <c r="H323" s="22" t="s">
        <v>15</v>
      </c>
      <c r="I323" s="22" t="s">
        <v>366</v>
      </c>
      <c r="J323" s="22"/>
      <c r="K323" s="22"/>
      <c r="L323" s="22"/>
      <c r="M323" s="22"/>
      <c r="N323" s="22"/>
    </row>
    <row r="324" spans="1:14">
      <c r="A324" s="22" t="s">
        <v>395</v>
      </c>
      <c r="C324" s="22">
        <v>9.2499999999999999E-5</v>
      </c>
      <c r="D324" s="22" t="s">
        <v>13</v>
      </c>
      <c r="E324" s="26" t="s">
        <v>83</v>
      </c>
      <c r="F324" s="22"/>
      <c r="G324" s="22" t="s">
        <v>373</v>
      </c>
      <c r="H324" s="22" t="s">
        <v>15</v>
      </c>
      <c r="I324" s="22" t="s">
        <v>366</v>
      </c>
      <c r="J324" s="22"/>
      <c r="K324" s="22"/>
      <c r="L324" s="22"/>
      <c r="M324" s="22"/>
      <c r="N324" s="22"/>
    </row>
    <row r="325" spans="1:14">
      <c r="A325" s="22" t="s">
        <v>396</v>
      </c>
      <c r="C325" s="22">
        <v>5.0300000000000001E-6</v>
      </c>
      <c r="D325" s="22" t="s">
        <v>13</v>
      </c>
      <c r="E325" s="26" t="s">
        <v>83</v>
      </c>
      <c r="F325" s="22"/>
      <c r="G325" s="22" t="s">
        <v>373</v>
      </c>
      <c r="H325" s="22" t="s">
        <v>15</v>
      </c>
      <c r="I325" s="22" t="s">
        <v>366</v>
      </c>
      <c r="J325" s="22"/>
      <c r="K325" s="22"/>
      <c r="L325" s="22"/>
      <c r="M325" s="22"/>
      <c r="N325" s="22"/>
    </row>
    <row r="326" spans="1:14">
      <c r="A326" s="22" t="s">
        <v>397</v>
      </c>
      <c r="C326" s="22">
        <v>2.43E-6</v>
      </c>
      <c r="D326" s="22" t="s">
        <v>13</v>
      </c>
      <c r="E326" s="26" t="s">
        <v>83</v>
      </c>
      <c r="F326" s="22"/>
      <c r="G326" s="22" t="s">
        <v>373</v>
      </c>
      <c r="H326" s="22" t="s">
        <v>15</v>
      </c>
      <c r="I326" s="22" t="s">
        <v>366</v>
      </c>
      <c r="J326" s="22"/>
      <c r="K326" s="22"/>
      <c r="L326" s="22"/>
      <c r="M326" s="22"/>
      <c r="N326" s="22"/>
    </row>
    <row r="327" spans="1:14">
      <c r="A327" s="22" t="s">
        <v>398</v>
      </c>
      <c r="C327" s="22">
        <v>1.73E-6</v>
      </c>
      <c r="D327" s="22" t="s">
        <v>13</v>
      </c>
      <c r="E327" s="26" t="s">
        <v>83</v>
      </c>
      <c r="F327" s="22"/>
      <c r="G327" s="22" t="s">
        <v>373</v>
      </c>
      <c r="H327" s="22" t="s">
        <v>15</v>
      </c>
      <c r="I327" s="22" t="s">
        <v>366</v>
      </c>
      <c r="J327" s="22"/>
      <c r="K327" s="22"/>
      <c r="L327" s="22"/>
      <c r="M327" s="22"/>
      <c r="N327" s="22"/>
    </row>
    <row r="328" spans="1:14">
      <c r="A328" s="22" t="s">
        <v>399</v>
      </c>
      <c r="C328" s="22">
        <v>2.8900000000000001E-7</v>
      </c>
      <c r="D328" s="22" t="s">
        <v>13</v>
      </c>
      <c r="E328" s="26" t="s">
        <v>83</v>
      </c>
      <c r="F328" s="22"/>
      <c r="G328" s="22" t="s">
        <v>373</v>
      </c>
      <c r="H328" s="22" t="s">
        <v>15</v>
      </c>
      <c r="I328" s="22" t="s">
        <v>366</v>
      </c>
      <c r="J328" s="22"/>
      <c r="K328" s="22"/>
      <c r="L328" s="22"/>
      <c r="M328" s="22"/>
      <c r="N328" s="22"/>
    </row>
    <row r="329" spans="1:14">
      <c r="A329" s="22" t="s">
        <v>400</v>
      </c>
      <c r="C329" s="22">
        <v>1.9700000000000001E-5</v>
      </c>
      <c r="D329" s="22" t="s">
        <v>13</v>
      </c>
      <c r="E329" s="26" t="s">
        <v>83</v>
      </c>
      <c r="F329" s="22"/>
      <c r="G329" s="22" t="s">
        <v>373</v>
      </c>
      <c r="H329" s="22" t="s">
        <v>15</v>
      </c>
      <c r="I329" s="22" t="s">
        <v>366</v>
      </c>
      <c r="J329" s="22"/>
      <c r="K329" s="22"/>
      <c r="L329" s="22"/>
      <c r="M329" s="22"/>
      <c r="N329" s="22"/>
    </row>
    <row r="330" spans="1:14">
      <c r="A330" s="22" t="s">
        <v>401</v>
      </c>
      <c r="C330" s="22">
        <v>1.19E-6</v>
      </c>
      <c r="D330" s="22" t="s">
        <v>13</v>
      </c>
      <c r="E330" s="26" t="s">
        <v>83</v>
      </c>
      <c r="F330" s="22"/>
      <c r="G330" s="22" t="s">
        <v>373</v>
      </c>
      <c r="H330" s="22" t="s">
        <v>15</v>
      </c>
      <c r="I330" s="22" t="s">
        <v>366</v>
      </c>
      <c r="J330" s="22"/>
      <c r="K330" s="22"/>
      <c r="L330" s="22"/>
      <c r="M330" s="22"/>
      <c r="N330" s="22"/>
    </row>
    <row r="331" spans="1:14">
      <c r="A331" s="22" t="s">
        <v>402</v>
      </c>
      <c r="C331" s="22">
        <v>1.9299999999999999E-7</v>
      </c>
      <c r="D331" s="22" t="s">
        <v>13</v>
      </c>
      <c r="E331" s="26" t="s">
        <v>83</v>
      </c>
      <c r="F331" s="22"/>
      <c r="G331" s="22" t="s">
        <v>373</v>
      </c>
      <c r="H331" s="22" t="s">
        <v>15</v>
      </c>
      <c r="I331" s="22" t="s">
        <v>366</v>
      </c>
      <c r="J331" s="22"/>
      <c r="K331" s="22"/>
      <c r="L331" s="22"/>
      <c r="M331" s="22"/>
      <c r="N331" s="22"/>
    </row>
    <row r="332" spans="1:14">
      <c r="A332" s="22" t="s">
        <v>403</v>
      </c>
      <c r="C332" s="22">
        <v>3.0400000000000001E-6</v>
      </c>
      <c r="D332" s="22" t="s">
        <v>13</v>
      </c>
      <c r="E332" s="26" t="s">
        <v>83</v>
      </c>
      <c r="F332" s="22"/>
      <c r="G332" s="22" t="s">
        <v>373</v>
      </c>
      <c r="H332" s="22" t="s">
        <v>15</v>
      </c>
      <c r="I332" s="22" t="s">
        <v>366</v>
      </c>
      <c r="J332" s="22"/>
      <c r="K332" s="22"/>
      <c r="L332" s="22"/>
      <c r="M332" s="22"/>
      <c r="N332" s="22"/>
    </row>
    <row r="333" spans="1:14">
      <c r="A333" s="22" t="s">
        <v>404</v>
      </c>
      <c r="C333" s="22">
        <v>4.8099999999999997E-6</v>
      </c>
      <c r="D333" s="22" t="s">
        <v>13</v>
      </c>
      <c r="E333" s="26" t="s">
        <v>83</v>
      </c>
      <c r="F333" s="22"/>
      <c r="G333" s="22" t="s">
        <v>373</v>
      </c>
      <c r="H333" s="22" t="s">
        <v>15</v>
      </c>
      <c r="I333" s="22" t="s">
        <v>366</v>
      </c>
      <c r="J333" s="22"/>
      <c r="K333" s="22"/>
      <c r="L333" s="22"/>
      <c r="M333" s="22"/>
      <c r="N333" s="22"/>
    </row>
    <row r="334" spans="1:14">
      <c r="A334" s="22" t="s">
        <v>405</v>
      </c>
      <c r="C334" s="22">
        <v>5.94E-5</v>
      </c>
      <c r="D334" s="22" t="s">
        <v>13</v>
      </c>
      <c r="E334" s="26" t="s">
        <v>83</v>
      </c>
      <c r="F334" s="22"/>
      <c r="G334" s="22" t="s">
        <v>373</v>
      </c>
      <c r="H334" s="22" t="s">
        <v>15</v>
      </c>
      <c r="I334" s="22" t="s">
        <v>366</v>
      </c>
      <c r="J334" s="22"/>
      <c r="K334" s="22"/>
      <c r="L334" s="22"/>
      <c r="M334" s="22"/>
      <c r="N334" s="22"/>
    </row>
    <row r="335" spans="1:14">
      <c r="A335" s="22" t="s">
        <v>406</v>
      </c>
      <c r="C335" s="22">
        <v>3.3700000000000001E-7</v>
      </c>
      <c r="D335" s="22" t="s">
        <v>13</v>
      </c>
      <c r="E335" s="26" t="s">
        <v>83</v>
      </c>
      <c r="F335" s="22"/>
      <c r="G335" s="22" t="s">
        <v>373</v>
      </c>
      <c r="H335" s="22" t="s">
        <v>15</v>
      </c>
      <c r="I335" s="22" t="s">
        <v>366</v>
      </c>
      <c r="J335" s="22"/>
      <c r="K335" s="22"/>
      <c r="L335" s="22"/>
      <c r="M335" s="22"/>
      <c r="N335" s="22"/>
    </row>
    <row r="336" spans="1:14">
      <c r="A336" s="22" t="s">
        <v>407</v>
      </c>
      <c r="C336" s="22">
        <v>1.6800000000000002E-8</v>
      </c>
      <c r="D336" s="22" t="s">
        <v>13</v>
      </c>
      <c r="E336" s="26" t="s">
        <v>83</v>
      </c>
      <c r="F336" s="22"/>
      <c r="G336" s="22" t="s">
        <v>373</v>
      </c>
      <c r="H336" s="22" t="s">
        <v>15</v>
      </c>
      <c r="I336" s="22" t="s">
        <v>366</v>
      </c>
      <c r="J336" s="22"/>
      <c r="K336" s="22"/>
      <c r="L336" s="22"/>
      <c r="M336" s="22"/>
      <c r="N336" s="22"/>
    </row>
    <row r="337" spans="1:34">
      <c r="A337" s="22" t="s">
        <v>408</v>
      </c>
      <c r="C337" s="22">
        <v>5.7800000000000001E-7</v>
      </c>
      <c r="D337" s="22" t="s">
        <v>13</v>
      </c>
      <c r="E337" s="26" t="s">
        <v>83</v>
      </c>
      <c r="F337" s="22"/>
      <c r="G337" s="22" t="s">
        <v>373</v>
      </c>
      <c r="H337" s="22" t="s">
        <v>15</v>
      </c>
      <c r="I337" s="22" t="s">
        <v>366</v>
      </c>
      <c r="J337" s="22"/>
      <c r="K337" s="22"/>
      <c r="L337" s="22"/>
      <c r="M337" s="22"/>
      <c r="N337" s="22"/>
    </row>
    <row r="338" spans="1:34">
      <c r="A338" s="22" t="s">
        <v>409</v>
      </c>
      <c r="C338" s="22">
        <v>2.1699999999999999E-8</v>
      </c>
      <c r="D338" s="22" t="s">
        <v>13</v>
      </c>
      <c r="E338" s="26" t="s">
        <v>83</v>
      </c>
      <c r="F338" s="22"/>
      <c r="G338" s="22" t="s">
        <v>373</v>
      </c>
      <c r="H338" s="22" t="s">
        <v>15</v>
      </c>
      <c r="I338" s="22" t="s">
        <v>366</v>
      </c>
      <c r="J338" s="22"/>
      <c r="K338" s="22"/>
      <c r="L338" s="22"/>
      <c r="M338" s="22"/>
      <c r="N338" s="22"/>
    </row>
    <row r="339" spans="1:34">
      <c r="A339" s="22" t="s">
        <v>410</v>
      </c>
      <c r="C339" s="22">
        <v>3.6099999999999999E-8</v>
      </c>
      <c r="D339" s="22" t="s">
        <v>13</v>
      </c>
      <c r="E339" s="26" t="s">
        <v>83</v>
      </c>
      <c r="F339" s="22"/>
      <c r="G339" s="22" t="s">
        <v>373</v>
      </c>
      <c r="H339" s="22" t="s">
        <v>15</v>
      </c>
      <c r="I339" s="22" t="s">
        <v>366</v>
      </c>
      <c r="J339" s="22"/>
      <c r="K339" s="22"/>
      <c r="L339" s="22"/>
      <c r="M339" s="22"/>
      <c r="N339" s="22"/>
    </row>
    <row r="340" spans="1:34">
      <c r="A340" s="22" t="s">
        <v>411</v>
      </c>
      <c r="C340" s="22">
        <v>2.65E-7</v>
      </c>
      <c r="D340" s="22" t="s">
        <v>13</v>
      </c>
      <c r="E340" s="26" t="s">
        <v>83</v>
      </c>
      <c r="F340" s="22"/>
      <c r="G340" s="22" t="s">
        <v>373</v>
      </c>
      <c r="H340" s="22" t="s">
        <v>15</v>
      </c>
      <c r="I340" s="22" t="s">
        <v>366</v>
      </c>
      <c r="J340" s="22"/>
      <c r="K340" s="22"/>
      <c r="L340" s="22"/>
      <c r="M340" s="22"/>
      <c r="N340" s="22"/>
    </row>
    <row r="341" spans="1:34">
      <c r="A341" s="22" t="s">
        <v>412</v>
      </c>
      <c r="C341" s="22">
        <v>1.1999999999999999E-7</v>
      </c>
      <c r="D341" s="22" t="s">
        <v>13</v>
      </c>
      <c r="E341" s="26" t="s">
        <v>83</v>
      </c>
      <c r="F341" s="22"/>
      <c r="G341" s="22" t="s">
        <v>373</v>
      </c>
      <c r="H341" s="22" t="s">
        <v>15</v>
      </c>
      <c r="I341" s="22" t="s">
        <v>366</v>
      </c>
      <c r="J341" s="22"/>
      <c r="K341" s="22"/>
      <c r="L341" s="22"/>
      <c r="M341" s="22"/>
      <c r="N341" s="22"/>
    </row>
    <row r="342" spans="1:34">
      <c r="A342" s="22" t="s">
        <v>413</v>
      </c>
      <c r="C342" s="22">
        <v>2.6399999999999998E-7</v>
      </c>
      <c r="D342" s="22" t="s">
        <v>13</v>
      </c>
      <c r="E342" s="26" t="s">
        <v>83</v>
      </c>
      <c r="F342" s="22"/>
      <c r="G342" s="22" t="s">
        <v>373</v>
      </c>
      <c r="H342" s="22" t="s">
        <v>15</v>
      </c>
      <c r="I342" s="22" t="s">
        <v>366</v>
      </c>
      <c r="J342" s="22"/>
      <c r="K342" s="22"/>
      <c r="L342" s="22"/>
      <c r="M342" s="22"/>
      <c r="N342" s="22"/>
    </row>
    <row r="343" spans="1:34">
      <c r="A343" s="22" t="s">
        <v>93</v>
      </c>
      <c r="C343" s="22">
        <v>5.9700000000000003E-2</v>
      </c>
      <c r="D343" s="22" t="s">
        <v>91</v>
      </c>
      <c r="E343" s="26" t="s">
        <v>83</v>
      </c>
      <c r="F343" s="22"/>
      <c r="G343" s="22" t="s">
        <v>167</v>
      </c>
      <c r="H343" s="22" t="s">
        <v>15</v>
      </c>
      <c r="I343" s="22" t="s">
        <v>366</v>
      </c>
      <c r="J343" s="22"/>
      <c r="K343" s="22"/>
      <c r="L343" s="22"/>
      <c r="M343" s="22"/>
      <c r="N343" s="22"/>
    </row>
    <row r="344" spans="1:34">
      <c r="A344" s="22" t="s">
        <v>166</v>
      </c>
      <c r="C344" s="22">
        <v>1.1599999999999999E-2</v>
      </c>
      <c r="D344" s="22" t="s">
        <v>13</v>
      </c>
      <c r="E344" s="26" t="s">
        <v>83</v>
      </c>
      <c r="F344" s="22"/>
      <c r="G344" s="22" t="s">
        <v>167</v>
      </c>
      <c r="H344" s="22" t="s">
        <v>15</v>
      </c>
      <c r="I344" s="22" t="s">
        <v>366</v>
      </c>
      <c r="J344" s="22"/>
      <c r="K344" s="22"/>
      <c r="L344" s="22"/>
      <c r="M344" s="22"/>
      <c r="N344" s="22"/>
    </row>
    <row r="345" spans="1:34">
      <c r="A345" s="22" t="s">
        <v>93</v>
      </c>
      <c r="C345" s="22">
        <v>1.49E-2</v>
      </c>
      <c r="D345" s="22" t="s">
        <v>91</v>
      </c>
      <c r="E345" s="26" t="s">
        <v>83</v>
      </c>
      <c r="F345" s="22"/>
      <c r="G345" s="22" t="s">
        <v>208</v>
      </c>
      <c r="H345" s="22" t="s">
        <v>15</v>
      </c>
      <c r="I345" s="22" t="s">
        <v>366</v>
      </c>
      <c r="J345" s="22"/>
      <c r="K345" s="22"/>
      <c r="L345" s="22"/>
      <c r="M345" s="22"/>
      <c r="N345" s="22"/>
    </row>
    <row r="346" spans="1:34">
      <c r="A346" s="22" t="s">
        <v>414</v>
      </c>
      <c r="C346" s="22">
        <v>9.7499999999999998E-5</v>
      </c>
      <c r="D346" s="22" t="s">
        <v>13</v>
      </c>
      <c r="E346" s="26" t="s">
        <v>83</v>
      </c>
      <c r="F346" s="22"/>
      <c r="G346" s="22" t="s">
        <v>208</v>
      </c>
      <c r="H346" s="22" t="s">
        <v>15</v>
      </c>
      <c r="I346" s="22" t="s">
        <v>366</v>
      </c>
      <c r="J346" s="22"/>
      <c r="K346" s="22"/>
      <c r="L346" s="22"/>
      <c r="M346" s="22"/>
      <c r="N346" s="22"/>
    </row>
    <row r="347" spans="1:34">
      <c r="A347" s="22" t="s">
        <v>415</v>
      </c>
      <c r="C347" s="22">
        <v>7.5100000000000001E-6</v>
      </c>
      <c r="D347" s="22" t="s">
        <v>13</v>
      </c>
      <c r="E347" s="26" t="s">
        <v>83</v>
      </c>
      <c r="F347" s="22"/>
      <c r="G347" s="22" t="s">
        <v>208</v>
      </c>
      <c r="H347" s="22" t="s">
        <v>15</v>
      </c>
      <c r="I347" s="22" t="s">
        <v>366</v>
      </c>
      <c r="J347" s="22"/>
      <c r="K347" s="22"/>
      <c r="L347" s="22"/>
      <c r="M347" s="22"/>
      <c r="N347" s="22"/>
    </row>
    <row r="348" spans="1:34">
      <c r="A348" s="22" t="s">
        <v>416</v>
      </c>
      <c r="C348" s="22">
        <v>0</v>
      </c>
      <c r="D348" s="22" t="s">
        <v>91</v>
      </c>
      <c r="E348" s="26" t="s">
        <v>83</v>
      </c>
      <c r="F348" s="22"/>
      <c r="G348" s="22" t="s">
        <v>92</v>
      </c>
      <c r="H348" s="22" t="s">
        <v>15</v>
      </c>
      <c r="I348" t="s">
        <v>417</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262</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420</v>
      </c>
      <c r="B361" s="22" t="s">
        <v>419</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263</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264</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265</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266</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268</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329</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267</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284</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268</v>
      </c>
      <c r="B428" s="31" t="s">
        <v>267</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270</v>
      </c>
      <c r="B430" s="31" t="s">
        <v>269</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271</v>
      </c>
      <c r="B431" s="31" t="s">
        <v>272</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273</v>
      </c>
      <c r="B432" s="31" t="s">
        <v>274</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277</v>
      </c>
      <c r="B433" s="31" t="s">
        <v>278</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279</v>
      </c>
      <c r="B434" s="31" t="s">
        <v>280</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281</v>
      </c>
      <c r="B435" s="31" t="s">
        <v>282</v>
      </c>
      <c r="C435" s="32">
        <v>0</v>
      </c>
      <c r="D435" s="26" t="s">
        <v>13</v>
      </c>
      <c r="E435" s="31" t="s">
        <v>131</v>
      </c>
      <c r="F435" s="31"/>
      <c r="G435" s="31" t="s">
        <v>96</v>
      </c>
      <c r="H435" s="31" t="s">
        <v>12</v>
      </c>
      <c r="I435" s="31" t="s">
        <v>283</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316</v>
      </c>
      <c r="B436" s="31" t="s">
        <v>317</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273</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267</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275</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273</v>
      </c>
      <c r="B447" s="31" t="s">
        <v>274</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318</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75">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304</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319</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75">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304</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320</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75">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304</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321</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75">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304</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322</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75">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304</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323</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75">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304</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324</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75">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304</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325</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75">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304</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326</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75">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304</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327</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75">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304</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328</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75">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260</v>
      </c>
      <c r="B770" s="31" t="s">
        <v>260</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306</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479</v>
      </c>
      <c r="B821" s="31" t="s">
        <v>259</v>
      </c>
      <c r="C821" s="46">
        <v>0.1764792</v>
      </c>
      <c r="D821" s="26" t="s">
        <v>35</v>
      </c>
      <c r="E821" s="31"/>
      <c r="G821" t="s">
        <v>28</v>
      </c>
      <c r="H821" s="31" t="s">
        <v>12</v>
      </c>
    </row>
    <row r="822" spans="1:9">
      <c r="A822" s="31" t="s">
        <v>34</v>
      </c>
      <c r="B822" s="31" t="s">
        <v>33</v>
      </c>
      <c r="C822" s="53">
        <v>2.47205137945098E-3</v>
      </c>
      <c r="D822" t="s">
        <v>19</v>
      </c>
      <c r="G822" t="s">
        <v>28</v>
      </c>
      <c r="H822" t="s">
        <v>12</v>
      </c>
      <c r="I822" t="s">
        <v>303</v>
      </c>
    </row>
    <row r="823" spans="1:9">
      <c r="A823" t="s">
        <v>138</v>
      </c>
      <c r="B823"/>
      <c r="C823" s="21">
        <v>6.366155912253407E-4</v>
      </c>
      <c r="D823" t="s">
        <v>13</v>
      </c>
      <c r="E823" t="s">
        <v>83</v>
      </c>
      <c r="F823" t="s">
        <v>109</v>
      </c>
      <c r="H823" t="s">
        <v>15</v>
      </c>
      <c r="I823" t="s">
        <v>305</v>
      </c>
    </row>
    <row r="824" spans="1:9">
      <c r="A824" t="s">
        <v>110</v>
      </c>
      <c r="B824"/>
      <c r="C824" s="21">
        <v>7.346844241170861E-3</v>
      </c>
      <c r="D824" t="s">
        <v>13</v>
      </c>
      <c r="E824" t="s">
        <v>83</v>
      </c>
      <c r="F824" t="s">
        <v>109</v>
      </c>
      <c r="H824" t="s">
        <v>15</v>
      </c>
      <c r="I824" t="s">
        <v>305</v>
      </c>
    </row>
    <row r="825" spans="1:9" s="49" customFormat="1">
      <c r="B825" s="50"/>
    </row>
    <row r="826" spans="1:9" s="26" customFormat="1">
      <c r="A826" s="24" t="s">
        <v>1</v>
      </c>
      <c r="B826" s="43" t="s">
        <v>260</v>
      </c>
      <c r="C826" s="25"/>
    </row>
    <row r="827" spans="1:9" s="26" customFormat="1">
      <c r="A827" s="24" t="s">
        <v>11</v>
      </c>
      <c r="B827" s="31" t="s">
        <v>261</v>
      </c>
    </row>
    <row r="828" spans="1:9" s="26" customFormat="1">
      <c r="A828" s="24" t="s">
        <v>2</v>
      </c>
      <c r="B828" s="26" t="s">
        <v>28</v>
      </c>
      <c r="C828" s="25"/>
    </row>
    <row r="829" spans="1:9" s="26" customFormat="1">
      <c r="A829" s="27" t="s">
        <v>4</v>
      </c>
      <c r="B829" s="31" t="s">
        <v>260</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260</v>
      </c>
      <c r="B835" s="31" t="s">
        <v>260</v>
      </c>
      <c r="C835" s="45">
        <v>1</v>
      </c>
      <c r="D835" s="26" t="s">
        <v>6</v>
      </c>
      <c r="E835"/>
      <c r="F835" s="24"/>
      <c r="G835" s="31" t="s">
        <v>28</v>
      </c>
      <c r="H835" t="s">
        <v>18</v>
      </c>
      <c r="I835" s="24"/>
    </row>
    <row r="836" spans="1:9">
      <c r="A836" t="s">
        <v>479</v>
      </c>
      <c r="B836" s="31" t="s">
        <v>259</v>
      </c>
      <c r="C836" s="46">
        <v>0.1764792</v>
      </c>
      <c r="D836" s="26" t="s">
        <v>35</v>
      </c>
      <c r="E836" s="31"/>
      <c r="G836" t="s">
        <v>28</v>
      </c>
      <c r="H836" s="31" t="s">
        <v>12</v>
      </c>
    </row>
    <row r="837" spans="1:9">
      <c r="A837" s="31" t="s">
        <v>34</v>
      </c>
      <c r="B837" s="31" t="s">
        <v>33</v>
      </c>
      <c r="C837" s="53">
        <v>2.5489599999999999E-3</v>
      </c>
      <c r="D837" t="s">
        <v>19</v>
      </c>
      <c r="G837" t="s">
        <v>28</v>
      </c>
      <c r="H837" t="s">
        <v>12</v>
      </c>
      <c r="I837" t="s">
        <v>303</v>
      </c>
    </row>
    <row r="838" spans="1:9">
      <c r="A838" t="s">
        <v>110</v>
      </c>
      <c r="B838"/>
      <c r="C838" s="13">
        <v>7.5754137849407994E-3</v>
      </c>
      <c r="D838" t="s">
        <v>13</v>
      </c>
      <c r="E838" t="s">
        <v>83</v>
      </c>
      <c r="F838" t="s">
        <v>109</v>
      </c>
      <c r="H838" t="s">
        <v>15</v>
      </c>
      <c r="I838" t="s">
        <v>307</v>
      </c>
    </row>
    <row r="839" spans="1:9" s="49" customFormat="1">
      <c r="B839" s="50"/>
    </row>
    <row r="840" spans="1:9">
      <c r="A840" s="24" t="s">
        <v>1</v>
      </c>
      <c r="B840" s="43" t="s">
        <v>285</v>
      </c>
      <c r="C840" s="25"/>
      <c r="D840" s="26"/>
      <c r="E840" s="26"/>
      <c r="F840" s="26"/>
      <c r="G840" s="26"/>
      <c r="H840" s="26"/>
      <c r="I840" s="26"/>
    </row>
    <row r="841" spans="1:9">
      <c r="A841" s="24" t="s">
        <v>11</v>
      </c>
      <c r="B841" s="31" t="s">
        <v>286</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285</v>
      </c>
      <c r="B849" s="31" t="s">
        <v>99</v>
      </c>
      <c r="C849" s="26">
        <v>1</v>
      </c>
      <c r="D849" s="26" t="s">
        <v>91</v>
      </c>
      <c r="F849" s="24"/>
      <c r="G849" s="31" t="s">
        <v>28</v>
      </c>
      <c r="H849" t="s">
        <v>18</v>
      </c>
      <c r="I849" s="24"/>
    </row>
    <row r="850" spans="1:9">
      <c r="A850" t="s">
        <v>287</v>
      </c>
      <c r="B850" s="13" t="s">
        <v>287</v>
      </c>
      <c r="C850" s="41">
        <v>0.1764792</v>
      </c>
      <c r="D850" s="26" t="s">
        <v>35</v>
      </c>
      <c r="G850" t="s">
        <v>28</v>
      </c>
      <c r="H850" t="s">
        <v>12</v>
      </c>
      <c r="I850" t="s">
        <v>296</v>
      </c>
    </row>
    <row r="851" spans="1:9">
      <c r="A851" t="s">
        <v>288</v>
      </c>
      <c r="B851" s="13" t="s">
        <v>99</v>
      </c>
      <c r="C851">
        <v>3.6361999999999998E-2</v>
      </c>
      <c r="D851" s="26" t="s">
        <v>91</v>
      </c>
      <c r="G851" t="s">
        <v>28</v>
      </c>
      <c r="H851" t="s">
        <v>12</v>
      </c>
    </row>
    <row r="852" spans="1:9">
      <c r="A852" t="s">
        <v>289</v>
      </c>
      <c r="B852" s="13" t="s">
        <v>99</v>
      </c>
      <c r="C852">
        <v>6.9374000000000005E-2</v>
      </c>
      <c r="D852" s="26" t="s">
        <v>91</v>
      </c>
      <c r="G852" t="s">
        <v>28</v>
      </c>
      <c r="H852" t="s">
        <v>12</v>
      </c>
    </row>
    <row r="853" spans="1:9">
      <c r="A853" t="s">
        <v>290</v>
      </c>
      <c r="B853" s="13" t="s">
        <v>99</v>
      </c>
      <c r="C853">
        <v>8.3135000000000001E-2</v>
      </c>
      <c r="D853" s="26" t="s">
        <v>91</v>
      </c>
      <c r="G853" t="s">
        <v>28</v>
      </c>
      <c r="H853" t="s">
        <v>12</v>
      </c>
    </row>
    <row r="854" spans="1:9">
      <c r="A854" t="s">
        <v>291</v>
      </c>
      <c r="B854" s="13" t="s">
        <v>99</v>
      </c>
      <c r="C854">
        <v>3.4417999999999997E-2</v>
      </c>
      <c r="D854" s="26" t="s">
        <v>91</v>
      </c>
      <c r="G854" t="s">
        <v>28</v>
      </c>
      <c r="H854" t="s">
        <v>12</v>
      </c>
    </row>
    <row r="855" spans="1:9">
      <c r="A855" t="s">
        <v>292</v>
      </c>
      <c r="B855" s="13" t="s">
        <v>99</v>
      </c>
      <c r="C855">
        <v>0.42777999999999999</v>
      </c>
      <c r="D855" s="26" t="s">
        <v>91</v>
      </c>
      <c r="G855" t="s">
        <v>28</v>
      </c>
      <c r="H855" t="s">
        <v>12</v>
      </c>
    </row>
    <row r="856" spans="1:9">
      <c r="A856" t="s">
        <v>293</v>
      </c>
      <c r="B856" s="13" t="s">
        <v>99</v>
      </c>
      <c r="C856">
        <v>0.29048000000000002</v>
      </c>
      <c r="D856" s="26" t="s">
        <v>91</v>
      </c>
      <c r="G856" t="s">
        <v>28</v>
      </c>
      <c r="H856" t="s">
        <v>12</v>
      </c>
    </row>
    <row r="857" spans="1:9">
      <c r="A857" t="s">
        <v>294</v>
      </c>
      <c r="B857" s="13" t="s">
        <v>99</v>
      </c>
      <c r="C857">
        <v>5.8443000000000002E-2</v>
      </c>
      <c r="D857" s="26" t="s">
        <v>91</v>
      </c>
      <c r="G857" t="s">
        <v>28</v>
      </c>
      <c r="H857" t="s">
        <v>12</v>
      </c>
    </row>
    <row r="858" spans="1:9">
      <c r="A858" t="s">
        <v>84</v>
      </c>
      <c r="C858" s="13">
        <v>6.4625669007360007E-5</v>
      </c>
      <c r="D858" s="26" t="s">
        <v>13</v>
      </c>
      <c r="E858" t="s">
        <v>83</v>
      </c>
      <c r="F858" t="s">
        <v>109</v>
      </c>
      <c r="G858" s="13"/>
      <c r="H858" t="s">
        <v>15</v>
      </c>
      <c r="I858" t="s">
        <v>478</v>
      </c>
    </row>
    <row r="859" spans="1:9">
      <c r="A859" t="s">
        <v>32</v>
      </c>
      <c r="C859" s="13">
        <v>2.3123872191696001E-4</v>
      </c>
      <c r="D859" s="26" t="s">
        <v>13</v>
      </c>
      <c r="E859" t="s">
        <v>83</v>
      </c>
      <c r="F859" t="s">
        <v>109</v>
      </c>
      <c r="G859" s="13"/>
      <c r="H859" t="s">
        <v>15</v>
      </c>
      <c r="I859" t="s">
        <v>478</v>
      </c>
    </row>
    <row r="860" spans="1:9">
      <c r="A860" t="s">
        <v>295</v>
      </c>
      <c r="C860" s="13">
        <v>5.5436706695375997E-4</v>
      </c>
      <c r="D860" s="26" t="s">
        <v>13</v>
      </c>
      <c r="E860" t="s">
        <v>83</v>
      </c>
      <c r="F860" t="s">
        <v>109</v>
      </c>
      <c r="G860" s="13"/>
      <c r="H860" t="s">
        <v>15</v>
      </c>
      <c r="I860" t="s">
        <v>478</v>
      </c>
    </row>
    <row r="861" spans="1:9">
      <c r="A861" t="s">
        <v>86</v>
      </c>
      <c r="C861" s="57">
        <v>6.6938056226529602E-3</v>
      </c>
      <c r="D861" s="26" t="s">
        <v>13</v>
      </c>
      <c r="E861" t="s">
        <v>83</v>
      </c>
      <c r="F861" t="s">
        <v>109</v>
      </c>
      <c r="H861" t="s">
        <v>15</v>
      </c>
      <c r="I861" t="s">
        <v>478</v>
      </c>
    </row>
    <row r="862" spans="1:9">
      <c r="A862" t="s">
        <v>142</v>
      </c>
      <c r="C862" s="13">
        <v>5.0488803912000003E-6</v>
      </c>
      <c r="D862" s="26" t="s">
        <v>13</v>
      </c>
      <c r="E862" t="s">
        <v>83</v>
      </c>
      <c r="F862" t="s">
        <v>109</v>
      </c>
      <c r="G862" s="13"/>
      <c r="H862" t="s">
        <v>15</v>
      </c>
      <c r="I862" t="s">
        <v>478</v>
      </c>
    </row>
    <row r="863" spans="1:9">
      <c r="A863" t="s">
        <v>88</v>
      </c>
      <c r="C863" s="13">
        <v>1.2521223370175999E-4</v>
      </c>
      <c r="D863" s="26" t="s">
        <v>13</v>
      </c>
      <c r="E863" t="s">
        <v>83</v>
      </c>
      <c r="F863" t="s">
        <v>109</v>
      </c>
      <c r="G863" s="13"/>
      <c r="H863" t="s">
        <v>15</v>
      </c>
      <c r="I863" t="s">
        <v>478</v>
      </c>
    </row>
    <row r="864" spans="1:9">
      <c r="A864" s="49"/>
      <c r="B864" s="50"/>
      <c r="C864" s="49"/>
      <c r="D864" s="49"/>
      <c r="E864" s="49"/>
      <c r="F864" s="49"/>
      <c r="G864" s="49"/>
      <c r="H864" s="49"/>
      <c r="I864" s="49"/>
    </row>
    <row r="865" spans="1:9">
      <c r="A865" s="24" t="s">
        <v>1</v>
      </c>
      <c r="B865" s="43" t="s">
        <v>301</v>
      </c>
      <c r="C865" s="25"/>
      <c r="D865" s="26"/>
      <c r="E865" s="26"/>
      <c r="F865" s="26"/>
      <c r="G865" s="26"/>
      <c r="H865" s="26"/>
      <c r="I865" s="26"/>
    </row>
    <row r="866" spans="1:9">
      <c r="A866" s="24" t="s">
        <v>11</v>
      </c>
      <c r="B866" s="31" t="s">
        <v>300</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302</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298</v>
      </c>
      <c r="B874" s="31" t="s">
        <v>170</v>
      </c>
      <c r="C874" s="26">
        <v>1</v>
      </c>
      <c r="D874" s="26" t="s">
        <v>91</v>
      </c>
      <c r="F874" s="24"/>
      <c r="G874" s="31" t="s">
        <v>28</v>
      </c>
      <c r="H874" t="s">
        <v>18</v>
      </c>
      <c r="I874" s="24"/>
    </row>
    <row r="875" spans="1:9">
      <c r="A875" t="s">
        <v>299</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421</v>
      </c>
      <c r="C877" s="25"/>
      <c r="D877" s="26"/>
      <c r="E877" s="26"/>
      <c r="F877" s="26"/>
      <c r="G877" s="26"/>
      <c r="H877" s="26"/>
      <c r="I877" s="26"/>
    </row>
    <row r="878" spans="1:9">
      <c r="A878" s="24" t="s">
        <v>11</v>
      </c>
      <c r="B878" s="31" t="s">
        <v>422</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424</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s="51" t="s">
        <v>423</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43" t="s">
        <v>421</v>
      </c>
      <c r="B886" s="31" t="s">
        <v>424</v>
      </c>
      <c r="C886" s="26">
        <v>1</v>
      </c>
      <c r="D886" s="26" t="s">
        <v>423</v>
      </c>
      <c r="F886" s="24"/>
      <c r="G886" s="31" t="s">
        <v>28</v>
      </c>
      <c r="H886" t="s">
        <v>18</v>
      </c>
      <c r="I886" s="24"/>
    </row>
    <row r="887" spans="1:10">
      <c r="A887" s="49"/>
      <c r="B887" s="50"/>
      <c r="C887" s="49"/>
      <c r="D887" s="49"/>
      <c r="E887" s="49"/>
      <c r="F887" s="49"/>
      <c r="G887" s="49"/>
      <c r="H887" s="49"/>
      <c r="I887" s="49"/>
    </row>
    <row r="888" spans="1:10" ht="15.75">
      <c r="A888" s="18" t="s">
        <v>1</v>
      </c>
      <c r="B888" s="43" t="s">
        <v>426</v>
      </c>
    </row>
    <row r="889" spans="1:10">
      <c r="A889" s="24" t="s">
        <v>2</v>
      </c>
      <c r="B889" s="26" t="s">
        <v>28</v>
      </c>
      <c r="H889" s="55"/>
    </row>
    <row r="890" spans="1:10">
      <c r="A890" s="24" t="s">
        <v>3</v>
      </c>
      <c r="B890">
        <v>1</v>
      </c>
      <c r="F890" s="13"/>
      <c r="H890" s="13"/>
    </row>
    <row r="891" spans="1:10">
      <c r="A891" s="24" t="s">
        <v>4</v>
      </c>
      <c r="B891" t="s">
        <v>427</v>
      </c>
      <c r="F891" s="13"/>
      <c r="J891" s="56"/>
    </row>
    <row r="892" spans="1:10">
      <c r="A892" s="24" t="s">
        <v>5</v>
      </c>
      <c r="B892" t="s">
        <v>59</v>
      </c>
      <c r="F892" s="20"/>
    </row>
    <row r="893" spans="1:10">
      <c r="A893" s="24" t="s">
        <v>6</v>
      </c>
      <c r="B893" t="s">
        <v>35</v>
      </c>
    </row>
    <row r="894" spans="1:10">
      <c r="A894" s="24" t="s">
        <v>57</v>
      </c>
      <c r="B894" t="s">
        <v>246</v>
      </c>
    </row>
    <row r="895" spans="1:10" ht="15.75">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429</v>
      </c>
    </row>
    <row r="898" spans="1:9">
      <c r="A898" t="s">
        <v>138</v>
      </c>
      <c r="B898"/>
      <c r="C898">
        <v>0</v>
      </c>
      <c r="D898" t="s">
        <v>13</v>
      </c>
      <c r="E898" t="s">
        <v>83</v>
      </c>
      <c r="F898" t="s">
        <v>25</v>
      </c>
      <c r="H898" t="s">
        <v>15</v>
      </c>
      <c r="I898" t="s">
        <v>430</v>
      </c>
    </row>
    <row r="899" spans="1:9">
      <c r="A899" t="s">
        <v>138</v>
      </c>
      <c r="B899"/>
      <c r="C899">
        <v>0</v>
      </c>
      <c r="D899" t="s">
        <v>13</v>
      </c>
      <c r="E899" t="s">
        <v>83</v>
      </c>
      <c r="F899" t="s">
        <v>25</v>
      </c>
      <c r="H899" t="s">
        <v>15</v>
      </c>
      <c r="I899" t="s">
        <v>431</v>
      </c>
    </row>
    <row r="900" spans="1:9">
      <c r="A900" t="s">
        <v>140</v>
      </c>
      <c r="B900"/>
      <c r="C900">
        <v>8.1500000000000002E-5</v>
      </c>
      <c r="D900" t="s">
        <v>13</v>
      </c>
      <c r="E900" t="s">
        <v>83</v>
      </c>
      <c r="F900" t="s">
        <v>109</v>
      </c>
      <c r="H900" t="s">
        <v>15</v>
      </c>
      <c r="I900" t="s">
        <v>55</v>
      </c>
    </row>
    <row r="901" spans="1:9">
      <c r="A901" t="s">
        <v>432</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433</v>
      </c>
      <c r="B903"/>
      <c r="C903">
        <v>1.2899999999999999E-6</v>
      </c>
      <c r="D903" t="s">
        <v>13</v>
      </c>
      <c r="E903" t="s">
        <v>83</v>
      </c>
      <c r="F903" t="s">
        <v>109</v>
      </c>
      <c r="H903" t="s">
        <v>15</v>
      </c>
      <c r="I903" t="s">
        <v>55</v>
      </c>
    </row>
    <row r="904" spans="1:9">
      <c r="A904" t="s">
        <v>426</v>
      </c>
      <c r="B904" t="s">
        <v>427</v>
      </c>
      <c r="C904">
        <v>1</v>
      </c>
      <c r="D904" t="s">
        <v>35</v>
      </c>
      <c r="G904" t="s">
        <v>28</v>
      </c>
      <c r="H904" t="s">
        <v>18</v>
      </c>
      <c r="I904" t="s">
        <v>55</v>
      </c>
    </row>
    <row r="905" spans="1:9">
      <c r="A905" t="s">
        <v>434</v>
      </c>
      <c r="B905"/>
      <c r="C905">
        <v>1.4500000000000001E-2</v>
      </c>
      <c r="D905" t="s">
        <v>35</v>
      </c>
      <c r="G905" t="s">
        <v>36</v>
      </c>
      <c r="H905" t="s">
        <v>12</v>
      </c>
      <c r="I905" t="s">
        <v>435</v>
      </c>
    </row>
    <row r="906" spans="1:9">
      <c r="A906" t="s">
        <v>436</v>
      </c>
      <c r="B906"/>
      <c r="C906">
        <v>4.7200000000000002E-11</v>
      </c>
      <c r="D906" t="s">
        <v>6</v>
      </c>
      <c r="G906" t="s">
        <v>36</v>
      </c>
      <c r="H906" t="s">
        <v>12</v>
      </c>
      <c r="I906" t="s">
        <v>437</v>
      </c>
    </row>
    <row r="907" spans="1:9">
      <c r="A907" t="s">
        <v>438</v>
      </c>
      <c r="B907" t="s">
        <v>440</v>
      </c>
      <c r="C907">
        <v>9.5E-4</v>
      </c>
      <c r="D907" t="s">
        <v>13</v>
      </c>
      <c r="G907" t="s">
        <v>36</v>
      </c>
      <c r="H907" t="s">
        <v>12</v>
      </c>
      <c r="I907" t="s">
        <v>439</v>
      </c>
    </row>
    <row r="908" spans="1:9">
      <c r="A908" t="s">
        <v>441</v>
      </c>
      <c r="B908" t="s">
        <v>443</v>
      </c>
      <c r="C908">
        <v>1.7399999999999999E-5</v>
      </c>
      <c r="D908" t="s">
        <v>35</v>
      </c>
      <c r="G908" t="s">
        <v>26</v>
      </c>
      <c r="H908" t="s">
        <v>12</v>
      </c>
      <c r="I908" t="s">
        <v>442</v>
      </c>
    </row>
    <row r="909" spans="1:9">
      <c r="A909" t="s">
        <v>444</v>
      </c>
      <c r="B909" t="s">
        <v>446</v>
      </c>
      <c r="C909">
        <v>5.7600000000000001E-4</v>
      </c>
      <c r="D909" t="s">
        <v>13</v>
      </c>
      <c r="G909" t="s">
        <v>26</v>
      </c>
      <c r="H909" t="s">
        <v>12</v>
      </c>
      <c r="I909" t="s">
        <v>445</v>
      </c>
    </row>
    <row r="910" spans="1:9">
      <c r="A910" t="s">
        <v>474</v>
      </c>
      <c r="B910" t="s">
        <v>473</v>
      </c>
      <c r="C910">
        <v>1.1600000000000001E-11</v>
      </c>
      <c r="D910" t="s">
        <v>13</v>
      </c>
      <c r="G910" t="s">
        <v>134</v>
      </c>
      <c r="H910" t="s">
        <v>12</v>
      </c>
      <c r="I910" t="s">
        <v>447</v>
      </c>
    </row>
    <row r="911" spans="1:9">
      <c r="A911" t="s">
        <v>186</v>
      </c>
      <c r="B911" t="s">
        <v>187</v>
      </c>
      <c r="C911">
        <v>5.3499999999999999E-4</v>
      </c>
      <c r="D911" t="s">
        <v>13</v>
      </c>
      <c r="G911" t="s">
        <v>96</v>
      </c>
      <c r="H911" t="s">
        <v>12</v>
      </c>
      <c r="I911" t="s">
        <v>448</v>
      </c>
    </row>
    <row r="912" spans="1:9">
      <c r="A912" t="s">
        <v>156</v>
      </c>
      <c r="B912" t="s">
        <v>157</v>
      </c>
      <c r="C912">
        <v>5.6100000000000004E-3</v>
      </c>
      <c r="D912" t="s">
        <v>158</v>
      </c>
      <c r="G912" t="s">
        <v>36</v>
      </c>
      <c r="H912" t="s">
        <v>12</v>
      </c>
      <c r="I912" t="s">
        <v>449</v>
      </c>
    </row>
    <row r="913" spans="1:9">
      <c r="A913" t="s">
        <v>156</v>
      </c>
      <c r="B913" t="s">
        <v>157</v>
      </c>
      <c r="C913">
        <v>2.7399999999999999E-4</v>
      </c>
      <c r="D913" t="s">
        <v>158</v>
      </c>
      <c r="G913" t="s">
        <v>36</v>
      </c>
      <c r="H913" t="s">
        <v>12</v>
      </c>
      <c r="I913" t="s">
        <v>450</v>
      </c>
    </row>
    <row r="914" spans="1:9">
      <c r="A914" t="s">
        <v>451</v>
      </c>
      <c r="B914" t="s">
        <v>453</v>
      </c>
      <c r="C914">
        <v>0.1020326</v>
      </c>
      <c r="D914" t="s">
        <v>13</v>
      </c>
      <c r="G914" t="s">
        <v>22</v>
      </c>
      <c r="H914" t="s">
        <v>12</v>
      </c>
      <c r="I914" t="s">
        <v>452</v>
      </c>
    </row>
    <row r="915" spans="1:9">
      <c r="A915" t="s">
        <v>354</v>
      </c>
      <c r="B915" t="s">
        <v>33</v>
      </c>
      <c r="C915">
        <v>1.77E-2</v>
      </c>
      <c r="D915" t="s">
        <v>19</v>
      </c>
      <c r="G915" t="s">
        <v>454</v>
      </c>
      <c r="H915" t="s">
        <v>12</v>
      </c>
      <c r="I915" t="s">
        <v>55</v>
      </c>
    </row>
    <row r="916" spans="1:9">
      <c r="A916" t="s">
        <v>477</v>
      </c>
      <c r="B916" t="s">
        <v>476</v>
      </c>
      <c r="C916">
        <v>1.1600000000000001E-11</v>
      </c>
      <c r="D916" t="s">
        <v>13</v>
      </c>
      <c r="G916" t="s">
        <v>455</v>
      </c>
      <c r="H916" t="s">
        <v>12</v>
      </c>
      <c r="I916" t="s">
        <v>447</v>
      </c>
    </row>
    <row r="917" spans="1:9">
      <c r="A917" t="s">
        <v>456</v>
      </c>
      <c r="B917" t="s">
        <v>458</v>
      </c>
      <c r="C917">
        <v>-2.0200000000000001E-3</v>
      </c>
      <c r="D917" t="s">
        <v>13</v>
      </c>
      <c r="G917" t="s">
        <v>26</v>
      </c>
      <c r="H917" t="s">
        <v>12</v>
      </c>
      <c r="I917" t="s">
        <v>457</v>
      </c>
    </row>
    <row r="918" spans="1:9">
      <c r="A918" t="s">
        <v>459</v>
      </c>
      <c r="B918" t="s">
        <v>461</v>
      </c>
      <c r="C918">
        <v>-1.1600000000000001E-11</v>
      </c>
      <c r="D918" t="s">
        <v>13</v>
      </c>
      <c r="G918" t="s">
        <v>26</v>
      </c>
      <c r="H918" t="s">
        <v>12</v>
      </c>
      <c r="I918" t="s">
        <v>460</v>
      </c>
    </row>
    <row r="919" spans="1:9">
      <c r="A919" t="s">
        <v>462</v>
      </c>
      <c r="B919" t="s">
        <v>464</v>
      </c>
      <c r="C919">
        <v>-1.1600000000000001E-11</v>
      </c>
      <c r="D919" t="s">
        <v>13</v>
      </c>
      <c r="G919" t="s">
        <v>26</v>
      </c>
      <c r="H919" t="s">
        <v>12</v>
      </c>
      <c r="I919" t="s">
        <v>463</v>
      </c>
    </row>
    <row r="920" spans="1:9">
      <c r="A920" t="s">
        <v>465</v>
      </c>
      <c r="B920" t="s">
        <v>467</v>
      </c>
      <c r="C920">
        <v>-5.63E-5</v>
      </c>
      <c r="D920" t="s">
        <v>13</v>
      </c>
      <c r="G920" t="s">
        <v>26</v>
      </c>
      <c r="H920" t="s">
        <v>12</v>
      </c>
      <c r="I920" t="s">
        <v>466</v>
      </c>
    </row>
    <row r="921" spans="1:9">
      <c r="A921" t="s">
        <v>468</v>
      </c>
      <c r="B921" t="s">
        <v>470</v>
      </c>
      <c r="C921">
        <v>-9.4499999999999998E-4</v>
      </c>
      <c r="D921" t="s">
        <v>13</v>
      </c>
      <c r="G921" t="s">
        <v>26</v>
      </c>
      <c r="H921" t="s">
        <v>12</v>
      </c>
      <c r="I921" t="s">
        <v>469</v>
      </c>
    </row>
    <row r="922" spans="1:9">
      <c r="A922" t="s">
        <v>475</v>
      </c>
      <c r="B922" t="s">
        <v>472</v>
      </c>
      <c r="C922">
        <v>6.28E-6</v>
      </c>
      <c r="D922" t="s">
        <v>13</v>
      </c>
      <c r="G922" t="s">
        <v>96</v>
      </c>
      <c r="H922" t="s">
        <v>12</v>
      </c>
      <c r="I922" t="s">
        <v>471</v>
      </c>
    </row>
    <row r="923" spans="1:9">
      <c r="A923" t="s">
        <v>428</v>
      </c>
      <c r="B923" t="s">
        <v>428</v>
      </c>
      <c r="C923" s="13">
        <v>0.15468000000000001</v>
      </c>
      <c r="D923" t="s">
        <v>13</v>
      </c>
      <c r="G923" t="s">
        <v>36</v>
      </c>
      <c r="H923"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2025-07-24T15:54:33Z</dcterms:modified>
</cp:coreProperties>
</file>