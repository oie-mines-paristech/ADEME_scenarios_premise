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jschlesinger\0.Joanna\2. HySPI\ADEME_scenarios_premise\inventories\"/>
    </mc:Choice>
  </mc:AlternateContent>
  <xr:revisionPtr revIDLastSave="0" documentId="13_ncr:1_{1521C391-BCF6-4923-B754-ECBD64DA2349}" xr6:coauthVersionLast="47" xr6:coauthVersionMax="47" xr10:uidLastSave="{00000000-0000-0000-0000-000000000000}"/>
  <bookViews>
    <workbookView xWindow="-110" yWindow="-110" windowWidth="19420" windowHeight="1150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<sst xmlns="http://schemas.openxmlformats.org/spreadsheetml/2006/main" count="884" uniqueCount="195">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</sst>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4">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i/>
      <sz val="11"/>
      <color theme="1"/>
      <name val="Calibri"/>
      <family val="2"/>
      <scheme val="minor"/>
    </font>
    <font>
      <b/>
      <sz val="12"/>
      <color rgb="FF000000"/>
      <name val="Calibri"/>
      <family val="2"/>
      <scheme val="minor"/>
    </font>
    <font>
      <sz val="11"/>
      <color rgb="FF000000"/>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8">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8" fillId="0" borderId="0" xfId="1" applyFont="1"/>
    <xf numFmtId="11" fontId="8" fillId="0" borderId="0" xfId="0" applyNumberFormat="1" applyFont="1"/>
    <xf numFmtId="0" fontId="9" fillId="0" borderId="0" xfId="2" applyFont="1"/>
    <xf numFmtId="0" fontId="9" fillId="0" borderId="0" xfId="0" applyFont="1"/>
    <xf numFmtId="2" fontId="9" fillId="0" borderId="0" xfId="0" applyNumberFormat="1" applyFont="1"/>
    <xf numFmtId="0" fontId="9" fillId="0" borderId="0" xfId="1" applyFont="1"/>
    <xf numFmtId="11" fontId="9" fillId="0" borderId="0" xfId="1" applyNumberFormat="1" applyFont="1" applyAlignment="1">
      <alignment horizontal="left"/>
    </xf>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0" fontId="9" fillId="0" borderId="0" xfId="4" applyFont="1" applyFill="1"/>
    <xf numFmtId="0" fontId="9" fillId="0" borderId="0" xfId="4" applyFont="1" applyFill="1" applyBorder="1"/>
    <xf numFmtId="0" fontId="11" fillId="0" borderId="0" xfId="0" applyFont="1"/>
    <xf numFmtId="164" fontId="0" fillId="0" borderId="0" xfId="0" applyNumberFormat="1"/>
    <xf numFmtId="0" fontId="12" fillId="0" borderId="0" xfId="0" applyFont="1"/>
    <xf numFmtId="0" fontId="13" fillId="0" borderId="0" xfId="0" applyFont="1"/>
    <xf numFmtId="11" fontId="13" fillId="0" borderId="0" xfId="0" applyNumberFormat="1" applyFont="1"/>
    <xf numFmtId="0" fontId="13" fillId="3" borderId="0" xfId="0" applyFont="1" applyFill="1"/>
    <xf numFmtId="11" fontId="2" fillId="0" borderId="0" xfId="0" applyNumberFormat="1" applyFont="1"/>
    <xf numFmtId="0" fontId="0" fillId="3" borderId="0" xfId="0" applyFill="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66"/>
  <sheetViews>
    <sheetView tabSelected="1" topLeftCell="A3" zoomScaleNormal="100" workbookViewId="0">
      <selection activeCell="D16" sqref="D16"/>
    </sheetView>
  </sheetViews>
  <sheetFormatPr baseColWidth="10" defaultColWidth="8.81640625" defaultRowHeight="14.5"/>
  <cols>
    <col min="1" max="1" width="55.36328125" customWidth="1"/>
    <col min="2" max="2" width="18.6328125" style="19" customWidth="1"/>
    <col min="3" max="3" width="17.1796875" customWidth="1"/>
    <col min="4" max="4" width="24.36328125" bestFit="1" customWidth="1"/>
    <col min="5" max="5" width="26.453125" customWidth="1"/>
    <col min="6" max="6" width="14.81640625" bestFit="1" customWidth="1"/>
    <col min="7" max="7" width="33.453125" bestFit="1" customWidth="1"/>
    <col min="8" max="8" width="19.6328125" bestFit="1" customWidth="1"/>
    <col min="9" max="9" width="99.17968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5">
      <c r="A5" s="34" t="s">
        <v>1</v>
      </c>
      <c r="B5" s="34"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5">
      <c r="A13" s="34" t="s">
        <v>7</v>
      </c>
      <c r="B13"/>
      <c r="I13"/>
      <c r="M13" t="s">
        <v>74</v>
      </c>
    </row>
    <row r="14" spans="1:14" ht="15.5">
      <c r="A14" s="34" t="s">
        <v>8</v>
      </c>
      <c r="B14" s="34" t="s">
        <v>9</v>
      </c>
      <c r="C14" s="34" t="s">
        <v>2</v>
      </c>
      <c r="D14" s="34" t="s">
        <v>6</v>
      </c>
      <c r="E14" s="34" t="s">
        <v>10</v>
      </c>
      <c r="F14" s="34" t="s">
        <v>5</v>
      </c>
      <c r="G14" s="34" t="s">
        <v>4</v>
      </c>
      <c r="H14" s="34" t="s">
        <v>11</v>
      </c>
      <c r="I14" s="40"/>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s="47" t="s">
        <v>98</v>
      </c>
      <c r="B16">
        <v>1.33</v>
      </c>
      <c r="C16" t="s">
        <v>29</v>
      </c>
      <c r="D16" t="s">
        <v>19</v>
      </c>
      <c r="F16" t="s">
        <v>12</v>
      </c>
      <c r="G16" t="s">
        <v>31</v>
      </c>
      <c r="H16" t="s">
        <v>79</v>
      </c>
      <c r="I16" s="8"/>
      <c r="J16" s="8"/>
      <c r="K16" s="8"/>
      <c r="L16" s="8"/>
      <c r="M16" s="8"/>
      <c r="N16" s="8"/>
    </row>
    <row r="17" spans="1:11">
      <c r="A17" t="s">
        <v>80</v>
      </c>
      <c r="B17" s="41">
        <f>1/(49000000)</f>
        <v>2.0408163265306123E-8</v>
      </c>
      <c r="C17" t="s">
        <v>49</v>
      </c>
      <c r="D17" t="s">
        <v>6</v>
      </c>
      <c r="F17" t="s">
        <v>12</v>
      </c>
      <c r="G17" t="s">
        <v>81</v>
      </c>
      <c r="H17" t="s">
        <v>82</v>
      </c>
      <c r="I17"/>
    </row>
    <row r="18" spans="1:11">
      <c r="A18" t="s">
        <v>83</v>
      </c>
      <c r="B18" s="41">
        <f>1/(49000000)</f>
        <v>2.0408163265306123E-8</v>
      </c>
      <c r="C18" t="s">
        <v>49</v>
      </c>
      <c r="D18" t="s">
        <v>6</v>
      </c>
      <c r="F18" t="s">
        <v>12</v>
      </c>
      <c r="G18" t="s">
        <v>84</v>
      </c>
      <c r="H18" t="s">
        <v>85</v>
      </c>
      <c r="I18"/>
    </row>
    <row r="19" spans="1:11">
      <c r="A19" t="s">
        <v>86</v>
      </c>
      <c r="B19" s="41">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46"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7"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7" customFormat="1" ht="15.5">
      <c r="A50" s="24" t="s">
        <v>1</v>
      </c>
      <c r="B50" s="25" t="s">
        <v>172</v>
      </c>
      <c r="C50" s="26"/>
      <c r="K50" s="28"/>
      <c r="L50" s="28"/>
      <c r="M50" s="28"/>
      <c r="N50" s="28"/>
      <c r="O50" s="28"/>
      <c r="P50" s="28"/>
    </row>
    <row r="51" spans="1:20" s="27" customFormat="1" ht="15.5">
      <c r="A51" s="29" t="s">
        <v>3</v>
      </c>
      <c r="B51" s="30">
        <v>1</v>
      </c>
      <c r="K51" s="28"/>
      <c r="L51" s="28"/>
      <c r="M51" s="28"/>
      <c r="N51" s="28"/>
      <c r="O51" s="28"/>
      <c r="P51" s="28"/>
    </row>
    <row r="52" spans="1:20" s="27" customFormat="1" ht="15.5">
      <c r="A52" s="29" t="s">
        <v>11</v>
      </c>
      <c r="B52" s="30" t="s">
        <v>56</v>
      </c>
      <c r="K52" s="28"/>
      <c r="L52" s="28"/>
      <c r="M52" s="28"/>
      <c r="N52" s="28"/>
      <c r="O52" s="28"/>
      <c r="P52" s="28"/>
    </row>
    <row r="53" spans="1:20" s="27" customFormat="1" ht="15.5">
      <c r="A53" s="29" t="s">
        <v>4</v>
      </c>
      <c r="B53" s="31" t="s">
        <v>57</v>
      </c>
      <c r="K53" s="28"/>
      <c r="L53" s="28"/>
      <c r="M53" s="28"/>
      <c r="N53" s="28"/>
      <c r="O53" s="28"/>
      <c r="P53" s="28"/>
    </row>
    <row r="54" spans="1:20" s="27" customFormat="1" ht="15.5">
      <c r="A54" s="29" t="s">
        <v>2</v>
      </c>
      <c r="B54" s="30" t="s">
        <v>29</v>
      </c>
      <c r="K54" s="28"/>
      <c r="L54" s="28"/>
      <c r="M54" s="28"/>
      <c r="N54" s="28"/>
      <c r="O54" s="28"/>
      <c r="P54" s="28"/>
    </row>
    <row r="55" spans="1:20" s="27" customFormat="1" ht="15.5">
      <c r="A55" s="29" t="s">
        <v>6</v>
      </c>
      <c r="B55" s="32" t="s">
        <v>13</v>
      </c>
      <c r="H55" s="33"/>
      <c r="I55" s="33"/>
      <c r="J55" s="33"/>
      <c r="K55" s="28"/>
      <c r="L55" s="28"/>
      <c r="M55" s="28"/>
      <c r="N55" s="28"/>
      <c r="O55" s="28"/>
      <c r="P55" s="28"/>
    </row>
    <row r="56" spans="1:20" s="27" customFormat="1" ht="15.5">
      <c r="A56" s="33" t="s">
        <v>7</v>
      </c>
      <c r="B56" s="25"/>
      <c r="C56" s="33"/>
      <c r="D56" s="33"/>
      <c r="E56" s="33"/>
      <c r="F56" s="33"/>
      <c r="G56" s="33"/>
      <c r="H56" s="26"/>
      <c r="I56" s="26"/>
      <c r="J56" s="26"/>
      <c r="K56" s="28"/>
      <c r="L56" s="28"/>
      <c r="M56" s="28"/>
      <c r="N56" s="28"/>
      <c r="O56" s="28"/>
      <c r="P56" s="28"/>
    </row>
    <row r="57" spans="1:20" s="27" customFormat="1" ht="15.5">
      <c r="A57" s="33" t="s">
        <v>8</v>
      </c>
      <c r="B57" s="33" t="s">
        <v>9</v>
      </c>
      <c r="C57" s="33" t="s">
        <v>2</v>
      </c>
      <c r="D57" s="33" t="s">
        <v>6</v>
      </c>
      <c r="E57" s="33" t="s">
        <v>10</v>
      </c>
      <c r="F57" s="33" t="s">
        <v>5</v>
      </c>
      <c r="G57" s="33" t="s">
        <v>4</v>
      </c>
      <c r="H57" s="33" t="s">
        <v>11</v>
      </c>
      <c r="I57" s="33"/>
      <c r="J57" s="34"/>
      <c r="K57" s="35"/>
      <c r="L57" s="35"/>
      <c r="M57" s="35"/>
      <c r="N57" s="35"/>
      <c r="O57" s="35"/>
      <c r="P57" s="35"/>
      <c r="Q57" s="34"/>
      <c r="R57" s="34"/>
      <c r="S57" s="33"/>
      <c r="T57" s="34"/>
    </row>
    <row r="58" spans="1:20" s="27" customFormat="1" ht="15.5">
      <c r="A58" s="32" t="s">
        <v>73</v>
      </c>
      <c r="B58" s="32">
        <v>1</v>
      </c>
      <c r="C58" s="27" t="str">
        <f>B54</f>
        <v>FR</v>
      </c>
      <c r="D58" s="27" t="str">
        <f>B55</f>
        <v>kilogram</v>
      </c>
      <c r="E58" s="26"/>
      <c r="F58" s="27" t="s">
        <v>18</v>
      </c>
      <c r="G58" s="27" t="s">
        <v>57</v>
      </c>
      <c r="H58" s="26"/>
      <c r="I58" s="26"/>
      <c r="K58" s="28"/>
      <c r="L58" s="28"/>
      <c r="M58" s="28"/>
      <c r="N58" s="28"/>
      <c r="O58" s="28"/>
      <c r="P58" s="28"/>
      <c r="T58"/>
    </row>
    <row r="59" spans="1:20" s="27" customFormat="1" ht="15.5">
      <c r="A59" s="32" t="s">
        <v>71</v>
      </c>
      <c r="B59" s="27">
        <f>(1/2963200)*4</f>
        <v>1.3498920086393089E-6</v>
      </c>
      <c r="C59" s="27" t="s">
        <v>49</v>
      </c>
      <c r="D59" s="27" t="s">
        <v>6</v>
      </c>
      <c r="F59" s="27" t="s">
        <v>12</v>
      </c>
      <c r="G59" s="27" t="s">
        <v>58</v>
      </c>
      <c r="H59" s="27" t="s">
        <v>59</v>
      </c>
      <c r="J59"/>
      <c r="K59" s="36"/>
      <c r="L59" s="36"/>
      <c r="M59" s="36"/>
      <c r="N59" s="36"/>
      <c r="O59" s="36"/>
      <c r="P59" s="36"/>
      <c r="Q59"/>
      <c r="R59"/>
    </row>
    <row r="60" spans="1:20" s="27" customFormat="1" ht="15.5">
      <c r="A60" s="32" t="s">
        <v>72</v>
      </c>
      <c r="B60" s="27">
        <f>1/2963200</f>
        <v>3.3747300215982723E-7</v>
      </c>
      <c r="C60" s="27" t="s">
        <v>49</v>
      </c>
      <c r="D60" s="27" t="s">
        <v>6</v>
      </c>
      <c r="F60" s="27" t="s">
        <v>12</v>
      </c>
      <c r="G60" s="27" t="s">
        <v>60</v>
      </c>
      <c r="H60" s="27" t="s">
        <v>61</v>
      </c>
      <c r="J60"/>
      <c r="K60" s="36"/>
      <c r="L60" s="36"/>
      <c r="M60" s="36"/>
      <c r="N60" s="36"/>
      <c r="O60" s="36"/>
      <c r="P60" s="36"/>
      <c r="Q60"/>
      <c r="R60"/>
    </row>
    <row r="61" spans="1:20" s="27" customFormat="1" ht="15.5">
      <c r="A61" s="32" t="s">
        <v>62</v>
      </c>
      <c r="B61" s="27">
        <f>B59*-1</f>
        <v>-1.3498920086393089E-6</v>
      </c>
      <c r="C61" s="27" t="s">
        <v>49</v>
      </c>
      <c r="D61" s="27" t="s">
        <v>6</v>
      </c>
      <c r="F61" s="27" t="s">
        <v>12</v>
      </c>
      <c r="G61" s="27" t="s">
        <v>63</v>
      </c>
      <c r="H61" s="27" t="s">
        <v>64</v>
      </c>
      <c r="J61"/>
      <c r="K61" s="36"/>
      <c r="L61" s="36"/>
      <c r="M61" s="36"/>
      <c r="N61" s="36"/>
      <c r="O61" s="36"/>
      <c r="P61" s="36"/>
      <c r="Q61"/>
      <c r="R61"/>
    </row>
    <row r="62" spans="1:20" s="27" customFormat="1" ht="15.5">
      <c r="A62" s="32" t="s">
        <v>65</v>
      </c>
      <c r="B62" s="27">
        <f>-1*B60</f>
        <v>-3.3747300215982723E-7</v>
      </c>
      <c r="C62" s="27" t="s">
        <v>49</v>
      </c>
      <c r="D62" s="27" t="s">
        <v>6</v>
      </c>
      <c r="F62" s="27" t="s">
        <v>12</v>
      </c>
      <c r="G62" s="27" t="s">
        <v>66</v>
      </c>
      <c r="H62" s="27" t="s">
        <v>67</v>
      </c>
      <c r="J62"/>
      <c r="K62" s="36"/>
      <c r="L62" s="36"/>
      <c r="M62" s="36"/>
      <c r="N62" s="36"/>
      <c r="O62" s="36"/>
      <c r="P62" s="36"/>
      <c r="Q62"/>
      <c r="R62"/>
    </row>
    <row r="63" spans="1:20" s="27" customFormat="1" ht="15.5">
      <c r="A63" s="29" t="s">
        <v>28</v>
      </c>
      <c r="B63" s="32">
        <v>54</v>
      </c>
      <c r="C63" s="27" t="s">
        <v>29</v>
      </c>
      <c r="D63" s="27" t="s">
        <v>19</v>
      </c>
      <c r="E63" s="26"/>
      <c r="F63" s="27" t="s">
        <v>12</v>
      </c>
      <c r="G63" s="27" t="s">
        <v>20</v>
      </c>
      <c r="H63" s="26" t="s">
        <v>68</v>
      </c>
      <c r="J63"/>
      <c r="K63" s="36"/>
      <c r="L63" s="36"/>
      <c r="M63" s="36"/>
      <c r="N63" s="36"/>
      <c r="O63" s="36"/>
      <c r="P63" s="36"/>
      <c r="Q63"/>
      <c r="R63"/>
    </row>
    <row r="64" spans="1:20" s="27" customFormat="1" ht="15.5">
      <c r="A64" s="29" t="s">
        <v>21</v>
      </c>
      <c r="B64" s="32">
        <v>14</v>
      </c>
      <c r="C64" s="27" t="s">
        <v>22</v>
      </c>
      <c r="D64" s="27" t="s">
        <v>13</v>
      </c>
      <c r="F64" s="27" t="s">
        <v>12</v>
      </c>
      <c r="G64" s="27" t="s">
        <v>23</v>
      </c>
      <c r="H64" s="37" t="s">
        <v>69</v>
      </c>
      <c r="J64"/>
      <c r="K64" s="36"/>
      <c r="L64" s="36"/>
      <c r="M64" s="36"/>
      <c r="N64" s="36"/>
      <c r="O64" s="36"/>
      <c r="P64" s="36"/>
      <c r="Q64"/>
      <c r="R64"/>
    </row>
    <row r="65" spans="1:18" s="27" customFormat="1" ht="15.5">
      <c r="A65" s="38" t="s">
        <v>24</v>
      </c>
      <c r="B65" s="31">
        <v>8</v>
      </c>
      <c r="C65" s="38"/>
      <c r="D65" s="38" t="s">
        <v>13</v>
      </c>
      <c r="E65" s="38" t="s">
        <v>25</v>
      </c>
      <c r="F65" s="38" t="s">
        <v>15</v>
      </c>
      <c r="G65" s="38"/>
      <c r="H65" s="39"/>
      <c r="J65"/>
      <c r="K65" s="36"/>
      <c r="L65" s="36"/>
      <c r="M65" s="36"/>
      <c r="N65" s="36"/>
      <c r="O65" s="36"/>
      <c r="P65" s="36"/>
      <c r="Q65" s="36"/>
      <c r="R65"/>
    </row>
    <row r="66" spans="1:18" s="27" customFormat="1" ht="15.5">
      <c r="A66" s="38" t="s">
        <v>70</v>
      </c>
      <c r="B66" s="31">
        <f>(0.09*1000*20)/2963200</f>
        <v>6.0745140388768898E-4</v>
      </c>
      <c r="C66" s="38"/>
      <c r="D66" s="38" t="s">
        <v>17</v>
      </c>
      <c r="E66" s="38" t="s">
        <v>16</v>
      </c>
      <c r="F66" s="38" t="s">
        <v>15</v>
      </c>
      <c r="G66" s="38"/>
      <c r="H66" s="39"/>
      <c r="J66"/>
      <c r="K66" s="36"/>
      <c r="L66" s="36"/>
      <c r="M66" s="36"/>
      <c r="N66" s="36"/>
      <c r="O66" s="36"/>
      <c r="P66" s="36"/>
      <c r="Q66" s="36"/>
      <c r="R66"/>
    </row>
    <row r="67" spans="1:18" s="27" customFormat="1" ht="15.5">
      <c r="K67" s="28"/>
      <c r="L67" s="28"/>
      <c r="M67" s="28"/>
      <c r="N67" s="28"/>
      <c r="O67" s="28"/>
      <c r="P67" s="28"/>
    </row>
    <row r="70" spans="1:18" ht="15.5">
      <c r="A70" s="42" t="s">
        <v>1</v>
      </c>
      <c r="B70" s="42" t="s">
        <v>175</v>
      </c>
      <c r="C70" s="43"/>
      <c r="D70" s="43"/>
      <c r="E70" s="43"/>
      <c r="F70" s="43"/>
      <c r="G70" s="43"/>
      <c r="H70" s="43"/>
      <c r="I70" s="43"/>
    </row>
    <row r="71" spans="1:18">
      <c r="A71" s="43" t="s">
        <v>103</v>
      </c>
      <c r="B71" s="43">
        <v>1.310870633</v>
      </c>
      <c r="C71" s="43"/>
      <c r="D71" s="43"/>
      <c r="E71" s="43"/>
      <c r="F71" s="43"/>
      <c r="G71" s="43"/>
      <c r="H71" s="43"/>
      <c r="I71" s="43"/>
    </row>
    <row r="72" spans="1:18">
      <c r="A72" s="43" t="s">
        <v>2</v>
      </c>
      <c r="B72" s="43" t="s">
        <v>29</v>
      </c>
      <c r="C72" s="43"/>
      <c r="D72" s="43"/>
      <c r="E72" s="43"/>
      <c r="F72" s="43"/>
      <c r="G72" s="43"/>
      <c r="H72" s="43"/>
      <c r="I72" s="43"/>
    </row>
    <row r="73" spans="1:18">
      <c r="A73" s="43" t="s">
        <v>4</v>
      </c>
      <c r="B73" s="43" t="s">
        <v>104</v>
      </c>
      <c r="C73" s="43"/>
      <c r="D73" s="43"/>
      <c r="E73" s="43"/>
      <c r="F73" s="43"/>
      <c r="G73" s="43"/>
      <c r="H73" s="43"/>
      <c r="I73" s="43"/>
    </row>
    <row r="74" spans="1:18">
      <c r="A74" s="43" t="s">
        <v>6</v>
      </c>
      <c r="B74" s="43" t="s">
        <v>13</v>
      </c>
      <c r="C74" s="43"/>
      <c r="D74" s="43"/>
      <c r="E74" s="43"/>
      <c r="F74" s="43"/>
      <c r="G74" s="43"/>
      <c r="H74" s="43"/>
      <c r="I74" s="43"/>
    </row>
    <row r="75" spans="1:18">
      <c r="A75" s="43" t="s">
        <v>11</v>
      </c>
      <c r="B75" s="43" t="s">
        <v>105</v>
      </c>
      <c r="C75" s="43"/>
      <c r="D75" s="43"/>
      <c r="E75" s="43"/>
      <c r="F75" s="43"/>
      <c r="G75" s="43"/>
      <c r="H75" s="43"/>
      <c r="I75" s="43"/>
    </row>
    <row r="76" spans="1:18" ht="15.5">
      <c r="A76" s="42" t="s">
        <v>7</v>
      </c>
      <c r="B76" s="43"/>
      <c r="C76" s="43"/>
      <c r="D76" s="43"/>
      <c r="E76" s="43"/>
      <c r="F76" s="43"/>
      <c r="G76" s="43"/>
      <c r="H76" s="43"/>
      <c r="I76" s="43"/>
    </row>
    <row r="77" spans="1:18">
      <c r="A77" s="43" t="s">
        <v>8</v>
      </c>
      <c r="B77" s="43" t="s">
        <v>9</v>
      </c>
      <c r="C77" s="43" t="s">
        <v>106</v>
      </c>
      <c r="D77" s="43" t="s">
        <v>2</v>
      </c>
      <c r="E77" s="43" t="s">
        <v>6</v>
      </c>
      <c r="F77" s="43" t="s">
        <v>10</v>
      </c>
      <c r="G77" s="43" t="s">
        <v>5</v>
      </c>
      <c r="H77" s="43" t="s">
        <v>4</v>
      </c>
      <c r="I77" s="43" t="s">
        <v>11</v>
      </c>
    </row>
    <row r="78" spans="1:18">
      <c r="A78" s="43" t="s">
        <v>102</v>
      </c>
      <c r="B78" s="43">
        <v>1</v>
      </c>
      <c r="C78" s="43" t="s">
        <v>107</v>
      </c>
      <c r="D78" s="43" t="s">
        <v>29</v>
      </c>
      <c r="E78" s="43" t="s">
        <v>13</v>
      </c>
      <c r="F78" s="43"/>
      <c r="G78" s="43" t="s">
        <v>18</v>
      </c>
      <c r="H78" s="43" t="s">
        <v>104</v>
      </c>
      <c r="I78" s="43"/>
    </row>
    <row r="79" spans="1:18">
      <c r="A79" s="43" t="s">
        <v>108</v>
      </c>
      <c r="B79" s="44">
        <v>3.0676600000000002E-8</v>
      </c>
      <c r="C79" s="43" t="s">
        <v>109</v>
      </c>
      <c r="D79" s="43"/>
      <c r="E79" s="43" t="s">
        <v>13</v>
      </c>
      <c r="F79" s="43" t="s">
        <v>25</v>
      </c>
      <c r="G79" s="43" t="s">
        <v>15</v>
      </c>
      <c r="H79" s="43"/>
      <c r="I79" s="43"/>
    </row>
    <row r="80" spans="1:18">
      <c r="A80" s="43" t="s">
        <v>110</v>
      </c>
      <c r="B80" s="44">
        <v>4.6014800000000002E-6</v>
      </c>
      <c r="C80" s="43" t="s">
        <v>109</v>
      </c>
      <c r="D80" s="43"/>
      <c r="E80" s="43" t="s">
        <v>13</v>
      </c>
      <c r="F80" s="43" t="s">
        <v>25</v>
      </c>
      <c r="G80" s="43" t="s">
        <v>15</v>
      </c>
      <c r="H80" s="43"/>
      <c r="I80" s="43"/>
    </row>
    <row r="81" spans="1:9">
      <c r="A81" s="43" t="s">
        <v>111</v>
      </c>
      <c r="B81" s="44">
        <v>1.22709E-5</v>
      </c>
      <c r="C81" s="43" t="s">
        <v>109</v>
      </c>
      <c r="D81" s="43"/>
      <c r="E81" s="43" t="s">
        <v>13</v>
      </c>
      <c r="F81" s="43" t="s">
        <v>25</v>
      </c>
      <c r="G81" s="43" t="s">
        <v>15</v>
      </c>
      <c r="H81" s="43"/>
      <c r="I81" s="43"/>
    </row>
    <row r="82" spans="1:9">
      <c r="A82" s="43" t="s">
        <v>112</v>
      </c>
      <c r="B82" s="44">
        <v>3.0676599999999998E-10</v>
      </c>
      <c r="C82" s="43" t="s">
        <v>109</v>
      </c>
      <c r="D82" s="43"/>
      <c r="E82" s="43" t="s">
        <v>13</v>
      </c>
      <c r="F82" s="43" t="s">
        <v>25</v>
      </c>
      <c r="G82" s="43" t="s">
        <v>15</v>
      </c>
      <c r="H82" s="43"/>
      <c r="I82" s="43"/>
    </row>
    <row r="83" spans="1:9">
      <c r="A83" s="43" t="s">
        <v>113</v>
      </c>
      <c r="B83" s="44">
        <v>2.1474199999999998E-5</v>
      </c>
      <c r="C83" s="43" t="s">
        <v>109</v>
      </c>
      <c r="D83" s="43"/>
      <c r="E83" s="43" t="s">
        <v>13</v>
      </c>
      <c r="F83" s="43" t="s">
        <v>25</v>
      </c>
      <c r="G83" s="43" t="s">
        <v>15</v>
      </c>
      <c r="H83" s="43"/>
      <c r="I83" s="43"/>
    </row>
    <row r="84" spans="1:9">
      <c r="A84" s="43" t="s">
        <v>40</v>
      </c>
      <c r="B84" s="43">
        <v>8.9222937859999991</v>
      </c>
      <c r="C84" s="43" t="s">
        <v>109</v>
      </c>
      <c r="D84" s="43"/>
      <c r="E84" s="43" t="s">
        <v>13</v>
      </c>
      <c r="F84" s="43" t="s">
        <v>25</v>
      </c>
      <c r="G84" s="43" t="s">
        <v>15</v>
      </c>
      <c r="H84" s="43"/>
      <c r="I84" s="43"/>
    </row>
    <row r="85" spans="1:9">
      <c r="A85" s="43" t="s">
        <v>114</v>
      </c>
      <c r="B85" s="44">
        <v>6.4421899999999994E-5</v>
      </c>
      <c r="C85" s="43" t="s">
        <v>109</v>
      </c>
      <c r="D85" s="43"/>
      <c r="E85" s="43" t="s">
        <v>13</v>
      </c>
      <c r="F85" s="43" t="s">
        <v>25</v>
      </c>
      <c r="G85" s="43" t="s">
        <v>15</v>
      </c>
      <c r="H85" s="43"/>
      <c r="I85" s="43"/>
    </row>
    <row r="86" spans="1:9">
      <c r="A86" s="43" t="s">
        <v>115</v>
      </c>
      <c r="B86" s="44">
        <v>3.06766E-6</v>
      </c>
      <c r="C86" s="43" t="s">
        <v>109</v>
      </c>
      <c r="D86" s="43"/>
      <c r="E86" s="43" t="s">
        <v>13</v>
      </c>
      <c r="F86" s="43" t="s">
        <v>25</v>
      </c>
      <c r="G86" s="43" t="s">
        <v>15</v>
      </c>
      <c r="H86" s="43"/>
      <c r="I86" s="43"/>
    </row>
    <row r="87" spans="1:9">
      <c r="A87" s="43" t="s">
        <v>116</v>
      </c>
      <c r="B87" s="44">
        <v>3.06766E-6</v>
      </c>
      <c r="C87" s="43" t="s">
        <v>109</v>
      </c>
      <c r="D87" s="43"/>
      <c r="E87" s="43" t="s">
        <v>13</v>
      </c>
      <c r="F87" s="43" t="s">
        <v>25</v>
      </c>
      <c r="G87" s="43" t="s">
        <v>15</v>
      </c>
      <c r="H87" s="43"/>
      <c r="I87" s="43"/>
    </row>
    <row r="88" spans="1:9">
      <c r="A88" s="43" t="s">
        <v>117</v>
      </c>
      <c r="B88" s="44">
        <v>9.2032600000000003E-10</v>
      </c>
      <c r="C88" s="43" t="s">
        <v>109</v>
      </c>
      <c r="D88" s="43"/>
      <c r="E88" s="43" t="s">
        <v>13</v>
      </c>
      <c r="F88" s="43" t="s">
        <v>25</v>
      </c>
      <c r="G88" s="43" t="s">
        <v>15</v>
      </c>
      <c r="H88" s="43"/>
      <c r="I88" s="43"/>
    </row>
    <row r="89" spans="1:9">
      <c r="A89" s="43" t="s">
        <v>118</v>
      </c>
      <c r="B89" s="44">
        <v>6.1356E-5</v>
      </c>
      <c r="C89" s="43" t="s">
        <v>109</v>
      </c>
      <c r="D89" s="43"/>
      <c r="E89" s="43" t="s">
        <v>13</v>
      </c>
      <c r="F89" s="43" t="s">
        <v>25</v>
      </c>
      <c r="G89" s="43" t="s">
        <v>15</v>
      </c>
      <c r="H89" s="43"/>
      <c r="I89" s="43"/>
    </row>
    <row r="90" spans="1:9">
      <c r="A90" s="43" t="s">
        <v>119</v>
      </c>
      <c r="B90" s="43">
        <v>5.4912400000000001E-4</v>
      </c>
      <c r="C90" s="43" t="s">
        <v>109</v>
      </c>
      <c r="D90" s="43"/>
      <c r="E90" s="43" t="s">
        <v>13</v>
      </c>
      <c r="F90" s="43" t="s">
        <v>25</v>
      </c>
      <c r="G90" s="43" t="s">
        <v>15</v>
      </c>
      <c r="H90" s="43"/>
      <c r="I90" s="43"/>
    </row>
    <row r="91" spans="1:9">
      <c r="A91" s="43" t="s">
        <v>120</v>
      </c>
      <c r="B91" s="44">
        <v>3.0676599999999998E-7</v>
      </c>
      <c r="C91" s="43" t="s">
        <v>109</v>
      </c>
      <c r="D91" s="43"/>
      <c r="E91" s="43" t="s">
        <v>13</v>
      </c>
      <c r="F91" s="43" t="s">
        <v>25</v>
      </c>
      <c r="G91" s="43" t="s">
        <v>15</v>
      </c>
      <c r="H91" s="43"/>
      <c r="I91" s="43"/>
    </row>
    <row r="92" spans="1:9">
      <c r="A92" s="43" t="s">
        <v>121</v>
      </c>
      <c r="B92" s="44">
        <v>6.1356000000000002E-6</v>
      </c>
      <c r="C92" s="43" t="s">
        <v>109</v>
      </c>
      <c r="D92" s="43"/>
      <c r="E92" s="43" t="s">
        <v>13</v>
      </c>
      <c r="F92" s="43" t="s">
        <v>25</v>
      </c>
      <c r="G92" s="43" t="s">
        <v>15</v>
      </c>
      <c r="H92" s="43"/>
      <c r="I92" s="43"/>
    </row>
    <row r="93" spans="1:9">
      <c r="A93" s="43" t="s">
        <v>122</v>
      </c>
      <c r="B93" s="44">
        <v>3.6814199999999997E-5</v>
      </c>
      <c r="C93" s="43" t="s">
        <v>109</v>
      </c>
      <c r="D93" s="43"/>
      <c r="E93" s="43" t="s">
        <v>13</v>
      </c>
      <c r="F93" s="43" t="s">
        <v>25</v>
      </c>
      <c r="G93" s="43" t="s">
        <v>15</v>
      </c>
      <c r="H93" s="43"/>
      <c r="I93" s="43"/>
    </row>
    <row r="94" spans="1:9">
      <c r="A94" s="43" t="s">
        <v>123</v>
      </c>
      <c r="B94" s="44">
        <v>6.1356000000000002E-6</v>
      </c>
      <c r="C94" s="43" t="s">
        <v>109</v>
      </c>
      <c r="D94" s="43"/>
      <c r="E94" s="43" t="s">
        <v>13</v>
      </c>
      <c r="F94" s="43" t="s">
        <v>25</v>
      </c>
      <c r="G94" s="43" t="s">
        <v>15</v>
      </c>
      <c r="H94" s="43"/>
      <c r="I94" s="43"/>
    </row>
    <row r="95" spans="1:9">
      <c r="A95" s="43" t="s">
        <v>124</v>
      </c>
      <c r="B95" s="44">
        <v>6.1356E-7</v>
      </c>
      <c r="C95" s="43" t="s">
        <v>109</v>
      </c>
      <c r="D95" s="43"/>
      <c r="E95" s="43" t="s">
        <v>13</v>
      </c>
      <c r="F95" s="43" t="s">
        <v>25</v>
      </c>
      <c r="G95" s="43" t="s">
        <v>15</v>
      </c>
      <c r="H95" s="43"/>
      <c r="I95" s="43"/>
    </row>
    <row r="96" spans="1:9">
      <c r="A96" s="43" t="s">
        <v>125</v>
      </c>
      <c r="B96" s="44">
        <v>1.6872699999999999E-5</v>
      </c>
      <c r="C96" s="43" t="s">
        <v>109</v>
      </c>
      <c r="D96" s="43"/>
      <c r="E96" s="43" t="s">
        <v>13</v>
      </c>
      <c r="F96" s="43" t="s">
        <v>25</v>
      </c>
      <c r="G96" s="43" t="s">
        <v>15</v>
      </c>
      <c r="H96" s="43"/>
      <c r="I96" s="43"/>
    </row>
    <row r="97" spans="1:9">
      <c r="A97" s="43" t="s">
        <v>126</v>
      </c>
      <c r="B97" s="44">
        <v>6.1356000000000002E-6</v>
      </c>
      <c r="C97" s="43" t="s">
        <v>109</v>
      </c>
      <c r="D97" s="43"/>
      <c r="E97" s="43" t="s">
        <v>13</v>
      </c>
      <c r="F97" s="43" t="s">
        <v>25</v>
      </c>
      <c r="G97" s="43" t="s">
        <v>15</v>
      </c>
      <c r="H97" s="43"/>
      <c r="I97" s="43"/>
    </row>
    <row r="98" spans="1:9">
      <c r="A98" s="43" t="s">
        <v>127</v>
      </c>
      <c r="B98" s="43">
        <v>0.38040000000000002</v>
      </c>
      <c r="C98" s="43" t="s">
        <v>109</v>
      </c>
      <c r="D98" s="43"/>
      <c r="E98" s="43" t="s">
        <v>128</v>
      </c>
      <c r="F98" s="43" t="s">
        <v>129</v>
      </c>
      <c r="G98" s="43" t="s">
        <v>15</v>
      </c>
      <c r="H98" s="43"/>
      <c r="I98" s="43"/>
    </row>
    <row r="99" spans="1:9">
      <c r="A99" s="43" t="s">
        <v>130</v>
      </c>
      <c r="B99" s="43">
        <v>0.37130000000000002</v>
      </c>
      <c r="C99" s="43" t="s">
        <v>109</v>
      </c>
      <c r="D99" s="43"/>
      <c r="E99" s="43" t="s">
        <v>128</v>
      </c>
      <c r="F99" s="43" t="s">
        <v>131</v>
      </c>
      <c r="G99" s="43" t="s">
        <v>15</v>
      </c>
      <c r="H99" s="43"/>
      <c r="I99" s="43"/>
    </row>
    <row r="100" spans="1:9">
      <c r="A100" s="43" t="s">
        <v>130</v>
      </c>
      <c r="B100" s="43">
        <v>9.1000000000000004E-3</v>
      </c>
      <c r="C100" s="43" t="s">
        <v>109</v>
      </c>
      <c r="D100" s="43"/>
      <c r="E100" s="43" t="s">
        <v>128</v>
      </c>
      <c r="F100" s="43" t="s">
        <v>25</v>
      </c>
      <c r="G100" s="43" t="s">
        <v>15</v>
      </c>
      <c r="H100" s="43"/>
      <c r="I100" s="43" t="s">
        <v>132</v>
      </c>
    </row>
    <row r="101" spans="1:9">
      <c r="A101" s="43" t="s">
        <v>133</v>
      </c>
      <c r="B101" s="44">
        <v>5.3483200000000002E-10</v>
      </c>
      <c r="C101" s="43" t="s">
        <v>134</v>
      </c>
      <c r="D101" s="43" t="s">
        <v>49</v>
      </c>
      <c r="E101" s="43" t="s">
        <v>6</v>
      </c>
      <c r="F101" s="43"/>
      <c r="G101" s="43" t="s">
        <v>12</v>
      </c>
      <c r="H101" s="43" t="s">
        <v>135</v>
      </c>
      <c r="I101" s="43"/>
    </row>
    <row r="102" spans="1:9">
      <c r="A102" s="43" t="s">
        <v>136</v>
      </c>
      <c r="B102" s="43">
        <v>5.32728E-4</v>
      </c>
      <c r="C102" s="43" t="s">
        <v>134</v>
      </c>
      <c r="D102" s="43" t="s">
        <v>137</v>
      </c>
      <c r="E102" s="43" t="s">
        <v>13</v>
      </c>
      <c r="F102" s="43"/>
      <c r="G102" s="43" t="s">
        <v>12</v>
      </c>
      <c r="H102" s="43" t="s">
        <v>138</v>
      </c>
      <c r="I102" s="43"/>
    </row>
    <row r="103" spans="1:9">
      <c r="A103" s="43" t="s">
        <v>139</v>
      </c>
      <c r="B103" s="43">
        <v>3.6000000000000001E-5</v>
      </c>
      <c r="C103" s="43" t="s">
        <v>134</v>
      </c>
      <c r="D103" s="43" t="s">
        <v>140</v>
      </c>
      <c r="E103" s="43" t="s">
        <v>13</v>
      </c>
      <c r="F103" s="43"/>
      <c r="G103" s="43" t="s">
        <v>12</v>
      </c>
      <c r="H103" s="43" t="s">
        <v>141</v>
      </c>
      <c r="I103" s="43"/>
    </row>
    <row r="104" spans="1:9">
      <c r="A104" s="43" t="s">
        <v>142</v>
      </c>
      <c r="B104" s="43">
        <v>3.6240000000000003E-4</v>
      </c>
      <c r="C104" s="43" t="s">
        <v>134</v>
      </c>
      <c r="D104" s="43" t="s">
        <v>140</v>
      </c>
      <c r="E104" s="43" t="s">
        <v>13</v>
      </c>
      <c r="F104" s="43"/>
      <c r="G104" s="43" t="s">
        <v>12</v>
      </c>
      <c r="H104" s="43" t="s">
        <v>143</v>
      </c>
      <c r="I104" s="43"/>
    </row>
    <row r="105" spans="1:9">
      <c r="A105" s="43" t="s">
        <v>144</v>
      </c>
      <c r="B105" s="44">
        <v>2.54628E-9</v>
      </c>
      <c r="C105" s="43" t="s">
        <v>134</v>
      </c>
      <c r="D105" s="43" t="s">
        <v>140</v>
      </c>
      <c r="E105" s="43" t="s">
        <v>6</v>
      </c>
      <c r="F105" s="43"/>
      <c r="G105" s="43" t="s">
        <v>12</v>
      </c>
      <c r="H105" s="43" t="s">
        <v>145</v>
      </c>
      <c r="I105" s="43"/>
    </row>
    <row r="106" spans="1:9">
      <c r="A106" s="43" t="s">
        <v>146</v>
      </c>
      <c r="B106" s="43">
        <v>2.796E-5</v>
      </c>
      <c r="C106" s="43" t="s">
        <v>134</v>
      </c>
      <c r="D106" s="43" t="s">
        <v>140</v>
      </c>
      <c r="E106" s="43" t="s">
        <v>13</v>
      </c>
      <c r="F106" s="43"/>
      <c r="G106" s="43" t="s">
        <v>12</v>
      </c>
      <c r="H106" s="43" t="s">
        <v>147</v>
      </c>
      <c r="I106" s="43"/>
    </row>
    <row r="107" spans="1:9">
      <c r="A107" s="43" t="s">
        <v>148</v>
      </c>
      <c r="B107" s="43">
        <v>1.668E-5</v>
      </c>
      <c r="C107" s="43" t="s">
        <v>134</v>
      </c>
      <c r="D107" s="43" t="s">
        <v>140</v>
      </c>
      <c r="E107" s="43" t="s">
        <v>13</v>
      </c>
      <c r="F107" s="43"/>
      <c r="G107" s="43" t="s">
        <v>12</v>
      </c>
      <c r="H107" s="43" t="s">
        <v>149</v>
      </c>
      <c r="I107" s="43"/>
    </row>
    <row r="108" spans="1:9">
      <c r="A108" s="43" t="s">
        <v>150</v>
      </c>
      <c r="B108" s="43">
        <v>2.0291999999999999E-4</v>
      </c>
      <c r="C108" s="43" t="s">
        <v>134</v>
      </c>
      <c r="D108" s="43" t="s">
        <v>140</v>
      </c>
      <c r="E108" s="43" t="s">
        <v>13</v>
      </c>
      <c r="F108" s="43"/>
      <c r="G108" s="43" t="s">
        <v>12</v>
      </c>
      <c r="H108" s="43" t="s">
        <v>151</v>
      </c>
      <c r="I108" s="43"/>
    </row>
    <row r="109" spans="1:9">
      <c r="A109" s="43" t="s">
        <v>152</v>
      </c>
      <c r="B109" s="43">
        <v>3.1236000000000002E-4</v>
      </c>
      <c r="C109" s="43" t="s">
        <v>134</v>
      </c>
      <c r="D109" s="43" t="s">
        <v>140</v>
      </c>
      <c r="E109" s="43" t="s">
        <v>13</v>
      </c>
      <c r="F109" s="43"/>
      <c r="G109" s="43" t="s">
        <v>12</v>
      </c>
      <c r="H109" s="43" t="s">
        <v>153</v>
      </c>
      <c r="I109" s="43"/>
    </row>
    <row r="110" spans="1:9">
      <c r="A110" s="43" t="s">
        <v>154</v>
      </c>
      <c r="B110" s="43">
        <v>4.8000000000000001E-5</v>
      </c>
      <c r="C110" s="43" t="s">
        <v>134</v>
      </c>
      <c r="D110" s="43" t="s">
        <v>49</v>
      </c>
      <c r="E110" s="43" t="s">
        <v>13</v>
      </c>
      <c r="F110" s="43"/>
      <c r="G110" s="43" t="s">
        <v>12</v>
      </c>
      <c r="H110" s="43" t="s">
        <v>155</v>
      </c>
      <c r="I110" s="43"/>
    </row>
    <row r="111" spans="1:9">
      <c r="A111" s="43" t="s">
        <v>156</v>
      </c>
      <c r="B111" s="43">
        <v>1.1592E-5</v>
      </c>
      <c r="C111" s="43" t="s">
        <v>134</v>
      </c>
      <c r="D111" s="43" t="s">
        <v>140</v>
      </c>
      <c r="E111" s="43" t="s">
        <v>13</v>
      </c>
      <c r="F111" s="43"/>
      <c r="G111" s="43" t="s">
        <v>12</v>
      </c>
      <c r="H111" s="43" t="s">
        <v>157</v>
      </c>
      <c r="I111" s="43"/>
    </row>
    <row r="112" spans="1:9">
      <c r="A112" s="43" t="s">
        <v>21</v>
      </c>
      <c r="B112" s="43">
        <v>7.538413555</v>
      </c>
      <c r="C112" s="43" t="s">
        <v>134</v>
      </c>
      <c r="D112" s="43" t="s">
        <v>22</v>
      </c>
      <c r="E112" s="43" t="s">
        <v>13</v>
      </c>
      <c r="F112" s="43"/>
      <c r="G112" s="43" t="s">
        <v>12</v>
      </c>
      <c r="H112" s="43" t="s">
        <v>23</v>
      </c>
      <c r="I112" s="43"/>
    </row>
    <row r="113" spans="1:9">
      <c r="A113" s="43" t="s">
        <v>158</v>
      </c>
      <c r="B113" s="43">
        <v>8.8290199999999997E-4</v>
      </c>
      <c r="C113" s="43" t="s">
        <v>134</v>
      </c>
      <c r="D113" s="43" t="s">
        <v>140</v>
      </c>
      <c r="E113" s="43" t="s">
        <v>13</v>
      </c>
      <c r="F113" s="43"/>
      <c r="G113" s="43" t="s">
        <v>12</v>
      </c>
      <c r="H113" s="43" t="s">
        <v>159</v>
      </c>
      <c r="I113" s="43"/>
    </row>
    <row r="114" spans="1:9">
      <c r="A114" s="43" t="s">
        <v>160</v>
      </c>
      <c r="B114" s="43">
        <v>3.7139999999999997E-4</v>
      </c>
      <c r="C114" s="43" t="s">
        <v>134</v>
      </c>
      <c r="D114" s="43" t="s">
        <v>140</v>
      </c>
      <c r="E114" s="43" t="s">
        <v>13</v>
      </c>
      <c r="F114" s="43"/>
      <c r="G114" s="43" t="s">
        <v>12</v>
      </c>
      <c r="H114" s="43" t="s">
        <v>161</v>
      </c>
      <c r="I114" s="43"/>
    </row>
    <row r="115" spans="1:9">
      <c r="A115" s="43" t="s">
        <v>98</v>
      </c>
      <c r="B115" s="43">
        <v>0</v>
      </c>
      <c r="C115" s="43" t="s">
        <v>134</v>
      </c>
      <c r="D115" s="43" t="s">
        <v>29</v>
      </c>
      <c r="E115" s="43" t="s">
        <v>19</v>
      </c>
      <c r="F115" s="43"/>
      <c r="G115" s="43" t="s">
        <v>12</v>
      </c>
      <c r="H115" s="43" t="s">
        <v>31</v>
      </c>
      <c r="I115" s="43"/>
    </row>
    <row r="116" spans="1:9">
      <c r="A116" s="45" t="s">
        <v>162</v>
      </c>
      <c r="B116" s="43">
        <v>4.3695687769999996</v>
      </c>
      <c r="C116" s="43" t="s">
        <v>134</v>
      </c>
      <c r="D116" s="43" t="s">
        <v>22</v>
      </c>
      <c r="E116" s="43" t="s">
        <v>128</v>
      </c>
      <c r="F116" s="43"/>
      <c r="G116" s="43" t="s">
        <v>12</v>
      </c>
      <c r="H116" s="43" t="s">
        <v>163</v>
      </c>
      <c r="I116" s="43"/>
    </row>
    <row r="117" spans="1:9">
      <c r="A117" s="43"/>
      <c r="B117" s="43"/>
      <c r="C117" s="43"/>
      <c r="D117" s="43"/>
      <c r="E117" s="43"/>
      <c r="F117" s="43"/>
      <c r="G117" s="43"/>
      <c r="H117" s="43"/>
      <c r="I117" s="43"/>
    </row>
    <row r="118" spans="1:9" ht="15.5">
      <c r="A118" s="42" t="s">
        <v>1</v>
      </c>
      <c r="B118" s="42" t="s">
        <v>176</v>
      </c>
      <c r="C118" s="43"/>
      <c r="D118" s="43"/>
      <c r="E118" s="43"/>
      <c r="F118" s="43"/>
      <c r="G118" s="43"/>
      <c r="H118" s="43"/>
      <c r="I118" s="43"/>
    </row>
    <row r="119" spans="1:9">
      <c r="A119" s="43" t="s">
        <v>103</v>
      </c>
      <c r="B119" s="43">
        <v>1.290350439</v>
      </c>
      <c r="C119" s="43"/>
      <c r="D119" s="43"/>
      <c r="E119" s="43"/>
      <c r="F119" s="43"/>
      <c r="G119" s="43"/>
      <c r="H119" s="43"/>
      <c r="I119" s="43"/>
    </row>
    <row r="120" spans="1:9">
      <c r="A120" s="43" t="s">
        <v>2</v>
      </c>
      <c r="B120" s="43" t="s">
        <v>29</v>
      </c>
      <c r="C120" s="43"/>
      <c r="D120" s="43"/>
      <c r="E120" s="43"/>
      <c r="F120" s="43"/>
      <c r="G120" s="43"/>
      <c r="H120" s="43"/>
      <c r="I120" s="43"/>
    </row>
    <row r="121" spans="1:9">
      <c r="A121" s="43" t="s">
        <v>4</v>
      </c>
      <c r="B121" s="43" t="s">
        <v>104</v>
      </c>
      <c r="C121" s="43"/>
      <c r="D121" s="43"/>
      <c r="E121" s="43"/>
      <c r="F121" s="43"/>
      <c r="G121" s="43"/>
      <c r="H121" s="43"/>
      <c r="I121" s="43"/>
    </row>
    <row r="122" spans="1:9">
      <c r="A122" s="43" t="s">
        <v>6</v>
      </c>
      <c r="B122" s="43" t="s">
        <v>13</v>
      </c>
      <c r="C122" s="43"/>
      <c r="D122" s="43"/>
      <c r="E122" s="43"/>
      <c r="F122" s="43"/>
      <c r="G122" s="43"/>
      <c r="H122" s="43"/>
      <c r="I122" s="43"/>
    </row>
    <row r="123" spans="1:9">
      <c r="A123" s="43" t="s">
        <v>11</v>
      </c>
      <c r="B123" s="43" t="s">
        <v>105</v>
      </c>
      <c r="C123" s="43"/>
      <c r="D123" s="43"/>
      <c r="E123" s="43"/>
      <c r="F123" s="43"/>
      <c r="G123" s="43"/>
      <c r="H123" s="43"/>
      <c r="I123" s="43"/>
    </row>
    <row r="124" spans="1:9" ht="15.5">
      <c r="A124" s="42" t="s">
        <v>7</v>
      </c>
      <c r="B124" s="43"/>
      <c r="C124" s="43"/>
      <c r="D124" s="43"/>
      <c r="E124" s="43"/>
      <c r="F124" s="43"/>
      <c r="G124" s="43"/>
      <c r="H124" s="43"/>
      <c r="I124" s="43"/>
    </row>
    <row r="125" spans="1:9">
      <c r="A125" s="43" t="s">
        <v>8</v>
      </c>
      <c r="B125" s="43" t="s">
        <v>9</v>
      </c>
      <c r="C125" s="43" t="s">
        <v>106</v>
      </c>
      <c r="D125" s="43" t="s">
        <v>2</v>
      </c>
      <c r="E125" s="43" t="s">
        <v>6</v>
      </c>
      <c r="F125" s="43" t="s">
        <v>10</v>
      </c>
      <c r="G125" s="43" t="s">
        <v>5</v>
      </c>
      <c r="H125" s="43" t="s">
        <v>4</v>
      </c>
      <c r="I125" s="43" t="s">
        <v>11</v>
      </c>
    </row>
    <row r="126" spans="1:9">
      <c r="A126" s="43" t="s">
        <v>164</v>
      </c>
      <c r="B126" s="43">
        <v>1</v>
      </c>
      <c r="C126" s="43" t="s">
        <v>107</v>
      </c>
      <c r="D126" s="43" t="s">
        <v>29</v>
      </c>
      <c r="E126" s="43" t="s">
        <v>13</v>
      </c>
      <c r="F126" s="43"/>
      <c r="G126" s="43" t="s">
        <v>18</v>
      </c>
      <c r="H126" s="43" t="s">
        <v>104</v>
      </c>
      <c r="I126" s="43"/>
    </row>
    <row r="127" spans="1:9">
      <c r="A127" s="43" t="s">
        <v>108</v>
      </c>
      <c r="B127" s="44">
        <v>2.8033E-8</v>
      </c>
      <c r="C127" s="43" t="s">
        <v>109</v>
      </c>
      <c r="D127" s="43"/>
      <c r="E127" s="43" t="s">
        <v>13</v>
      </c>
      <c r="F127" s="43" t="s">
        <v>25</v>
      </c>
      <c r="G127" s="43" t="s">
        <v>15</v>
      </c>
      <c r="H127" s="43"/>
      <c r="I127" s="43"/>
    </row>
    <row r="128" spans="1:9">
      <c r="A128" s="43" t="s">
        <v>110</v>
      </c>
      <c r="B128" s="44">
        <v>4.2049500000000003E-6</v>
      </c>
      <c r="C128" s="43" t="s">
        <v>109</v>
      </c>
      <c r="D128" s="43"/>
      <c r="E128" s="43" t="s">
        <v>13</v>
      </c>
      <c r="F128" s="43" t="s">
        <v>25</v>
      </c>
      <c r="G128" s="43" t="s">
        <v>15</v>
      </c>
      <c r="H128" s="43"/>
      <c r="I128" s="43"/>
    </row>
    <row r="129" spans="1:9">
      <c r="A129" s="43" t="s">
        <v>111</v>
      </c>
      <c r="B129" s="44">
        <v>1.12135E-5</v>
      </c>
      <c r="C129" s="43" t="s">
        <v>109</v>
      </c>
      <c r="D129" s="43"/>
      <c r="E129" s="43" t="s">
        <v>13</v>
      </c>
      <c r="F129" s="43" t="s">
        <v>25</v>
      </c>
      <c r="G129" s="43" t="s">
        <v>15</v>
      </c>
      <c r="H129" s="43"/>
      <c r="I129" s="43"/>
    </row>
    <row r="130" spans="1:9">
      <c r="A130" s="43" t="s">
        <v>112</v>
      </c>
      <c r="B130" s="44">
        <v>2.8033E-10</v>
      </c>
      <c r="C130" s="43" t="s">
        <v>109</v>
      </c>
      <c r="D130" s="43"/>
      <c r="E130" s="43" t="s">
        <v>13</v>
      </c>
      <c r="F130" s="43" t="s">
        <v>25</v>
      </c>
      <c r="G130" s="43" t="s">
        <v>15</v>
      </c>
      <c r="H130" s="43"/>
      <c r="I130" s="43"/>
    </row>
    <row r="131" spans="1:9">
      <c r="A131" s="43" t="s">
        <v>113</v>
      </c>
      <c r="B131" s="44">
        <v>1.96236E-5</v>
      </c>
      <c r="C131" s="43" t="s">
        <v>109</v>
      </c>
      <c r="D131" s="43"/>
      <c r="E131" s="43" t="s">
        <v>13</v>
      </c>
      <c r="F131" s="43" t="s">
        <v>25</v>
      </c>
      <c r="G131" s="43" t="s">
        <v>15</v>
      </c>
      <c r="H131" s="43"/>
      <c r="I131" s="43"/>
    </row>
    <row r="132" spans="1:9">
      <c r="A132" s="43" t="s">
        <v>40</v>
      </c>
      <c r="B132" s="43">
        <v>2.6104586730000001</v>
      </c>
      <c r="C132" s="43" t="s">
        <v>109</v>
      </c>
      <c r="D132" s="43"/>
      <c r="E132" s="43" t="s">
        <v>13</v>
      </c>
      <c r="F132" s="43" t="s">
        <v>25</v>
      </c>
      <c r="G132" s="43" t="s">
        <v>15</v>
      </c>
      <c r="H132" s="43"/>
      <c r="I132" s="43"/>
    </row>
    <row r="133" spans="1:9">
      <c r="A133" s="43" t="s">
        <v>114</v>
      </c>
      <c r="B133" s="44">
        <v>5.8870399999999998E-5</v>
      </c>
      <c r="C133" s="43" t="s">
        <v>109</v>
      </c>
      <c r="D133" s="43"/>
      <c r="E133" s="43" t="s">
        <v>13</v>
      </c>
      <c r="F133" s="43" t="s">
        <v>25</v>
      </c>
      <c r="G133" s="43" t="s">
        <v>15</v>
      </c>
      <c r="H133" s="43"/>
      <c r="I133" s="43"/>
    </row>
    <row r="134" spans="1:9">
      <c r="A134" s="43" t="s">
        <v>115</v>
      </c>
      <c r="B134" s="44">
        <v>2.8032999999999999E-6</v>
      </c>
      <c r="C134" s="43" t="s">
        <v>109</v>
      </c>
      <c r="D134" s="43"/>
      <c r="E134" s="43" t="s">
        <v>13</v>
      </c>
      <c r="F134" s="43" t="s">
        <v>25</v>
      </c>
      <c r="G134" s="43" t="s">
        <v>15</v>
      </c>
      <c r="H134" s="43"/>
      <c r="I134" s="43"/>
    </row>
    <row r="135" spans="1:9">
      <c r="A135" s="43" t="s">
        <v>116</v>
      </c>
      <c r="B135" s="44">
        <v>2.8032999999999999E-6</v>
      </c>
      <c r="C135" s="43" t="s">
        <v>109</v>
      </c>
      <c r="D135" s="43"/>
      <c r="E135" s="43" t="s">
        <v>13</v>
      </c>
      <c r="F135" s="43" t="s">
        <v>25</v>
      </c>
      <c r="G135" s="43" t="s">
        <v>15</v>
      </c>
      <c r="H135" s="43"/>
      <c r="I135" s="43"/>
    </row>
    <row r="136" spans="1:9">
      <c r="A136" s="43" t="s">
        <v>117</v>
      </c>
      <c r="B136" s="44">
        <v>8.4101700000000003E-10</v>
      </c>
      <c r="C136" s="43" t="s">
        <v>109</v>
      </c>
      <c r="D136" s="43"/>
      <c r="E136" s="43" t="s">
        <v>13</v>
      </c>
      <c r="F136" s="43" t="s">
        <v>25</v>
      </c>
      <c r="G136" s="43" t="s">
        <v>15</v>
      </c>
      <c r="H136" s="43"/>
      <c r="I136" s="43"/>
    </row>
    <row r="137" spans="1:9">
      <c r="A137" s="43" t="s">
        <v>118</v>
      </c>
      <c r="B137" s="44">
        <v>5.6068700000000001E-5</v>
      </c>
      <c r="C137" s="43" t="s">
        <v>109</v>
      </c>
      <c r="D137" s="43"/>
      <c r="E137" s="43" t="s">
        <v>13</v>
      </c>
      <c r="F137" s="43" t="s">
        <v>25</v>
      </c>
      <c r="G137" s="43" t="s">
        <v>15</v>
      </c>
      <c r="H137" s="43"/>
      <c r="I137" s="43"/>
    </row>
    <row r="138" spans="1:9">
      <c r="A138" s="43" t="s">
        <v>119</v>
      </c>
      <c r="B138" s="43">
        <v>5.0180299999999999E-4</v>
      </c>
      <c r="C138" s="43" t="s">
        <v>109</v>
      </c>
      <c r="D138" s="43"/>
      <c r="E138" s="43" t="s">
        <v>13</v>
      </c>
      <c r="F138" s="43" t="s">
        <v>25</v>
      </c>
      <c r="G138" s="43" t="s">
        <v>15</v>
      </c>
      <c r="H138" s="43"/>
      <c r="I138" s="43"/>
    </row>
    <row r="139" spans="1:9">
      <c r="A139" s="43" t="s">
        <v>120</v>
      </c>
      <c r="B139" s="44">
        <v>2.8033000000000002E-7</v>
      </c>
      <c r="C139" s="43" t="s">
        <v>109</v>
      </c>
      <c r="D139" s="43"/>
      <c r="E139" s="43" t="s">
        <v>13</v>
      </c>
      <c r="F139" s="43" t="s">
        <v>25</v>
      </c>
      <c r="G139" s="43" t="s">
        <v>15</v>
      </c>
      <c r="H139" s="43"/>
      <c r="I139" s="43"/>
    </row>
    <row r="140" spans="1:9">
      <c r="A140" s="43" t="s">
        <v>121</v>
      </c>
      <c r="B140" s="44">
        <v>5.6068700000000001E-6</v>
      </c>
      <c r="C140" s="43" t="s">
        <v>109</v>
      </c>
      <c r="D140" s="43"/>
      <c r="E140" s="43" t="s">
        <v>13</v>
      </c>
      <c r="F140" s="43" t="s">
        <v>25</v>
      </c>
      <c r="G140" s="43" t="s">
        <v>15</v>
      </c>
      <c r="H140" s="43"/>
      <c r="I140" s="43"/>
    </row>
    <row r="141" spans="1:9">
      <c r="A141" s="43" t="s">
        <v>122</v>
      </c>
      <c r="B141" s="44">
        <v>3.36417E-5</v>
      </c>
      <c r="C141" s="43" t="s">
        <v>109</v>
      </c>
      <c r="D141" s="43"/>
      <c r="E141" s="43" t="s">
        <v>13</v>
      </c>
      <c r="F141" s="43" t="s">
        <v>25</v>
      </c>
      <c r="G141" s="43" t="s">
        <v>15</v>
      </c>
      <c r="H141" s="43"/>
      <c r="I141" s="43"/>
    </row>
    <row r="142" spans="1:9">
      <c r="A142" s="43" t="s">
        <v>123</v>
      </c>
      <c r="B142" s="44">
        <v>5.6068700000000001E-6</v>
      </c>
      <c r="C142" s="43" t="s">
        <v>109</v>
      </c>
      <c r="D142" s="43"/>
      <c r="E142" s="43" t="s">
        <v>13</v>
      </c>
      <c r="F142" s="43" t="s">
        <v>25</v>
      </c>
      <c r="G142" s="43" t="s">
        <v>15</v>
      </c>
      <c r="H142" s="43"/>
      <c r="I142" s="43"/>
    </row>
    <row r="143" spans="1:9">
      <c r="A143" s="43" t="s">
        <v>124</v>
      </c>
      <c r="B143" s="44">
        <v>5.6068700000000005E-7</v>
      </c>
      <c r="C143" s="43" t="s">
        <v>109</v>
      </c>
      <c r="D143" s="43"/>
      <c r="E143" s="43" t="s">
        <v>13</v>
      </c>
      <c r="F143" s="43" t="s">
        <v>25</v>
      </c>
      <c r="G143" s="43" t="s">
        <v>15</v>
      </c>
      <c r="H143" s="43"/>
      <c r="I143" s="43"/>
    </row>
    <row r="144" spans="1:9">
      <c r="A144" s="43" t="s">
        <v>125</v>
      </c>
      <c r="B144" s="44">
        <v>1.5418699999999999E-5</v>
      </c>
      <c r="C144" s="43" t="s">
        <v>109</v>
      </c>
      <c r="D144" s="43"/>
      <c r="E144" s="43" t="s">
        <v>13</v>
      </c>
      <c r="F144" s="43" t="s">
        <v>25</v>
      </c>
      <c r="G144" s="43" t="s">
        <v>15</v>
      </c>
      <c r="H144" s="43"/>
      <c r="I144" s="43"/>
    </row>
    <row r="145" spans="1:9">
      <c r="A145" s="43" t="s">
        <v>126</v>
      </c>
      <c r="B145" s="44">
        <v>5.6068700000000001E-6</v>
      </c>
      <c r="C145" s="43" t="s">
        <v>109</v>
      </c>
      <c r="D145" s="43"/>
      <c r="E145" s="43" t="s">
        <v>13</v>
      </c>
      <c r="F145" s="43" t="s">
        <v>25</v>
      </c>
      <c r="G145" s="43" t="s">
        <v>15</v>
      </c>
      <c r="H145" s="43"/>
      <c r="I145" s="43"/>
    </row>
    <row r="146" spans="1:9">
      <c r="A146" s="43" t="s">
        <v>127</v>
      </c>
      <c r="B146" s="43">
        <v>0.38033800800000001</v>
      </c>
      <c r="C146" s="43" t="s">
        <v>109</v>
      </c>
      <c r="D146" s="43"/>
      <c r="E146" s="43" t="s">
        <v>128</v>
      </c>
      <c r="F146" s="43" t="s">
        <v>129</v>
      </c>
      <c r="G146" s="43" t="s">
        <v>15</v>
      </c>
      <c r="H146" s="43"/>
      <c r="I146" s="43"/>
    </row>
    <row r="147" spans="1:9">
      <c r="A147" s="43" t="s">
        <v>130</v>
      </c>
      <c r="B147" s="43">
        <v>0.36940000000000001</v>
      </c>
      <c r="C147" s="43" t="s">
        <v>109</v>
      </c>
      <c r="D147" s="43"/>
      <c r="E147" s="43" t="s">
        <v>128</v>
      </c>
      <c r="F147" s="43" t="s">
        <v>131</v>
      </c>
      <c r="G147" s="43" t="s">
        <v>15</v>
      </c>
      <c r="H147" s="43"/>
      <c r="I147" s="43"/>
    </row>
    <row r="148" spans="1:9">
      <c r="A148" s="43" t="s">
        <v>130</v>
      </c>
      <c r="B148" s="43">
        <v>1.0999999999999999E-2</v>
      </c>
      <c r="C148" s="43" t="s">
        <v>109</v>
      </c>
      <c r="D148" s="43"/>
      <c r="E148" s="43" t="s">
        <v>128</v>
      </c>
      <c r="F148" s="43" t="s">
        <v>25</v>
      </c>
      <c r="G148" s="43" t="s">
        <v>15</v>
      </c>
      <c r="H148" s="43"/>
      <c r="I148" s="43" t="s">
        <v>165</v>
      </c>
    </row>
    <row r="149" spans="1:9">
      <c r="A149" s="43" t="s">
        <v>166</v>
      </c>
      <c r="B149" s="43">
        <v>6.1611670199999997</v>
      </c>
      <c r="C149" s="43" t="s">
        <v>167</v>
      </c>
      <c r="D149" s="43" t="s">
        <v>49</v>
      </c>
      <c r="E149" s="43" t="s">
        <v>13</v>
      </c>
      <c r="F149" s="43"/>
      <c r="G149" s="43" t="s">
        <v>12</v>
      </c>
      <c r="H149" s="43" t="s">
        <v>166</v>
      </c>
      <c r="I149" s="43"/>
    </row>
    <row r="150" spans="1:9">
      <c r="A150" s="43" t="s">
        <v>133</v>
      </c>
      <c r="B150" s="44">
        <v>5.3477100000000001E-10</v>
      </c>
      <c r="C150" s="43" t="s">
        <v>167</v>
      </c>
      <c r="D150" s="43" t="s">
        <v>49</v>
      </c>
      <c r="E150" s="43" t="s">
        <v>6</v>
      </c>
      <c r="F150" s="43"/>
      <c r="G150" s="43" t="s">
        <v>12</v>
      </c>
      <c r="H150" s="43" t="s">
        <v>135</v>
      </c>
      <c r="I150" s="43"/>
    </row>
    <row r="151" spans="1:9">
      <c r="A151" s="43" t="s">
        <v>136</v>
      </c>
      <c r="B151" s="43">
        <v>5.32728E-4</v>
      </c>
      <c r="C151" s="43" t="s">
        <v>167</v>
      </c>
      <c r="D151" s="43" t="s">
        <v>137</v>
      </c>
      <c r="E151" s="43" t="s">
        <v>13</v>
      </c>
      <c r="F151" s="43"/>
      <c r="G151" s="43" t="s">
        <v>12</v>
      </c>
      <c r="H151" s="43" t="s">
        <v>138</v>
      </c>
      <c r="I151" s="43"/>
    </row>
    <row r="152" spans="1:9">
      <c r="A152" s="43" t="s">
        <v>139</v>
      </c>
      <c r="B152" s="43">
        <v>3.6000000000000001E-5</v>
      </c>
      <c r="C152" s="43" t="s">
        <v>167</v>
      </c>
      <c r="D152" s="43" t="s">
        <v>140</v>
      </c>
      <c r="E152" s="43" t="s">
        <v>13</v>
      </c>
      <c r="F152" s="43"/>
      <c r="G152" s="43" t="s">
        <v>12</v>
      </c>
      <c r="H152" s="43" t="s">
        <v>141</v>
      </c>
      <c r="I152" s="43"/>
    </row>
    <row r="153" spans="1:9">
      <c r="A153" s="43" t="s">
        <v>142</v>
      </c>
      <c r="B153" s="43">
        <v>3.6240000000000003E-4</v>
      </c>
      <c r="C153" s="43" t="s">
        <v>167</v>
      </c>
      <c r="D153" s="43" t="s">
        <v>140</v>
      </c>
      <c r="E153" s="43" t="s">
        <v>13</v>
      </c>
      <c r="F153" s="43"/>
      <c r="G153" s="43" t="s">
        <v>12</v>
      </c>
      <c r="H153" s="43" t="s">
        <v>143</v>
      </c>
      <c r="I153" s="43"/>
    </row>
    <row r="154" spans="1:9">
      <c r="A154" s="43" t="s">
        <v>168</v>
      </c>
      <c r="B154" s="43">
        <v>2.0948000000000001E-4</v>
      </c>
      <c r="C154" s="43" t="s">
        <v>167</v>
      </c>
      <c r="D154" s="43" t="s">
        <v>140</v>
      </c>
      <c r="E154" s="43" t="s">
        <v>13</v>
      </c>
      <c r="F154" s="43"/>
      <c r="G154" s="43" t="s">
        <v>12</v>
      </c>
      <c r="H154" s="43" t="s">
        <v>169</v>
      </c>
      <c r="I154" s="43"/>
    </row>
    <row r="155" spans="1:9">
      <c r="A155" s="43" t="s">
        <v>144</v>
      </c>
      <c r="B155" s="44">
        <v>2.54628E-9</v>
      </c>
      <c r="C155" s="43" t="s">
        <v>167</v>
      </c>
      <c r="D155" s="43" t="s">
        <v>140</v>
      </c>
      <c r="E155" s="43" t="s">
        <v>6</v>
      </c>
      <c r="F155" s="43"/>
      <c r="G155" s="43" t="s">
        <v>12</v>
      </c>
      <c r="H155" s="43" t="s">
        <v>145</v>
      </c>
      <c r="I155" s="43"/>
    </row>
    <row r="156" spans="1:9">
      <c r="A156" s="43" t="s">
        <v>146</v>
      </c>
      <c r="B156" s="43">
        <v>2.796E-5</v>
      </c>
      <c r="C156" s="43" t="s">
        <v>167</v>
      </c>
      <c r="D156" s="43" t="s">
        <v>140</v>
      </c>
      <c r="E156" s="43" t="s">
        <v>13</v>
      </c>
      <c r="F156" s="43"/>
      <c r="G156" s="43" t="s">
        <v>12</v>
      </c>
      <c r="H156" s="43" t="s">
        <v>147</v>
      </c>
      <c r="I156" s="43"/>
    </row>
    <row r="157" spans="1:9">
      <c r="A157" s="43" t="s">
        <v>148</v>
      </c>
      <c r="B157" s="43">
        <v>1.668E-5</v>
      </c>
      <c r="C157" s="43" t="s">
        <v>167</v>
      </c>
      <c r="D157" s="43" t="s">
        <v>140</v>
      </c>
      <c r="E157" s="43" t="s">
        <v>13</v>
      </c>
      <c r="F157" s="43"/>
      <c r="G157" s="43" t="s">
        <v>12</v>
      </c>
      <c r="H157" s="43" t="s">
        <v>149</v>
      </c>
      <c r="I157" s="43"/>
    </row>
    <row r="158" spans="1:9">
      <c r="A158" s="43" t="s">
        <v>150</v>
      </c>
      <c r="B158" s="43">
        <v>2.0291999999999999E-4</v>
      </c>
      <c r="C158" s="43" t="s">
        <v>167</v>
      </c>
      <c r="D158" s="43" t="s">
        <v>140</v>
      </c>
      <c r="E158" s="43" t="s">
        <v>13</v>
      </c>
      <c r="F158" s="43"/>
      <c r="G158" s="43" t="s">
        <v>12</v>
      </c>
      <c r="H158" s="43" t="s">
        <v>151</v>
      </c>
      <c r="I158" s="43"/>
    </row>
    <row r="159" spans="1:9">
      <c r="A159" s="43" t="s">
        <v>152</v>
      </c>
      <c r="B159" s="43">
        <v>3.1236000000000002E-4</v>
      </c>
      <c r="C159" s="43" t="s">
        <v>167</v>
      </c>
      <c r="D159" s="43" t="s">
        <v>140</v>
      </c>
      <c r="E159" s="43" t="s">
        <v>13</v>
      </c>
      <c r="F159" s="43"/>
      <c r="G159" s="43" t="s">
        <v>12</v>
      </c>
      <c r="H159" s="43" t="s">
        <v>153</v>
      </c>
      <c r="I159" s="43"/>
    </row>
    <row r="160" spans="1:9">
      <c r="A160" s="43" t="s">
        <v>154</v>
      </c>
      <c r="B160" s="43">
        <v>4.8000000000000001E-5</v>
      </c>
      <c r="C160" s="43" t="s">
        <v>167</v>
      </c>
      <c r="D160" s="43" t="s">
        <v>49</v>
      </c>
      <c r="E160" s="43" t="s">
        <v>13</v>
      </c>
      <c r="F160" s="43"/>
      <c r="G160" s="43" t="s">
        <v>12</v>
      </c>
      <c r="H160" s="43" t="s">
        <v>155</v>
      </c>
      <c r="I160" s="43"/>
    </row>
    <row r="161" spans="1:9">
      <c r="A161" s="43" t="s">
        <v>156</v>
      </c>
      <c r="B161" s="43">
        <v>1.1592E-5</v>
      </c>
      <c r="C161" s="43" t="s">
        <v>167</v>
      </c>
      <c r="D161" s="43" t="s">
        <v>140</v>
      </c>
      <c r="E161" s="43" t="s">
        <v>13</v>
      </c>
      <c r="F161" s="43"/>
      <c r="G161" s="43" t="s">
        <v>12</v>
      </c>
      <c r="H161" s="43" t="s">
        <v>157</v>
      </c>
      <c r="I161" s="43"/>
    </row>
    <row r="162" spans="1:9">
      <c r="A162" s="43" t="s">
        <v>21</v>
      </c>
      <c r="B162" s="43">
        <v>7.5375498600000004</v>
      </c>
      <c r="C162" s="43" t="s">
        <v>167</v>
      </c>
      <c r="D162" s="43" t="s">
        <v>22</v>
      </c>
      <c r="E162" s="43" t="s">
        <v>13</v>
      </c>
      <c r="F162" s="43"/>
      <c r="G162" s="43" t="s">
        <v>12</v>
      </c>
      <c r="H162" s="43" t="s">
        <v>23</v>
      </c>
      <c r="I162" s="43"/>
    </row>
    <row r="163" spans="1:9">
      <c r="A163" s="43" t="s">
        <v>158</v>
      </c>
      <c r="B163" s="43">
        <v>8.8290199999999997E-4</v>
      </c>
      <c r="C163" s="43" t="s">
        <v>167</v>
      </c>
      <c r="D163" s="43" t="s">
        <v>140</v>
      </c>
      <c r="E163" s="43" t="s">
        <v>13</v>
      </c>
      <c r="F163" s="43"/>
      <c r="G163" s="43" t="s">
        <v>12</v>
      </c>
      <c r="H163" s="43" t="s">
        <v>159</v>
      </c>
      <c r="I163" s="43"/>
    </row>
    <row r="164" spans="1:9">
      <c r="A164" s="43" t="s">
        <v>160</v>
      </c>
      <c r="B164" s="43">
        <v>3.7139999999999997E-4</v>
      </c>
      <c r="C164" s="43" t="s">
        <v>167</v>
      </c>
      <c r="D164" s="43" t="s">
        <v>140</v>
      </c>
      <c r="E164" s="43" t="s">
        <v>13</v>
      </c>
      <c r="F164" s="43"/>
      <c r="G164" s="43" t="s">
        <v>12</v>
      </c>
      <c r="H164" s="43" t="s">
        <v>161</v>
      </c>
      <c r="I164" s="43"/>
    </row>
    <row r="165" spans="1:9">
      <c r="A165" s="43" t="s">
        <v>98</v>
      </c>
      <c r="B165" s="43">
        <v>0</v>
      </c>
      <c r="C165" s="43" t="s">
        <v>167</v>
      </c>
      <c r="D165" s="43" t="s">
        <v>29</v>
      </c>
      <c r="E165" s="43" t="s">
        <v>19</v>
      </c>
      <c r="F165" s="43"/>
      <c r="G165" s="43" t="s">
        <v>12</v>
      </c>
      <c r="H165" s="43" t="s">
        <v>31</v>
      </c>
      <c r="I165" s="43"/>
    </row>
    <row r="166" spans="1:9">
      <c r="A166" s="45" t="s">
        <v>162</v>
      </c>
      <c r="B166" s="43">
        <v>4.3011681309999998</v>
      </c>
      <c r="C166" s="43" t="s">
        <v>167</v>
      </c>
      <c r="D166" s="43" t="s">
        <v>22</v>
      </c>
      <c r="E166" s="43" t="s">
        <v>128</v>
      </c>
      <c r="F166" s="43"/>
      <c r="G166" s="43" t="s">
        <v>12</v>
      </c>
      <c r="H166" s="43" t="s">
        <v>163</v>
      </c>
      <c r="I166" s="43"/>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A33" sqref="A33:XFD57"/>
    </sheetView>
  </sheetViews>
  <sheetFormatPr baseColWidth="10" defaultRowHeight="14.5"/>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25"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25"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5">
      <c r="A57" s="32" t="s">
        <v>73</v>
      </c>
      <c r="B57" s="19">
        <f>3.6/0.5/120</f>
        <v>6.0000000000000005E-2</v>
      </c>
      <c r="C57" t="s">
        <v>29</v>
      </c>
      <c r="D57" t="s">
        <v>13</v>
      </c>
      <c r="E57" t="s">
        <v>12</v>
      </c>
      <c r="F57" s="31" t="s">
        <v>57</v>
      </c>
      <c r="H57" s="13"/>
      <c r="I57" s="18"/>
      <c r="K57"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2025-02-28T09:34:12Z</dcterms:modified>
</cp:coreProperties>
</file>