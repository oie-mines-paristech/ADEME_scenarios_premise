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mc:AlternateContent xmlns:mc="http://schemas.openxmlformats.org/markup-compatibility/2006">
    <mc:Choice Requires="x15">
      <x15ac:absPath xmlns:x15ac="http://schemas.microsoft.com/office/spreadsheetml/2010/11/ac" url="C:\Users\joanna.schlesinger\0.Joanna\2. HySPI\ADEME_scenarios_premise\inventories\"/>
    </mc:Choice>
  </mc:AlternateContent>
  <xr:revisionPtr revIDLastSave="0" documentId="13_ncr:1_{B7AB6699-6060-4CC3-AB5A-19744D2ED2F6}" xr6:coauthVersionLast="47" xr6:coauthVersionMax="47" xr10:uidLastSave="{00000000-0000-0000-0000-000000000000}"/>
  <bookViews>
    <workbookView xWindow="-110" yWindow="-110" windowWidth="19420" windowHeight="1042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86" i="1" l="1"/>
  <c r="B25" i="1"/>
  <c r="B24" i="1"/>
  <c r="B23" i="1"/>
  <c r="B22" i="1"/>
  <c r="B21" i="1"/>
  <c r="B20" i="1"/>
  <c r="G18" i="1"/>
  <c r="D18" i="1"/>
  <c r="A18" i="1"/>
  <c r="B45" i="1" l="1"/>
  <c r="B39" i="1"/>
  <c r="B41" i="1" s="1"/>
  <c r="B38" i="1"/>
  <c r="B40" i="1" s="1"/>
  <c r="D37" i="1"/>
  <c r="C37" i="1"/>
  <c r="B89" i="1" l="1"/>
  <c r="B88" i="1"/>
  <c r="B87" i="1"/>
  <c r="B71" i="1" l="1"/>
  <c r="B56" i="1" l="1"/>
  <c r="B101" i="1"/>
  <c r="C86" i="1"/>
  <c r="B102" i="1" l="1"/>
  <c r="C100" i="1"/>
</calcChain>
</file>

<file path=xl/sharedStrings.xml><?xml version="1.0" encoding="utf-8"?>
<sst xmlns="http://schemas.openxmlformats.org/spreadsheetml/2006/main" count="319" uniqueCount="102">
  <si>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</si>
  <si>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</si>
  <si>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</si>
  <si>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</si>
  <si>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</si>
  <si>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</si>
  <si>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</si>
  <si>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</si>
  <si>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</si>
  <si>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</si>
  <si>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</si>
  <si>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</si>
  <si>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</si>
  <si>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</si>
  <si>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</si>
  <si>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</si>
  <si>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</si>
  <si>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</si>
  <si>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</si>
  <si>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</si>
  <si>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</si>
  <si>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</si>
  <si>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</si>
  <si>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</si>
  <si>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</si>
  <si>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</si>
  <si>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</si>
  <si>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</si>
  <si>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</si>
  <si>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</si>
  <si>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</si>
  <si>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</si>
  <si>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</si>
  <si>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</si>
  <si>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</si>
  <si>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</si>
  <si>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</si>
  <si>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</si>
  <si>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</si>
  <si>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</si>
  <si>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</si>
  <si>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</si>
  <si>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</si>
  <si>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</si>
  <si>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</si>
  <si>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</si>
  <si>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</si>
  <si>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</si>
  <si>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</si>
  <si>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</si>
  <si>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</si>
  <si>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</si>
  <si>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</si>
  <si>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</si>
  <si>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</si>
  <si>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</si>
  <si>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</si>
  <si>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</si>
  <si>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</si>
  <si>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</si>
  <si>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</si>
  <si>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</si>
  <si>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</si>
  <si>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</si>
  <si>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</si>
  <si>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</si>
  <si>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</si>
  <si>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</si>
  <si>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</si>
  <si>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</si>
  <si>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</si>
  <si>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</si>
  <si>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</si>
  <si>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</si>
  <si>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electricity supply, high voltage, from vanadium-redox flow battery system</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</si>
  <si>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</si>
  <si>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</si>
  <si>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</si>
  <si>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</si>
  <si>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</si>
  <si>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</si>
  <si>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</si>
  <si>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</si>
  <si>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</si>
  <si>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</si>
  <si>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</si>
  <si>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</si>
  <si>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</si>
  <si>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</si>
  <si>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</si>
  <si>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</si>
  <si>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</si>
  <si>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</si>
  <si>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</si>
  <si>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</si>
  <si>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</si>
  <si>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</si>
  <si>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</si>
  <si>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</si>
  <si>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</si>
  <si>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</si>
  <si>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electricity production, from stationary battery, Tr2050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</si>
</sst>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2">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i/>
      <sz val="11"/>
      <color theme="1"/>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42">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8" fillId="0" borderId="0" xfId="1" applyFont="1"/>
    <xf numFmtId="11" fontId="8" fillId="0" borderId="0" xfId="0" applyNumberFormat="1" applyFont="1"/>
    <xf numFmtId="0" fontId="9" fillId="0" borderId="0" xfId="2" applyFont="1"/>
    <xf numFmtId="0" fontId="9" fillId="0" borderId="0" xfId="0" applyFont="1"/>
    <xf numFmtId="2" fontId="9" fillId="0" borderId="0" xfId="0" applyNumberFormat="1" applyFont="1"/>
    <xf numFmtId="0" fontId="9" fillId="0" borderId="0" xfId="1" applyFont="1"/>
    <xf numFmtId="11" fontId="9" fillId="0" borderId="0" xfId="1" applyNumberFormat="1" applyFont="1" applyAlignment="1">
      <alignment horizontal="left"/>
    </xf>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0" fontId="9" fillId="0" borderId="0" xfId="4" applyFont="1" applyFill="1"/>
    <xf numFmtId="0" fontId="9" fillId="0" borderId="0" xfId="4" applyFont="1" applyFill="1" applyBorder="1"/>
    <xf numFmtId="0" fontId="11" fillId="0" borderId="0" xfId="0" applyFont="1"/>
    <xf numFmtId="164" fontId="0" fillId="0" borderId="0" xfId="0" applyNumberFormat="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2"/>
  <sheetViews>
    <sheetView tabSelected="1" zoomScaleNormal="100" workbookViewId="0">
      <selection activeCell="A47" sqref="A47:XFD75"/>
    </sheetView>
  </sheetViews>
  <sheetFormatPr baseColWidth="10" defaultColWidth="8.81640625" defaultRowHeight="14.5"/>
  <cols>
    <col min="1" max="1" width="55.36328125" customWidth="1"/>
    <col min="2" max="2" width="18.6328125" style="19" customWidth="1"/>
    <col min="3" max="3" width="17.1796875" customWidth="1"/>
    <col min="4" max="4" width="24.36328125" bestFit="1" customWidth="1"/>
    <col min="5" max="5" width="26.453125" customWidth="1"/>
    <col min="6" max="6" width="14.81640625" bestFit="1" customWidth="1"/>
    <col min="7" max="7" width="33.453125" bestFit="1" customWidth="1"/>
    <col min="8" max="8" width="19.6328125" bestFit="1" customWidth="1"/>
    <col min="9" max="9" width="99.1796875" style="3" customWidth="1"/>
    <col min="10" max="10" width="31" customWidth="1"/>
  </cols>
  <sheetData>
    <row r="1" spans="1:13">
      <c r="A1" t="s">
        <v>14</v>
      </c>
      <c r="B1">
        <v>9</v>
      </c>
    </row>
    <row r="2" spans="1:13">
      <c r="A2" s="4" t="s">
        <v>0</v>
      </c>
      <c r="B2" s="5" t="s">
        <v>100</v>
      </c>
      <c r="C2" s="6"/>
      <c r="D2" s="6"/>
      <c r="E2" s="6"/>
      <c r="F2" s="6"/>
      <c r="G2" s="6"/>
      <c r="H2" s="6"/>
      <c r="I2" s="7"/>
      <c r="K2" s="8"/>
    </row>
    <row r="3" spans="1:13">
      <c r="A3" s="4"/>
      <c r="B3" s="5"/>
      <c r="C3" s="6"/>
      <c r="D3" s="6"/>
      <c r="E3" s="6"/>
      <c r="F3" s="6"/>
      <c r="G3" s="6"/>
      <c r="H3" s="6"/>
      <c r="I3" s="7"/>
      <c r="K3" s="8"/>
    </row>
    <row r="4" spans="1:13">
      <c r="A4" s="19"/>
      <c r="G4" s="13"/>
      <c r="H4" s="13"/>
      <c r="K4" s="8"/>
    </row>
    <row r="8" spans="1:13" ht="15.5">
      <c r="A8" s="34" t="s">
        <v>1</v>
      </c>
      <c r="B8" s="34" t="s">
        <v>74</v>
      </c>
      <c r="I8"/>
      <c r="M8" t="s">
        <v>75</v>
      </c>
    </row>
    <row r="9" spans="1:13">
      <c r="A9" t="s">
        <v>2</v>
      </c>
      <c r="B9" t="s">
        <v>29</v>
      </c>
      <c r="I9"/>
      <c r="M9" t="s">
        <v>75</v>
      </c>
    </row>
    <row r="10" spans="1:13">
      <c r="A10" t="s">
        <v>11</v>
      </c>
      <c r="B10" t="s">
        <v>76</v>
      </c>
      <c r="I10"/>
    </row>
    <row r="11" spans="1:13">
      <c r="A11" t="s">
        <v>3</v>
      </c>
      <c r="B11">
        <v>1</v>
      </c>
      <c r="I11"/>
      <c r="M11" t="s">
        <v>75</v>
      </c>
    </row>
    <row r="12" spans="1:13">
      <c r="A12" t="s">
        <v>77</v>
      </c>
      <c r="B12" t="s">
        <v>78</v>
      </c>
      <c r="I12"/>
    </row>
    <row r="13" spans="1:13">
      <c r="A13" t="s">
        <v>4</v>
      </c>
      <c r="B13" t="s">
        <v>31</v>
      </c>
      <c r="I13"/>
      <c r="M13" t="s">
        <v>75</v>
      </c>
    </row>
    <row r="14" spans="1:13">
      <c r="A14" t="s">
        <v>5</v>
      </c>
      <c r="B14" t="s">
        <v>79</v>
      </c>
      <c r="I14"/>
      <c r="M14" t="s">
        <v>75</v>
      </c>
    </row>
    <row r="15" spans="1:13">
      <c r="A15" t="s">
        <v>6</v>
      </c>
      <c r="B15" t="s">
        <v>19</v>
      </c>
      <c r="I15"/>
      <c r="M15" t="s">
        <v>75</v>
      </c>
    </row>
    <row r="16" spans="1:13" ht="15.5">
      <c r="A16" s="34" t="s">
        <v>7</v>
      </c>
      <c r="B16"/>
      <c r="I16"/>
      <c r="M16" t="s">
        <v>75</v>
      </c>
    </row>
    <row r="17" spans="1:16" ht="15.5">
      <c r="A17" s="34" t="s">
        <v>8</v>
      </c>
      <c r="B17" s="34" t="s">
        <v>9</v>
      </c>
      <c r="C17" s="34" t="s">
        <v>2</v>
      </c>
      <c r="D17" s="34" t="s">
        <v>6</v>
      </c>
      <c r="E17" s="34" t="s">
        <v>10</v>
      </c>
      <c r="F17" s="34" t="s">
        <v>5</v>
      </c>
      <c r="G17" s="34" t="s">
        <v>4</v>
      </c>
      <c r="H17" s="34" t="s">
        <v>11</v>
      </c>
      <c r="I17" s="40"/>
    </row>
    <row r="18" spans="1:16">
      <c r="A18" t="str">
        <f>B8</f>
        <v>electricity supply, high voltage, from vanadium-redox flow battery system</v>
      </c>
      <c r="B18">
        <v>1</v>
      </c>
      <c r="C18" t="s">
        <v>29</v>
      </c>
      <c r="D18" t="str">
        <f>B15</f>
        <v>kilowatt hour</v>
      </c>
      <c r="F18" t="s">
        <v>18</v>
      </c>
      <c r="G18" t="str">
        <f>B13</f>
        <v>electricity, high voltage</v>
      </c>
      <c r="I18" s="8"/>
      <c r="J18" s="8"/>
      <c r="K18" s="8"/>
      <c r="L18" s="8"/>
      <c r="M18" s="8"/>
      <c r="N18" s="8"/>
    </row>
    <row r="19" spans="1:16">
      <c r="A19" t="s">
        <v>99</v>
      </c>
      <c r="B19">
        <v>1.33</v>
      </c>
      <c r="C19" t="s">
        <v>29</v>
      </c>
      <c r="D19" t="s">
        <v>19</v>
      </c>
      <c r="F19" t="s">
        <v>12</v>
      </c>
      <c r="G19" t="s">
        <v>31</v>
      </c>
      <c r="H19" t="s">
        <v>80</v>
      </c>
      <c r="I19" s="8"/>
      <c r="J19" s="8"/>
      <c r="K19" s="8"/>
      <c r="L19" s="8"/>
      <c r="M19" s="8"/>
      <c r="N19" s="8"/>
    </row>
    <row r="20" spans="1:16">
      <c r="A20" t="s">
        <v>81</v>
      </c>
      <c r="B20" s="41">
        <f>1/(49000000)</f>
        <v>2.0408163265306123E-8</v>
      </c>
      <c r="C20" t="s">
        <v>49</v>
      </c>
      <c r="D20" t="s">
        <v>6</v>
      </c>
      <c r="F20" t="s">
        <v>12</v>
      </c>
      <c r="G20" t="s">
        <v>82</v>
      </c>
      <c r="H20" t="s">
        <v>83</v>
      </c>
      <c r="I20"/>
    </row>
    <row r="21" spans="1:16">
      <c r="A21" t="s">
        <v>84</v>
      </c>
      <c r="B21" s="41">
        <f>1/(49000000)</f>
        <v>2.0408163265306123E-8</v>
      </c>
      <c r="C21" t="s">
        <v>49</v>
      </c>
      <c r="D21" t="s">
        <v>6</v>
      </c>
      <c r="F21" t="s">
        <v>12</v>
      </c>
      <c r="G21" t="s">
        <v>85</v>
      </c>
      <c r="H21" t="s">
        <v>86</v>
      </c>
      <c r="I21"/>
    </row>
    <row r="22" spans="1:16">
      <c r="A22" t="s">
        <v>87</v>
      </c>
      <c r="B22" s="41">
        <f>-0.41/1000</f>
        <v>-4.0999999999999999E-4</v>
      </c>
      <c r="C22" t="s">
        <v>49</v>
      </c>
      <c r="D22" t="s">
        <v>13</v>
      </c>
      <c r="F22" t="s">
        <v>12</v>
      </c>
      <c r="G22" t="s">
        <v>88</v>
      </c>
      <c r="H22" t="s">
        <v>89</v>
      </c>
      <c r="I22"/>
    </row>
    <row r="23" spans="1:16">
      <c r="A23" t="s">
        <v>90</v>
      </c>
      <c r="B23">
        <f>-0.66/1000</f>
        <v>-6.6E-4</v>
      </c>
      <c r="C23" t="s">
        <v>49</v>
      </c>
      <c r="D23" t="s">
        <v>13</v>
      </c>
      <c r="F23" t="s">
        <v>12</v>
      </c>
      <c r="G23" t="s">
        <v>91</v>
      </c>
      <c r="H23" t="s">
        <v>92</v>
      </c>
      <c r="I23"/>
    </row>
    <row r="24" spans="1:16">
      <c r="A24" t="s">
        <v>93</v>
      </c>
      <c r="B24">
        <f>-5.55/1000</f>
        <v>-5.5500000000000002E-3</v>
      </c>
      <c r="C24" t="s">
        <v>49</v>
      </c>
      <c r="D24" t="s">
        <v>13</v>
      </c>
      <c r="F24" t="s">
        <v>12</v>
      </c>
      <c r="G24" t="s">
        <v>94</v>
      </c>
      <c r="H24" t="s">
        <v>95</v>
      </c>
      <c r="I24"/>
    </row>
    <row r="25" spans="1:16">
      <c r="A25" t="s">
        <v>96</v>
      </c>
      <c r="B25">
        <f>-0.1/1000</f>
        <v>-1E-4</v>
      </c>
      <c r="C25" t="s">
        <v>49</v>
      </c>
      <c r="D25" t="s">
        <v>13</v>
      </c>
      <c r="F25" t="s">
        <v>12</v>
      </c>
      <c r="G25" t="s">
        <v>97</v>
      </c>
      <c r="H25" t="s">
        <v>98</v>
      </c>
      <c r="I25"/>
    </row>
    <row r="26" spans="1:16">
      <c r="A26" s="6"/>
      <c r="G26" s="13"/>
      <c r="H26" s="1"/>
    </row>
    <row r="28" spans="1:16">
      <c r="A28" s="9"/>
      <c r="B28" s="10"/>
      <c r="C28" s="9"/>
      <c r="D28" s="9"/>
      <c r="E28" s="9"/>
      <c r="F28" s="9"/>
      <c r="G28" s="9"/>
      <c r="H28" s="9"/>
      <c r="I28" s="11"/>
      <c r="K28" s="8"/>
    </row>
    <row r="29" spans="1:16" s="27" customFormat="1" ht="15.5">
      <c r="A29" s="24" t="s">
        <v>1</v>
      </c>
      <c r="B29" s="25" t="s">
        <v>73</v>
      </c>
      <c r="C29" s="26"/>
      <c r="K29" s="28"/>
      <c r="L29" s="28"/>
      <c r="M29" s="28"/>
      <c r="N29" s="28"/>
      <c r="O29" s="28"/>
      <c r="P29" s="28"/>
    </row>
    <row r="30" spans="1:16" s="27" customFormat="1" ht="15.5">
      <c r="A30" s="29" t="s">
        <v>3</v>
      </c>
      <c r="B30" s="30">
        <v>1</v>
      </c>
      <c r="K30" s="28"/>
      <c r="L30" s="28"/>
      <c r="M30" s="28"/>
      <c r="N30" s="28"/>
      <c r="O30" s="28"/>
      <c r="P30" s="28"/>
    </row>
    <row r="31" spans="1:16" s="27" customFormat="1" ht="15.5">
      <c r="A31" s="29" t="s">
        <v>11</v>
      </c>
      <c r="B31" s="30" t="s">
        <v>56</v>
      </c>
      <c r="K31" s="28"/>
      <c r="L31" s="28"/>
      <c r="M31" s="28"/>
      <c r="N31" s="28"/>
      <c r="O31" s="28"/>
      <c r="P31" s="28"/>
    </row>
    <row r="32" spans="1:16" s="27" customFormat="1" ht="15.5">
      <c r="A32" s="29" t="s">
        <v>4</v>
      </c>
      <c r="B32" s="31" t="s">
        <v>57</v>
      </c>
      <c r="K32" s="28"/>
      <c r="L32" s="28"/>
      <c r="M32" s="28"/>
      <c r="N32" s="28"/>
      <c r="O32" s="28"/>
      <c r="P32" s="28"/>
    </row>
    <row r="33" spans="1:20" s="27" customFormat="1" ht="15.5">
      <c r="A33" s="29" t="s">
        <v>2</v>
      </c>
      <c r="B33" s="30" t="s">
        <v>29</v>
      </c>
      <c r="K33" s="28"/>
      <c r="L33" s="28"/>
      <c r="M33" s="28"/>
      <c r="N33" s="28"/>
      <c r="O33" s="28"/>
      <c r="P33" s="28"/>
    </row>
    <row r="34" spans="1:20" s="27" customFormat="1" ht="15.5">
      <c r="A34" s="29" t="s">
        <v>6</v>
      </c>
      <c r="B34" s="32" t="s">
        <v>13</v>
      </c>
      <c r="H34" s="33"/>
      <c r="I34" s="33"/>
      <c r="J34" s="33"/>
      <c r="K34" s="28"/>
      <c r="L34" s="28"/>
      <c r="M34" s="28"/>
      <c r="N34" s="28"/>
      <c r="O34" s="28"/>
      <c r="P34" s="28"/>
    </row>
    <row r="35" spans="1:20" s="27" customFormat="1" ht="15.5">
      <c r="A35" s="33" t="s">
        <v>7</v>
      </c>
      <c r="B35" s="25"/>
      <c r="C35" s="33"/>
      <c r="D35" s="33"/>
      <c r="E35" s="33"/>
      <c r="F35" s="33"/>
      <c r="G35" s="33"/>
      <c r="H35" s="26"/>
      <c r="I35" s="26"/>
      <c r="J35" s="26"/>
      <c r="K35" s="28"/>
      <c r="L35" s="28"/>
      <c r="M35" s="28"/>
      <c r="N35" s="28"/>
      <c r="O35" s="28"/>
      <c r="P35" s="28"/>
    </row>
    <row r="36" spans="1:20" s="27" customFormat="1" ht="15.5">
      <c r="A36" s="33" t="s">
        <v>8</v>
      </c>
      <c r="B36" s="33" t="s">
        <v>9</v>
      </c>
      <c r="C36" s="33" t="s">
        <v>2</v>
      </c>
      <c r="D36" s="33" t="s">
        <v>6</v>
      </c>
      <c r="E36" s="33" t="s">
        <v>10</v>
      </c>
      <c r="F36" s="33" t="s">
        <v>5</v>
      </c>
      <c r="G36" s="33" t="s">
        <v>4</v>
      </c>
      <c r="H36" s="33" t="s">
        <v>11</v>
      </c>
      <c r="I36" s="33"/>
      <c r="J36" s="34"/>
      <c r="K36" s="35"/>
      <c r="L36" s="35"/>
      <c r="M36" s="35"/>
      <c r="N36" s="35"/>
      <c r="O36" s="35"/>
      <c r="P36" s="35"/>
      <c r="Q36" s="34"/>
      <c r="R36" s="34"/>
      <c r="S36" s="33"/>
      <c r="T36" s="34"/>
    </row>
    <row r="37" spans="1:20" s="27" customFormat="1" ht="15.5">
      <c r="A37" s="32" t="s">
        <v>73</v>
      </c>
      <c r="B37" s="32">
        <v>1</v>
      </c>
      <c r="C37" s="27" t="str">
        <f>B33</f>
        <v>FR</v>
      </c>
      <c r="D37" s="27" t="str">
        <f>B34</f>
        <v>kilogram</v>
      </c>
      <c r="E37" s="26"/>
      <c r="F37" s="27" t="s">
        <v>18</v>
      </c>
      <c r="G37" s="27" t="s">
        <v>57</v>
      </c>
      <c r="H37" s="26"/>
      <c r="I37" s="26"/>
      <c r="K37" s="28"/>
      <c r="L37" s="28"/>
      <c r="M37" s="28"/>
      <c r="N37" s="28"/>
      <c r="O37" s="28"/>
      <c r="P37" s="28"/>
      <c r="T37"/>
    </row>
    <row r="38" spans="1:20" s="27" customFormat="1" ht="15.5">
      <c r="A38" s="32" t="s">
        <v>71</v>
      </c>
      <c r="B38" s="27">
        <f>(1/2963200)*4</f>
        <v>1.3498920086393089E-6</v>
      </c>
      <c r="C38" s="27" t="s">
        <v>49</v>
      </c>
      <c r="D38" s="27" t="s">
        <v>6</v>
      </c>
      <c r="F38" s="27" t="s">
        <v>12</v>
      </c>
      <c r="G38" s="27" t="s">
        <v>58</v>
      </c>
      <c r="H38" s="27" t="s">
        <v>59</v>
      </c>
      <c r="J38"/>
      <c r="K38" s="36"/>
      <c r="L38" s="36"/>
      <c r="M38" s="36"/>
      <c r="N38" s="36"/>
      <c r="O38" s="36"/>
      <c r="P38" s="36"/>
      <c r="Q38"/>
      <c r="R38"/>
    </row>
    <row r="39" spans="1:20" s="27" customFormat="1" ht="15.5">
      <c r="A39" s="32" t="s">
        <v>72</v>
      </c>
      <c r="B39" s="27">
        <f>1/2963200</f>
        <v>3.3747300215982723E-7</v>
      </c>
      <c r="C39" s="27" t="s">
        <v>49</v>
      </c>
      <c r="D39" s="27" t="s">
        <v>6</v>
      </c>
      <c r="F39" s="27" t="s">
        <v>12</v>
      </c>
      <c r="G39" s="27" t="s">
        <v>60</v>
      </c>
      <c r="H39" s="27" t="s">
        <v>61</v>
      </c>
      <c r="J39"/>
      <c r="K39" s="36"/>
      <c r="L39" s="36"/>
      <c r="M39" s="36"/>
      <c r="N39" s="36"/>
      <c r="O39" s="36"/>
      <c r="P39" s="36"/>
      <c r="Q39"/>
      <c r="R39"/>
    </row>
    <row r="40" spans="1:20" s="27" customFormat="1" ht="15.5">
      <c r="A40" s="32" t="s">
        <v>62</v>
      </c>
      <c r="B40" s="27">
        <f>B38*-1</f>
        <v>-1.3498920086393089E-6</v>
      </c>
      <c r="C40" s="27" t="s">
        <v>49</v>
      </c>
      <c r="D40" s="27" t="s">
        <v>6</v>
      </c>
      <c r="F40" s="27" t="s">
        <v>12</v>
      </c>
      <c r="G40" s="27" t="s">
        <v>63</v>
      </c>
      <c r="H40" s="27" t="s">
        <v>64</v>
      </c>
      <c r="J40"/>
      <c r="K40" s="36"/>
      <c r="L40" s="36"/>
      <c r="M40" s="36"/>
      <c r="N40" s="36"/>
      <c r="O40" s="36"/>
      <c r="P40" s="36"/>
      <c r="Q40"/>
      <c r="R40"/>
    </row>
    <row r="41" spans="1:20" s="27" customFormat="1" ht="15.5">
      <c r="A41" s="32" t="s">
        <v>65</v>
      </c>
      <c r="B41" s="27">
        <f>-1*B39</f>
        <v>-3.3747300215982723E-7</v>
      </c>
      <c r="C41" s="27" t="s">
        <v>49</v>
      </c>
      <c r="D41" s="27" t="s">
        <v>6</v>
      </c>
      <c r="F41" s="27" t="s">
        <v>12</v>
      </c>
      <c r="G41" s="27" t="s">
        <v>66</v>
      </c>
      <c r="H41" s="27" t="s">
        <v>67</v>
      </c>
      <c r="J41"/>
      <c r="K41" s="36"/>
      <c r="L41" s="36"/>
      <c r="M41" s="36"/>
      <c r="N41" s="36"/>
      <c r="O41" s="36"/>
      <c r="P41" s="36"/>
      <c r="Q41"/>
      <c r="R41"/>
    </row>
    <row r="42" spans="1:20" s="27" customFormat="1" ht="15.5">
      <c r="A42" s="29" t="s">
        <v>28</v>
      </c>
      <c r="B42" s="32">
        <v>54</v>
      </c>
      <c r="C42" s="27" t="s">
        <v>29</v>
      </c>
      <c r="D42" s="27" t="s">
        <v>19</v>
      </c>
      <c r="E42" s="26"/>
      <c r="F42" s="27" t="s">
        <v>12</v>
      </c>
      <c r="G42" s="27" t="s">
        <v>20</v>
      </c>
      <c r="H42" s="26" t="s">
        <v>68</v>
      </c>
      <c r="J42"/>
      <c r="K42" s="36"/>
      <c r="L42" s="36"/>
      <c r="M42" s="36"/>
      <c r="N42" s="36"/>
      <c r="O42" s="36"/>
      <c r="P42" s="36"/>
      <c r="Q42"/>
      <c r="R42"/>
    </row>
    <row r="43" spans="1:20" s="27" customFormat="1" ht="15.5">
      <c r="A43" s="29" t="s">
        <v>21</v>
      </c>
      <c r="B43" s="32">
        <v>14</v>
      </c>
      <c r="C43" s="27" t="s">
        <v>22</v>
      </c>
      <c r="D43" s="27" t="s">
        <v>13</v>
      </c>
      <c r="F43" s="27" t="s">
        <v>12</v>
      </c>
      <c r="G43" s="27" t="s">
        <v>23</v>
      </c>
      <c r="H43" s="37" t="s">
        <v>69</v>
      </c>
      <c r="J43"/>
      <c r="K43" s="36"/>
      <c r="L43" s="36"/>
      <c r="M43" s="36"/>
      <c r="N43" s="36"/>
      <c r="O43" s="36"/>
      <c r="P43" s="36"/>
      <c r="Q43"/>
      <c r="R43"/>
    </row>
    <row r="44" spans="1:20" s="27" customFormat="1" ht="15.5">
      <c r="A44" s="38" t="s">
        <v>24</v>
      </c>
      <c r="B44" s="31">
        <v>8</v>
      </c>
      <c r="C44" s="38"/>
      <c r="D44" s="38" t="s">
        <v>13</v>
      </c>
      <c r="E44" s="38" t="s">
        <v>25</v>
      </c>
      <c r="F44" s="38" t="s">
        <v>15</v>
      </c>
      <c r="G44" s="38"/>
      <c r="H44" s="39"/>
      <c r="J44"/>
      <c r="K44" s="36"/>
      <c r="L44" s="36"/>
      <c r="M44" s="36"/>
      <c r="N44" s="36"/>
      <c r="O44" s="36"/>
      <c r="P44" s="36"/>
      <c r="Q44" s="36"/>
      <c r="R44"/>
    </row>
    <row r="45" spans="1:20" s="27" customFormat="1" ht="15.5">
      <c r="A45" s="38" t="s">
        <v>70</v>
      </c>
      <c r="B45" s="31">
        <f>(0.09*1000*20)/2963200</f>
        <v>6.0745140388768898E-4</v>
      </c>
      <c r="C45" s="38"/>
      <c r="D45" s="38" t="s">
        <v>17</v>
      </c>
      <c r="E45" s="38" t="s">
        <v>16</v>
      </c>
      <c r="F45" s="38" t="s">
        <v>15</v>
      </c>
      <c r="G45" s="38"/>
      <c r="H45" s="39"/>
      <c r="J45"/>
      <c r="K45" s="36"/>
      <c r="L45" s="36"/>
      <c r="M45" s="36"/>
      <c r="N45" s="36"/>
      <c r="O45" s="36"/>
      <c r="P45" s="36"/>
      <c r="Q45" s="36"/>
      <c r="R45"/>
    </row>
    <row r="46" spans="1:20" s="27" customFormat="1" ht="15.5">
      <c r="K46" s="28"/>
      <c r="L46" s="28"/>
      <c r="M46" s="28"/>
      <c r="N46" s="28"/>
      <c r="O46" s="28"/>
      <c r="P46" s="28"/>
    </row>
    <row r="47" spans="1:20">
      <c r="A47" s="4" t="s">
        <v>1</v>
      </c>
      <c r="B47" s="12" t="s">
        <v>44</v>
      </c>
      <c r="C47" s="9"/>
      <c r="D47" s="9"/>
      <c r="E47" s="9"/>
      <c r="F47" s="9"/>
      <c r="G47" s="9"/>
      <c r="H47" s="9"/>
      <c r="J47" s="21"/>
      <c r="K47" s="22"/>
    </row>
    <row r="48" spans="1:20">
      <c r="A48" s="6" t="s">
        <v>3</v>
      </c>
      <c r="B48" s="14">
        <v>1</v>
      </c>
      <c r="C48" s="9"/>
      <c r="D48" s="9"/>
      <c r="E48" s="9"/>
      <c r="F48" s="9"/>
      <c r="G48" s="9"/>
      <c r="H48" s="9"/>
      <c r="J48" s="13"/>
      <c r="K48" s="22"/>
    </row>
    <row r="49" spans="1:11">
      <c r="A49" s="6" t="s">
        <v>11</v>
      </c>
      <c r="B49" s="23" t="s">
        <v>41</v>
      </c>
      <c r="C49" s="9"/>
      <c r="D49" s="9"/>
      <c r="E49" s="9"/>
      <c r="F49" s="9"/>
      <c r="G49" s="9"/>
      <c r="H49" s="9"/>
      <c r="K49" s="22"/>
    </row>
    <row r="50" spans="1:11">
      <c r="A50" s="6" t="s">
        <v>4</v>
      </c>
      <c r="B50" s="10" t="s">
        <v>26</v>
      </c>
      <c r="C50" s="9"/>
      <c r="D50" s="9"/>
      <c r="E50" s="9"/>
      <c r="F50" s="9"/>
      <c r="G50" s="9"/>
      <c r="H50" s="9"/>
    </row>
    <row r="51" spans="1:11" ht="16.25" customHeight="1">
      <c r="A51" s="6" t="s">
        <v>2</v>
      </c>
      <c r="B51" s="15" t="s">
        <v>29</v>
      </c>
      <c r="C51" s="9"/>
      <c r="D51" s="9"/>
      <c r="E51" s="9"/>
      <c r="F51" s="9"/>
      <c r="G51" s="9"/>
      <c r="H51" s="9"/>
    </row>
    <row r="52" spans="1:11">
      <c r="A52" s="6" t="s">
        <v>6</v>
      </c>
      <c r="B52" s="10" t="s">
        <v>13</v>
      </c>
      <c r="C52" s="9"/>
      <c r="D52" s="9"/>
      <c r="E52" s="9"/>
      <c r="F52" s="9"/>
      <c r="G52" s="9"/>
      <c r="H52" s="16"/>
    </row>
    <row r="53" spans="1:11">
      <c r="A53" s="16" t="s">
        <v>7</v>
      </c>
      <c r="B53" s="12"/>
      <c r="C53" s="16"/>
      <c r="D53" s="16"/>
      <c r="E53" s="16"/>
      <c r="F53" s="16"/>
      <c r="G53" s="16"/>
      <c r="H53" s="13"/>
    </row>
    <row r="54" spans="1:11">
      <c r="A54" t="s">
        <v>8</v>
      </c>
      <c r="B54" s="19" t="s">
        <v>9</v>
      </c>
      <c r="C54" t="s">
        <v>2</v>
      </c>
      <c r="D54" t="s">
        <v>6</v>
      </c>
      <c r="E54" t="s">
        <v>5</v>
      </c>
      <c r="F54" t="s">
        <v>4</v>
      </c>
      <c r="G54" s="1" t="s">
        <v>10</v>
      </c>
      <c r="H54" s="20" t="s">
        <v>11</v>
      </c>
    </row>
    <row r="55" spans="1:11">
      <c r="A55" t="s">
        <v>44</v>
      </c>
      <c r="B55" s="19">
        <v>1</v>
      </c>
      <c r="C55" t="s">
        <v>29</v>
      </c>
      <c r="D55" t="s">
        <v>13</v>
      </c>
      <c r="E55" t="s">
        <v>18</v>
      </c>
      <c r="F55" s="10" t="s">
        <v>26</v>
      </c>
      <c r="G55" s="13"/>
    </row>
    <row r="56" spans="1:11">
      <c r="A56" t="s">
        <v>35</v>
      </c>
      <c r="B56" s="19">
        <f>4.3*28.6</f>
        <v>122.98</v>
      </c>
      <c r="C56" t="s">
        <v>42</v>
      </c>
      <c r="D56" t="s">
        <v>46</v>
      </c>
      <c r="E56" t="s">
        <v>12</v>
      </c>
      <c r="F56" t="s">
        <v>36</v>
      </c>
    </row>
    <row r="57" spans="1:11">
      <c r="A57" t="s">
        <v>35</v>
      </c>
      <c r="B57" s="19">
        <v>1.34</v>
      </c>
      <c r="C57" t="s">
        <v>42</v>
      </c>
      <c r="D57" t="s">
        <v>13</v>
      </c>
      <c r="E57" t="s">
        <v>12</v>
      </c>
      <c r="F57" t="s">
        <v>37</v>
      </c>
    </row>
    <row r="58" spans="1:11">
      <c r="A58" t="s">
        <v>38</v>
      </c>
      <c r="B58" s="19">
        <v>4.03</v>
      </c>
      <c r="C58" t="s">
        <v>22</v>
      </c>
      <c r="D58" t="s">
        <v>13</v>
      </c>
      <c r="E58" t="s">
        <v>12</v>
      </c>
      <c r="F58" t="s">
        <v>39</v>
      </c>
    </row>
    <row r="59" spans="1:11">
      <c r="A59" t="s">
        <v>40</v>
      </c>
      <c r="B59" s="19">
        <v>8.34</v>
      </c>
      <c r="D59" t="s">
        <v>13</v>
      </c>
      <c r="E59" t="s">
        <v>15</v>
      </c>
      <c r="G59" t="s">
        <v>25</v>
      </c>
    </row>
    <row r="60" spans="1:11">
      <c r="A60" t="s">
        <v>45</v>
      </c>
      <c r="B60" s="19">
        <v>4.6399999999999997</v>
      </c>
      <c r="C60" t="s">
        <v>29</v>
      </c>
      <c r="D60" t="s">
        <v>19</v>
      </c>
      <c r="E60" t="s">
        <v>12</v>
      </c>
      <c r="F60" t="s">
        <v>43</v>
      </c>
    </row>
    <row r="62" spans="1:11">
      <c r="A62" s="4" t="s">
        <v>1</v>
      </c>
      <c r="B62" s="12" t="s">
        <v>47</v>
      </c>
      <c r="C62" s="9"/>
      <c r="D62" s="9"/>
      <c r="E62" s="9"/>
      <c r="F62" s="9"/>
      <c r="G62" s="9"/>
      <c r="H62" s="9"/>
      <c r="J62" s="21"/>
      <c r="K62" s="22"/>
    </row>
    <row r="63" spans="1:11">
      <c r="A63" s="6" t="s">
        <v>3</v>
      </c>
      <c r="B63" s="14">
        <v>1</v>
      </c>
      <c r="C63" s="9"/>
      <c r="D63" s="9"/>
      <c r="E63" s="9"/>
      <c r="F63" s="9"/>
      <c r="G63" s="9"/>
      <c r="H63" s="9"/>
      <c r="J63" s="13"/>
      <c r="K63" s="22"/>
    </row>
    <row r="64" spans="1:11">
      <c r="A64" s="6" t="s">
        <v>11</v>
      </c>
      <c r="B64" s="23" t="s">
        <v>48</v>
      </c>
      <c r="C64" s="9"/>
      <c r="D64" s="9"/>
      <c r="E64" s="9"/>
      <c r="F64" s="9"/>
      <c r="G64" s="9"/>
      <c r="H64" s="9"/>
      <c r="K64" s="22"/>
    </row>
    <row r="65" spans="1:11">
      <c r="A65" s="6" t="s">
        <v>4</v>
      </c>
      <c r="B65" s="10" t="s">
        <v>26</v>
      </c>
      <c r="C65" s="9"/>
      <c r="D65" s="9"/>
      <c r="E65" s="9"/>
      <c r="F65" s="9"/>
      <c r="G65" s="9"/>
      <c r="H65" s="9"/>
    </row>
    <row r="66" spans="1:11" ht="16.25" customHeight="1">
      <c r="A66" s="6" t="s">
        <v>2</v>
      </c>
      <c r="B66" s="15" t="s">
        <v>29</v>
      </c>
      <c r="C66" s="9"/>
      <c r="D66" s="9"/>
      <c r="E66" s="9"/>
      <c r="F66" s="9"/>
      <c r="G66" s="9"/>
      <c r="H66" s="9"/>
    </row>
    <row r="67" spans="1:11">
      <c r="A67" s="6" t="s">
        <v>6</v>
      </c>
      <c r="B67" s="10" t="s">
        <v>13</v>
      </c>
      <c r="C67" s="9"/>
      <c r="D67" s="9"/>
      <c r="E67" s="9"/>
      <c r="F67" s="9"/>
      <c r="G67" s="9"/>
      <c r="H67" s="16"/>
    </row>
    <row r="68" spans="1:11">
      <c r="A68" s="16" t="s">
        <v>7</v>
      </c>
      <c r="B68" s="12"/>
      <c r="C68" s="16"/>
      <c r="D68" s="16"/>
      <c r="E68" s="16"/>
      <c r="F68" s="16"/>
      <c r="G68" s="16"/>
      <c r="H68" s="13"/>
    </row>
    <row r="69" spans="1:11">
      <c r="A69" t="s">
        <v>8</v>
      </c>
      <c r="B69" s="19" t="s">
        <v>9</v>
      </c>
      <c r="C69" t="s">
        <v>2</v>
      </c>
      <c r="D69" t="s">
        <v>6</v>
      </c>
      <c r="E69" t="s">
        <v>5</v>
      </c>
      <c r="F69" t="s">
        <v>4</v>
      </c>
      <c r="G69" s="1" t="s">
        <v>10</v>
      </c>
      <c r="H69" s="20" t="s">
        <v>11</v>
      </c>
    </row>
    <row r="70" spans="1:11">
      <c r="A70" t="s">
        <v>47</v>
      </c>
      <c r="B70" s="19">
        <v>1</v>
      </c>
      <c r="C70" t="s">
        <v>29</v>
      </c>
      <c r="D70" t="s">
        <v>13</v>
      </c>
      <c r="E70" t="s">
        <v>18</v>
      </c>
      <c r="F70" s="10" t="s">
        <v>26</v>
      </c>
      <c r="G70" s="13"/>
    </row>
    <row r="71" spans="1:11">
      <c r="A71" t="s">
        <v>35</v>
      </c>
      <c r="B71" s="19">
        <f>4.3*28.6</f>
        <v>122.98</v>
      </c>
      <c r="C71" t="s">
        <v>42</v>
      </c>
      <c r="D71" t="s">
        <v>46</v>
      </c>
      <c r="E71" t="s">
        <v>12</v>
      </c>
      <c r="F71" t="s">
        <v>36</v>
      </c>
    </row>
    <row r="72" spans="1:11">
      <c r="A72" t="s">
        <v>35</v>
      </c>
      <c r="B72" s="19">
        <v>1.34</v>
      </c>
      <c r="C72" t="s">
        <v>42</v>
      </c>
      <c r="D72" t="s">
        <v>13</v>
      </c>
      <c r="E72" t="s">
        <v>12</v>
      </c>
      <c r="F72" t="s">
        <v>37</v>
      </c>
    </row>
    <row r="73" spans="1:11">
      <c r="A73" t="s">
        <v>38</v>
      </c>
      <c r="B73" s="19">
        <v>4.03</v>
      </c>
      <c r="C73" t="s">
        <v>22</v>
      </c>
      <c r="D73" t="s">
        <v>13</v>
      </c>
      <c r="E73" t="s">
        <v>12</v>
      </c>
      <c r="F73" t="s">
        <v>39</v>
      </c>
    </row>
    <row r="74" spans="1:11">
      <c r="A74" t="s">
        <v>45</v>
      </c>
      <c r="B74" s="19">
        <v>4.6399999999999997</v>
      </c>
      <c r="C74" t="s">
        <v>29</v>
      </c>
      <c r="D74" t="s">
        <v>19</v>
      </c>
      <c r="E74" t="s">
        <v>12</v>
      </c>
      <c r="F74" t="s">
        <v>43</v>
      </c>
    </row>
    <row r="75" spans="1:11">
      <c r="A75" t="s">
        <v>45</v>
      </c>
      <c r="B75" s="19">
        <v>0.7</v>
      </c>
      <c r="C75" t="s">
        <v>29</v>
      </c>
      <c r="D75" t="s">
        <v>19</v>
      </c>
      <c r="E75" t="s">
        <v>12</v>
      </c>
      <c r="F75" t="s">
        <v>43</v>
      </c>
    </row>
    <row r="77" spans="1:11">
      <c r="B77"/>
      <c r="I77"/>
    </row>
    <row r="78" spans="1:11">
      <c r="A78" s="4" t="s">
        <v>1</v>
      </c>
      <c r="B78" s="12" t="s">
        <v>101</v>
      </c>
      <c r="C78" s="13"/>
      <c r="D78" s="9"/>
      <c r="E78" s="9"/>
      <c r="F78" s="9"/>
      <c r="G78" s="9"/>
      <c r="H78" s="9"/>
      <c r="I78" s="11"/>
      <c r="K78" s="8"/>
    </row>
    <row r="79" spans="1:11">
      <c r="A79" s="6" t="s">
        <v>3</v>
      </c>
      <c r="B79" s="14">
        <v>1</v>
      </c>
      <c r="C79" s="9"/>
      <c r="D79" s="9"/>
      <c r="E79" s="9"/>
      <c r="F79" s="9"/>
      <c r="G79" s="9"/>
      <c r="H79" s="9"/>
      <c r="I79" s="11"/>
      <c r="K79" s="8"/>
    </row>
    <row r="80" spans="1:11">
      <c r="A80" s="6" t="s">
        <v>11</v>
      </c>
      <c r="B80" s="15" t="s">
        <v>50</v>
      </c>
      <c r="C80" s="9"/>
      <c r="D80" s="9"/>
      <c r="E80" s="9"/>
      <c r="F80" s="9"/>
      <c r="G80" s="9"/>
      <c r="H80" s="9"/>
      <c r="I80" s="11"/>
      <c r="K80" s="8"/>
    </row>
    <row r="81" spans="1:11">
      <c r="A81" s="6" t="s">
        <v>4</v>
      </c>
      <c r="B81" s="2" t="s">
        <v>31</v>
      </c>
      <c r="C81" s="9"/>
      <c r="D81" s="9"/>
      <c r="E81" s="9"/>
      <c r="F81" s="9"/>
      <c r="G81" s="9"/>
      <c r="H81" s="9"/>
      <c r="I81" s="11"/>
      <c r="K81" s="8"/>
    </row>
    <row r="82" spans="1:11">
      <c r="A82" s="6" t="s">
        <v>2</v>
      </c>
      <c r="B82" s="15" t="s">
        <v>29</v>
      </c>
      <c r="C82" s="9"/>
      <c r="D82" s="9"/>
      <c r="E82" s="9"/>
      <c r="F82" s="9"/>
      <c r="G82" s="9"/>
      <c r="H82" s="9"/>
      <c r="I82" s="11"/>
      <c r="K82" s="8"/>
    </row>
    <row r="83" spans="1:11">
      <c r="A83" s="6" t="s">
        <v>6</v>
      </c>
      <c r="B83" s="10" t="s">
        <v>19</v>
      </c>
      <c r="C83" s="9"/>
      <c r="D83" s="9"/>
      <c r="E83" s="9"/>
      <c r="F83" s="9"/>
      <c r="G83" s="9"/>
      <c r="H83" s="16"/>
      <c r="I83" s="17"/>
      <c r="K83" s="8"/>
    </row>
    <row r="84" spans="1:11">
      <c r="A84" s="16" t="s">
        <v>7</v>
      </c>
      <c r="B84" s="12"/>
      <c r="C84" s="16"/>
      <c r="D84" s="16"/>
      <c r="E84" s="16"/>
      <c r="F84" s="16"/>
      <c r="G84" s="16"/>
      <c r="H84" s="13"/>
      <c r="I84" s="18"/>
      <c r="K84" s="8"/>
    </row>
    <row r="85" spans="1:11">
      <c r="A85" t="s">
        <v>8</v>
      </c>
      <c r="B85" s="19" t="s">
        <v>9</v>
      </c>
      <c r="C85" t="s">
        <v>2</v>
      </c>
      <c r="D85" t="s">
        <v>6</v>
      </c>
      <c r="E85" t="s">
        <v>5</v>
      </c>
      <c r="F85" t="s">
        <v>4</v>
      </c>
      <c r="G85" t="s">
        <v>10</v>
      </c>
      <c r="H85" s="20" t="s">
        <v>11</v>
      </c>
      <c r="J85" s="1"/>
      <c r="K85" s="8"/>
    </row>
    <row r="86" spans="1:11">
      <c r="A86" s="19" t="str">
        <f>B78</f>
        <v>electricity production, from stationary battery, Tr2050</v>
      </c>
      <c r="B86" s="19">
        <v>1</v>
      </c>
      <c r="C86" t="str">
        <f>B82</f>
        <v>FR</v>
      </c>
      <c r="D86" t="s">
        <v>19</v>
      </c>
      <c r="E86" t="s">
        <v>18</v>
      </c>
      <c r="F86" t="s">
        <v>31</v>
      </c>
      <c r="G86" s="13"/>
      <c r="H86" s="18"/>
      <c r="K86" s="8"/>
    </row>
    <row r="87" spans="1:11">
      <c r="A87" s="6" t="s">
        <v>28</v>
      </c>
      <c r="B87" s="19">
        <f>1*1.19</f>
        <v>1.19</v>
      </c>
      <c r="C87" t="s">
        <v>29</v>
      </c>
      <c r="D87" t="s">
        <v>19</v>
      </c>
      <c r="E87" t="s">
        <v>12</v>
      </c>
      <c r="F87" t="s">
        <v>20</v>
      </c>
      <c r="G87" s="13"/>
      <c r="H87" s="20" t="s">
        <v>51</v>
      </c>
    </row>
    <row r="88" spans="1:11">
      <c r="A88" s="6" t="s">
        <v>28</v>
      </c>
      <c r="B88" s="19">
        <f>((22/1000)*6000*13)/(2500*19.5*0.8)</f>
        <v>4.3999999999999997E-2</v>
      </c>
      <c r="C88" t="s">
        <v>29</v>
      </c>
      <c r="D88" t="s">
        <v>19</v>
      </c>
      <c r="E88" t="s">
        <v>12</v>
      </c>
      <c r="F88" t="s">
        <v>20</v>
      </c>
      <c r="G88" s="13"/>
      <c r="H88" s="20" t="s">
        <v>52</v>
      </c>
    </row>
    <row r="89" spans="1:11">
      <c r="A89" s="6" t="s">
        <v>53</v>
      </c>
      <c r="B89" s="19">
        <f>1/(2500*80%*19.5)</f>
        <v>2.564102564102564E-5</v>
      </c>
      <c r="C89" t="s">
        <v>49</v>
      </c>
      <c r="D89" t="s">
        <v>6</v>
      </c>
      <c r="E89" t="s">
        <v>12</v>
      </c>
      <c r="F89" t="s">
        <v>54</v>
      </c>
      <c r="G89" s="13"/>
      <c r="H89" s="1" t="s">
        <v>55</v>
      </c>
    </row>
    <row r="90" spans="1:11">
      <c r="A90" s="6"/>
      <c r="G90" s="13"/>
      <c r="H90" s="1"/>
    </row>
    <row r="91" spans="1:11">
      <c r="A91" s="19"/>
      <c r="G91" s="13"/>
      <c r="H91" s="13"/>
      <c r="K91" s="8"/>
    </row>
    <row r="92" spans="1:11">
      <c r="A92" s="4" t="s">
        <v>1</v>
      </c>
      <c r="B92" s="12" t="s">
        <v>30</v>
      </c>
      <c r="C92" s="13"/>
      <c r="D92" s="9"/>
      <c r="E92" s="9"/>
      <c r="F92" s="9"/>
      <c r="G92" s="9"/>
      <c r="H92" s="9"/>
      <c r="I92" s="11"/>
      <c r="K92" s="8"/>
    </row>
    <row r="93" spans="1:11">
      <c r="A93" s="6" t="s">
        <v>3</v>
      </c>
      <c r="B93" s="14">
        <v>1</v>
      </c>
      <c r="C93" s="9"/>
      <c r="D93" s="9"/>
      <c r="E93" s="9"/>
      <c r="F93" s="9"/>
      <c r="G93" s="9"/>
      <c r="H93" s="9"/>
      <c r="I93" s="11"/>
      <c r="K93" s="8"/>
    </row>
    <row r="94" spans="1:11">
      <c r="A94" s="6" t="s">
        <v>11</v>
      </c>
      <c r="B94" s="15" t="s">
        <v>34</v>
      </c>
      <c r="C94" s="9"/>
      <c r="D94" s="9"/>
      <c r="E94" s="9"/>
      <c r="F94" s="9"/>
      <c r="G94" s="9"/>
      <c r="H94" s="9"/>
      <c r="I94" s="11"/>
      <c r="K94" s="8"/>
    </row>
    <row r="95" spans="1:11">
      <c r="A95" s="6" t="s">
        <v>4</v>
      </c>
      <c r="B95" s="2" t="s">
        <v>31</v>
      </c>
      <c r="C95" s="9"/>
      <c r="D95" s="9"/>
      <c r="E95" s="9"/>
      <c r="F95" s="9"/>
      <c r="G95" s="9"/>
      <c r="H95" s="9"/>
      <c r="I95" s="11"/>
      <c r="K95" s="8"/>
    </row>
    <row r="96" spans="1:11">
      <c r="A96" s="6" t="s">
        <v>2</v>
      </c>
      <c r="B96" s="15" t="s">
        <v>29</v>
      </c>
      <c r="C96" s="9"/>
      <c r="D96" s="9"/>
      <c r="E96" s="9"/>
      <c r="F96" s="9"/>
      <c r="G96" s="9"/>
      <c r="H96" s="9"/>
      <c r="I96" s="11"/>
      <c r="K96" s="8"/>
    </row>
    <row r="97" spans="1:11">
      <c r="A97" s="6" t="s">
        <v>6</v>
      </c>
      <c r="B97" s="10" t="s">
        <v>19</v>
      </c>
      <c r="C97" s="9"/>
      <c r="D97" s="9"/>
      <c r="E97" s="9"/>
      <c r="F97" s="9"/>
      <c r="G97" s="9"/>
      <c r="H97" s="16"/>
      <c r="I97" s="17"/>
      <c r="K97" s="8"/>
    </row>
    <row r="98" spans="1:11">
      <c r="A98" s="16" t="s">
        <v>7</v>
      </c>
      <c r="B98" s="12"/>
      <c r="C98" s="16"/>
      <c r="D98" s="16"/>
      <c r="E98" s="16"/>
      <c r="F98" s="16"/>
      <c r="G98" s="16"/>
      <c r="H98" s="13"/>
      <c r="I98" s="18"/>
      <c r="K98" s="8"/>
    </row>
    <row r="99" spans="1:11">
      <c r="A99" t="s">
        <v>8</v>
      </c>
      <c r="B99" s="19" t="s">
        <v>9</v>
      </c>
      <c r="C99" t="s">
        <v>2</v>
      </c>
      <c r="D99" t="s">
        <v>6</v>
      </c>
      <c r="E99" t="s">
        <v>5</v>
      </c>
      <c r="F99" t="s">
        <v>4</v>
      </c>
      <c r="G99" t="s">
        <v>10</v>
      </c>
      <c r="H99" s="20" t="s">
        <v>11</v>
      </c>
      <c r="J99" s="1"/>
      <c r="K99" s="8"/>
    </row>
    <row r="100" spans="1:11">
      <c r="A100" s="19" t="s">
        <v>30</v>
      </c>
      <c r="B100" s="19">
        <v>1</v>
      </c>
      <c r="C100" t="str">
        <f>B96</f>
        <v>FR</v>
      </c>
      <c r="D100" t="s">
        <v>19</v>
      </c>
      <c r="E100" t="s">
        <v>18</v>
      </c>
      <c r="F100" t="s">
        <v>31</v>
      </c>
      <c r="G100" s="13"/>
      <c r="H100" s="18"/>
      <c r="K100" s="8"/>
    </row>
    <row r="101" spans="1:11">
      <c r="A101" s="19" t="s">
        <v>32</v>
      </c>
      <c r="B101" s="19">
        <f>1/30000*2</f>
        <v>6.666666666666667E-5</v>
      </c>
      <c r="C101" t="s">
        <v>27</v>
      </c>
      <c r="D101" t="s">
        <v>6</v>
      </c>
      <c r="E101" t="s">
        <v>12</v>
      </c>
      <c r="F101" t="s">
        <v>33</v>
      </c>
      <c r="G101" s="13"/>
      <c r="H101" s="18"/>
      <c r="K101" s="8"/>
    </row>
    <row r="102" spans="1:11" ht="15.5">
      <c r="A102" s="32" t="s">
        <v>73</v>
      </c>
      <c r="B102" s="19">
        <f>3.6/0.5/120</f>
        <v>6.0000000000000005E-2</v>
      </c>
      <c r="C102" t="s">
        <v>29</v>
      </c>
      <c r="D102" t="s">
        <v>13</v>
      </c>
      <c r="E102" t="s">
        <v>12</v>
      </c>
      <c r="F102" s="31" t="s">
        <v>57</v>
      </c>
      <c r="H102" s="13"/>
      <c r="I102" s="18"/>
      <c r="K102" s="8"/>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joanna.schlesinger</cp:lastModifiedBy>
  <dcterms:created xsi:type="dcterms:W3CDTF">2020-12-17T11:52:00Z</dcterms:created>
  <dcterms:modified xsi:type="dcterms:W3CDTF">2024-04-10T15:17:54Z</dcterms:modified>
</cp:coreProperties>
</file>