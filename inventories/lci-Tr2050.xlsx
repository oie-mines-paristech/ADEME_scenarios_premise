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425"/>
  <workbookPr/>
  <mc:AlternateContent xmlns:mc="http://schemas.openxmlformats.org/markup-compatibility/2006">
    <mc:Choice Requires="x15">
      <x15ac:absPath xmlns:x15ac="http://schemas.microsoft.com/office/spreadsheetml/2010/11/ac" url="C:\Users\joanna.schlesinger\0.Joanna\2. HySPI\ADEME_scenarios_premise\inventories\"/>
    </mc:Choice>
  </mc:AlternateContent>
  <xr:revisionPtr revIDLastSave="0" documentId="13_ncr:1_{E2C6A939-99C3-4F15-BC92-E69198D11B9C}" xr6:coauthVersionLast="47" xr6:coauthVersionMax="47" xr10:uidLastSave="{00000000-0000-0000-0000-000000000000}"/>
  <bookViews>
    <workbookView xWindow="-110" yWindow="-110" windowWidth="19420" windowHeight="10420" xr2:uid="{00000000-000D-0000-FFFF-FFFF00000000}"/>
  </bookViews>
  <sheets>
    <sheet name="lci"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calcFeatures>
    </ext>
  </extLst>
</workbook>
</file>

<file path=xl/calcChain.xml><?xml version="1.0" encoding="utf-8"?>
<calcChain xmlns="http://schemas.openxmlformats.org/spreadsheetml/2006/main">
  <c r="A86" i="1" l="1"/>
  <c r="B25" i="1"/>
  <c r="B24" i="1"/>
  <c r="B23" i="1"/>
  <c r="B22" i="1"/>
  <c r="B21" i="1"/>
  <c r="B20" i="1"/>
  <c r="G18" i="1"/>
  <c r="D18" i="1"/>
  <c r="A18" i="1"/>
  <c r="B45" i="1" l="1"/>
  <c r="B39" i="1"/>
  <c r="B41" i="1" s="1"/>
  <c r="B38" i="1"/>
  <c r="B40" i="1" s="1"/>
  <c r="D37" i="1"/>
  <c r="C37" i="1"/>
  <c r="B89" i="1" l="1"/>
  <c r="B88" i="1"/>
  <c r="B87" i="1"/>
  <c r="B71" i="1" l="1"/>
  <c r="B56" i="1" l="1"/>
  <c r="B101" i="1"/>
  <c r="C86" i="1"/>
  <c r="B102" i="1" l="1"/>
  <c r="C100" i="1"/>
</calcChain>
</file>

<file path=xl/sharedStrings.xml><?xml version="1.0" encoding="utf-8"?>
<sst xmlns="http://schemas.openxmlformats.org/spreadsheetml/2006/main" count="319" uniqueCount="102">
  <si>
    <t>Database</t>
  </si>
  <si>
    <t>Activity</t>
  </si>
  <si>
    <t>location</t>
  </si>
  <si>
    <t>production amount</t>
  </si>
  <si>
    <t>reference product</t>
  </si>
  <si>
    <t>type</t>
  </si>
  <si>
    <t>unit</t>
  </si>
  <si>
    <t>Exchanges</t>
  </si>
  <si>
    <t>name</t>
  </si>
  <si>
    <t>amount</t>
  </si>
  <si>
    <t>categories</t>
  </si>
  <si>
    <t>comment</t>
  </si>
  <si>
    <t>technosphere</t>
  </si>
  <si>
    <t>kilogram</t>
  </si>
  <si>
    <t>cutoff</t>
  </si>
  <si>
    <t>biosphere</t>
  </si>
  <si>
    <t>natural resource::land</t>
  </si>
  <si>
    <t>square meter-year</t>
  </si>
  <si>
    <t>production</t>
  </si>
  <si>
    <t>kilowatt hour</t>
  </si>
  <si>
    <t>electricity, low voltage</t>
  </si>
  <si>
    <t>market for water, deionised</t>
  </si>
  <si>
    <t>Europe without Switzerland</t>
  </si>
  <si>
    <t>water, deionised</t>
  </si>
  <si>
    <t>Oxygen</t>
  </si>
  <si>
    <t>air</t>
  </si>
  <si>
    <t>hydrogen, gaseous</t>
  </si>
  <si>
    <t>CH</t>
  </si>
  <si>
    <t>market for electricity, low voltage</t>
  </si>
  <si>
    <t>FR</t>
  </si>
  <si>
    <t>electricity production, from hydrogen, FE2050</t>
  </si>
  <si>
    <t>electricity, high voltage</t>
  </si>
  <si>
    <t>fuel cell production, stack polymer electrolyte membrane, 2kW electrical, future</t>
  </si>
  <si>
    <t>fuel cell, stack polymer electrolyte membrane, 2kW electrical, future</t>
  </si>
  <si>
    <t>1 kWh of electricity produced using hydrogen through a PEM fuel cell stack, for seasonal storage. Assumes a 90% load factor, 6 years lifetime. A 50% electrical efficiency is assumed in 2020, according to Cigolotti, V.; Genovese, M.; Fragiacomo, P. Comprehensive Review on Fuel Cell Technology for Stationary Applications as Sustainable and Efficient Poly-Generation Energy Systems. Energies 2021, 14, 4963. https://doi.org/10.3390/en14164963.</t>
  </si>
  <si>
    <t>coking</t>
  </si>
  <si>
    <t>coal gas</t>
  </si>
  <si>
    <t>coal tar</t>
  </si>
  <si>
    <t>market for tap water</t>
  </si>
  <si>
    <t>tap water</t>
  </si>
  <si>
    <t>Carbon dioxide, fossil</t>
  </si>
  <si>
    <t>1 kg of hydrogen recovered from coke oven gas. After benzol absorption step, gas stream is being subjected to the reforming technology, which comprises the following process units: coke oven gas reforming
system, oxygen production installation, CO conversion system and the hydrolysis of COS, desulphurization system and CO2 removal system, H2 separation system and other plant. Although not specified, the oxygen and steam requirement is assumed to come from the coking step, hence, not listed as inventory inputs. Adapted to French context. Burmistrz et al., 2016. DOI: 10.1051/e3sconf/20161000023</t>
  </si>
  <si>
    <t>DE</t>
  </si>
  <si>
    <t>electricity, medium voltage</t>
  </si>
  <si>
    <t>hydrogen, recovered from coke oven gas, FE2050</t>
  </si>
  <si>
    <t>market for electricity, medium voltage</t>
  </si>
  <si>
    <t>megajoule</t>
  </si>
  <si>
    <t>hydrogen, recovered from coke oven gas, with carbon capture and storage, FE2050</t>
  </si>
  <si>
    <t>1 kg of hydrogen recovered from coke oven gas. After benzol absorption step, gas stream is being subjected to the reforming technology, which comprises the following process units: coke oven gas reforming
system, oxygen production installation, CO conversion system and the hydrolysis of COS, desulphurization system and CO2 removal system, H2 separation system and other plant. Although not specified, the oxygen and steam requirement is assumed to come from the coking step, hence, not listed as inventory inputs. Carbon dioxide is transported in the liquid phase. The pressure at the inlet to a transport system (pipe) is
120 bar, which allows to transport of CO2 at about 100 - 150 km distance without additional compression Adapted to French context. Burmistrz et al., 2016. DOI: 10.1051/e3sconf/20161000023</t>
  </si>
  <si>
    <t>RER</t>
  </si>
  <si>
    <t>1 kWh of electricity discharged from a stationary battery. Accounts for charge and discharge losses: 19%. The original dataset is a 19.5 kWh home storage system, using NMC811 cells. The system has a stand-by consumption of 22 W over 6000 hours per year. Assumes lifetime of 2500 charge-discharge cycles over 13 years, and a maximum depth of discharge of 80%. IN total, the system delivers 2500 [cycles] x 80% x 19.5 [Wh] = 39000 kWh.</t>
  </si>
  <si>
    <t>Accounts for the round trip efficiency of 81%.</t>
  </si>
  <si>
    <t>Accounts or standby electricity consumption.</t>
  </si>
  <si>
    <t>home electricity storage system, 19.5 kWh, NMC811 battery</t>
  </si>
  <si>
    <t>home electricity storage system</t>
  </si>
  <si>
    <t>Home storage system</t>
  </si>
  <si>
    <t>1 kg H2 produced using a PEM electrolyzer. Original source: 1 MW PEM electrolyzer based on Niklas Gerloff, Comparative Life-Cycle-Assessment analysis of three major water electrolysis technologies while applying various energy scenarios for a greener hydrogen production, Journal of Energy Storage, Volume 43, 2021, https://doi.org/10.1016/j.est.2021.102759.
Further refined (with respect to stack and system lifetime and water use, notably) from data from manufacturer's specifications (see tab "Manufacturers' data") and IndWEDe project report (https://www.now-gmbh.de/wp-content/uploads/2020/09/181127_bro_a4_indwede-studie_kurzfassung_de_v03.pdf). For further secifications (e.g., efficiency, lifetime, etc.), see tab "Final specifications".</t>
  </si>
  <si>
    <t>hydrogen, gaseous, 30 bar</t>
  </si>
  <si>
    <t>electrolyzer, 1MWe, PEM, Stack</t>
  </si>
  <si>
    <t>Stack, 5.5 years lifetime.</t>
  </si>
  <si>
    <t>electrolyzer, 1MWe, PEM, Balance of Plant</t>
  </si>
  <si>
    <t>BoP, 20 years lifetime.</t>
  </si>
  <si>
    <t>treatment of fuel cell stack, 1MWe, PEM</t>
  </si>
  <si>
    <t>used fuel cell stack, 1MWe, PEM</t>
  </si>
  <si>
    <t>Stack EoL</t>
  </si>
  <si>
    <t>treatment of fuel cell balance of plant, 1MWe, PEM</t>
  </si>
  <si>
    <t>used fuel cell balance of plant, 1MWe, PEM</t>
  </si>
  <si>
    <t>BoP EoL</t>
  </si>
  <si>
    <t>Electricity consumption with 61.7% eff.</t>
  </si>
  <si>
    <t xml:space="preserve">A perfect reaction of H2O results in 1 kg H2 and 8 kg O2, and needs 9 kg H2O, however, considering some losses we assume 14 kg H2O (Simoes et al., 2021). </t>
  </si>
  <si>
    <t>Occupation, unspecified</t>
  </si>
  <si>
    <t>electrolyzer production, 1MWe, PEM, Stack</t>
  </si>
  <si>
    <t>electrolyzer production, 1MWe, PEM, Balance of Plant</t>
  </si>
  <si>
    <t>hydrogen production, gaseous, 30 bar, from PEM electrolysis, from grid electricity, domestic, FE2050</t>
  </si>
  <si>
    <t>electricity supply, high voltage, from vanadium-redox flow battery system</t>
  </si>
  <si>
    <t/>
  </si>
  <si>
    <t>The power capacity for this application is 1MW and the net storage capacity 6 MWh. The net capacity considers the internal inefficiencies of the batteries and the min SoC, requiring a certain oversizing of the batteries. For providing net 6 MWh, a nominal capacity of 8.3 MWh is required for the VRFB with the assumed operation parameters. The assumed lifetime of the stack is 10 years. The lifetimeof the system is 20 years or 8176 cycle-lifes (49,000 MWh).</t>
  </si>
  <si>
    <t>source</t>
  </si>
  <si>
    <t>Life Cycle Assessment of a Vanadium Redox Flow Battery, Selina Weber, Jens F. Peters, Manuel Baumann, and Marcel Weil, Environ. Sci. Technol. 2018, 52, 10864−10873, DOI: 10.1021/acs.est.8b02073</t>
  </si>
  <si>
    <t>process</t>
  </si>
  <si>
    <t>Electricity input plus losses</t>
  </si>
  <si>
    <t>vanadium-redox flow battery system assembly, 8.3 megawatt hour</t>
  </si>
  <si>
    <t>vanadium-redox flow battery system</t>
  </si>
  <si>
    <t>Infrastructure requirements 1/49000 MWh</t>
  </si>
  <si>
    <t>vanadium-redox flow battery stack assembly</t>
  </si>
  <si>
    <t>vanadium-redox flow battery stack</t>
  </si>
  <si>
    <t>Replacement stack</t>
  </si>
  <si>
    <t>treatment of stack, for VRFB system</t>
  </si>
  <si>
    <t>used stack, for VRFB system</t>
  </si>
  <si>
    <t>EoL of both stack</t>
  </si>
  <si>
    <t>treatment of electrolyte tank, for VRFB system</t>
  </si>
  <si>
    <t>used electrolyte tank, for VRFB system</t>
  </si>
  <si>
    <t>Electrolyte tank EoL</t>
  </si>
  <si>
    <t>treatment of electrolyte solution, for VRFB system</t>
  </si>
  <si>
    <t>used electrolyte solution, for VRFB system</t>
  </si>
  <si>
    <t>Electrolyte EoL</t>
  </si>
  <si>
    <t>treatment of periphericals, for VRFB system</t>
  </si>
  <si>
    <t>used periphericals, for VRFB system</t>
  </si>
  <si>
    <t>Peripherals EoL</t>
  </si>
  <si>
    <t>market for electricity, high voltage</t>
  </si>
  <si>
    <t>electricity production, from stationary battery, Tr2050</t>
  </si>
  <si>
    <t>Tr2050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</si>
</sst>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00E+00"/>
  </numFmts>
  <fonts count="12">
    <font>
      <sz val="11"/>
      <color theme="1"/>
      <name val="Calibri"/>
      <family val="2"/>
      <scheme val="minor"/>
    </font>
    <font>
      <sz val="11"/>
      <color theme="1"/>
      <name val="Calibri"/>
      <family val="2"/>
      <scheme val="minor"/>
    </font>
    <font>
      <b/>
      <sz val="11"/>
      <color theme="1"/>
      <name val="Calibri"/>
      <family val="2"/>
      <scheme val="minor"/>
    </font>
    <font>
      <sz val="11"/>
      <color indexed="8"/>
      <name val="Calibri"/>
      <family val="2"/>
      <scheme val="minor"/>
    </font>
    <font>
      <b/>
      <sz val="11"/>
      <color indexed="8"/>
      <name val="Calibri"/>
      <family val="2"/>
      <scheme val="minor"/>
    </font>
    <font>
      <sz val="10"/>
      <color theme="1"/>
      <name val="Arial"/>
      <family val="2"/>
    </font>
    <font>
      <sz val="11"/>
      <color rgb="FF9C5700"/>
      <name val="Calibri"/>
      <family val="2"/>
      <scheme val="minor"/>
    </font>
    <font>
      <b/>
      <sz val="12"/>
      <color theme="1"/>
      <name val="Calibri"/>
      <family val="2"/>
      <scheme val="minor"/>
    </font>
    <font>
      <b/>
      <sz val="12"/>
      <name val="Calibri (Body)"/>
    </font>
    <font>
      <sz val="12"/>
      <name val="Calibri (Body)"/>
    </font>
    <font>
      <sz val="12"/>
      <name val="Calibri"/>
      <family val="2"/>
      <scheme val="minor"/>
    </font>
    <font>
      <i/>
      <sz val="11"/>
      <color theme="1"/>
      <name val="Calibri"/>
      <family val="2"/>
      <scheme val="minor"/>
    </font>
  </fonts>
  <fills count="3">
    <fill>
      <patternFill patternType="none"/>
    </fill>
    <fill>
      <patternFill patternType="gray125"/>
    </fill>
    <fill>
      <patternFill patternType="solid">
        <fgColor rgb="FFFFEB9C"/>
      </patternFill>
    </fill>
  </fills>
  <borders count="2">
    <border>
      <left/>
      <right/>
      <top/>
      <bottom/>
      <diagonal/>
    </border>
    <border>
      <left/>
      <right style="thin">
        <color indexed="64"/>
      </right>
      <top/>
      <bottom/>
      <diagonal/>
    </border>
  </borders>
  <cellStyleXfs count="5">
    <xf numFmtId="0" fontId="0" fillId="0" borderId="0"/>
    <xf numFmtId="0" fontId="1" fillId="0" borderId="0"/>
    <xf numFmtId="0" fontId="1" fillId="0" borderId="0"/>
    <xf numFmtId="0" fontId="5" fillId="0" borderId="0"/>
    <xf numFmtId="0" fontId="6" fillId="2" borderId="0" applyNumberFormat="0" applyBorder="0" applyAlignment="0" applyProtection="0"/>
  </cellStyleXfs>
  <cellXfs count="42">
    <xf numFmtId="0" fontId="0" fillId="0" borderId="0" xfId="0"/>
    <xf numFmtId="0" fontId="0" fillId="0" borderId="0" xfId="2" applyFont="1"/>
    <xf numFmtId="11" fontId="1" fillId="0" borderId="0" xfId="4" applyNumberFormat="1" applyFont="1" applyFill="1"/>
    <xf numFmtId="0" fontId="0" fillId="0" borderId="1" xfId="0" applyBorder="1"/>
    <xf numFmtId="0" fontId="2" fillId="0" borderId="0" xfId="1" applyFont="1"/>
    <xf numFmtId="11" fontId="2" fillId="0" borderId="0" xfId="1" applyNumberFormat="1" applyFont="1"/>
    <xf numFmtId="0" fontId="1" fillId="0" borderId="0" xfId="1"/>
    <xf numFmtId="0" fontId="1" fillId="0" borderId="1" xfId="1" applyBorder="1"/>
    <xf numFmtId="0" fontId="1" fillId="0" borderId="0" xfId="0" applyFont="1"/>
    <xf numFmtId="0" fontId="3" fillId="0" borderId="0" xfId="0" applyFont="1"/>
    <xf numFmtId="11" fontId="3" fillId="0" borderId="0" xfId="0" applyNumberFormat="1" applyFont="1"/>
    <xf numFmtId="0" fontId="3" fillId="0" borderId="1" xfId="0" applyFont="1" applyBorder="1"/>
    <xf numFmtId="11" fontId="4" fillId="0" borderId="0" xfId="0" applyNumberFormat="1" applyFont="1"/>
    <xf numFmtId="0" fontId="1" fillId="0" borderId="0" xfId="2"/>
    <xf numFmtId="11" fontId="1" fillId="0" borderId="0" xfId="1" applyNumberFormat="1" applyAlignment="1">
      <alignment horizontal="left"/>
    </xf>
    <xf numFmtId="11" fontId="0" fillId="0" borderId="0" xfId="1" applyNumberFormat="1" applyFont="1" applyAlignment="1">
      <alignment horizontal="left"/>
    </xf>
    <xf numFmtId="0" fontId="4" fillId="0" borderId="0" xfId="0" applyFont="1"/>
    <xf numFmtId="0" fontId="4" fillId="0" borderId="1" xfId="0" applyFont="1" applyBorder="1"/>
    <xf numFmtId="0" fontId="1" fillId="0" borderId="1" xfId="2" applyBorder="1"/>
    <xf numFmtId="11" fontId="0" fillId="0" borderId="0" xfId="0" applyNumberFormat="1"/>
    <xf numFmtId="0" fontId="0" fillId="0" borderId="1" xfId="2" applyFont="1" applyBorder="1"/>
    <xf numFmtId="0" fontId="0" fillId="0" borderId="0" xfId="1" applyFont="1" applyAlignment="1">
      <alignment wrapText="1"/>
    </xf>
    <xf numFmtId="0" fontId="0" fillId="0" borderId="0" xfId="2" quotePrefix="1" applyFont="1"/>
    <xf numFmtId="11" fontId="0" fillId="0" borderId="0" xfId="1" applyNumberFormat="1" applyFont="1" applyAlignment="1">
      <alignment horizontal="left" vertical="top"/>
    </xf>
    <xf numFmtId="0" fontId="8" fillId="0" borderId="0" xfId="1" applyFont="1"/>
    <xf numFmtId="11" fontId="8" fillId="0" borderId="0" xfId="0" applyNumberFormat="1" applyFont="1"/>
    <xf numFmtId="0" fontId="9" fillId="0" borderId="0" xfId="2" applyFont="1"/>
    <xf numFmtId="0" fontId="9" fillId="0" borderId="0" xfId="0" applyFont="1"/>
    <xf numFmtId="2" fontId="9" fillId="0" borderId="0" xfId="0" applyNumberFormat="1" applyFont="1"/>
    <xf numFmtId="0" fontId="9" fillId="0" borderId="0" xfId="1" applyFont="1"/>
    <xf numFmtId="11" fontId="9" fillId="0" borderId="0" xfId="1" applyNumberFormat="1" applyFont="1" applyAlignment="1">
      <alignment horizontal="left"/>
    </xf>
    <xf numFmtId="11" fontId="9" fillId="0" borderId="0" xfId="4" applyNumberFormat="1" applyFont="1" applyFill="1"/>
    <xf numFmtId="11" fontId="9" fillId="0" borderId="0" xfId="0" applyNumberFormat="1" applyFont="1"/>
    <xf numFmtId="0" fontId="8" fillId="0" borderId="0" xfId="0" applyFont="1"/>
    <xf numFmtId="0" fontId="7" fillId="0" borderId="0" xfId="0" applyFont="1"/>
    <xf numFmtId="2" fontId="7" fillId="0" borderId="0" xfId="0" applyNumberFormat="1" applyFont="1"/>
    <xf numFmtId="2" fontId="0" fillId="0" borderId="0" xfId="0" applyNumberFormat="1"/>
    <xf numFmtId="0" fontId="10" fillId="0" borderId="0" xfId="0" applyFont="1"/>
    <xf numFmtId="0" fontId="9" fillId="0" borderId="0" xfId="4" applyFont="1" applyFill="1"/>
    <xf numFmtId="0" fontId="9" fillId="0" borderId="0" xfId="4" applyFont="1" applyFill="1" applyBorder="1"/>
    <xf numFmtId="0" fontId="11" fillId="0" borderId="0" xfId="0" applyFont="1"/>
    <xf numFmtId="164" fontId="0" fillId="0" borderId="0" xfId="0" applyNumberFormat="1"/>
  </cellXfs>
  <cellStyles count="5">
    <cellStyle name="Neutre" xfId="4" builtinId="28"/>
    <cellStyle name="Normal" xfId="0" builtinId="0"/>
    <cellStyle name="Normal 11 3" xfId="1" xr:uid="{00000000-0005-0000-0000-000002000000}"/>
    <cellStyle name="Normal 2" xfId="2" xr:uid="{00000000-0005-0000-0000-000003000000}"/>
    <cellStyle name="Normal 3" xfId="3" xr:uid="{00000000-0005-0000-0000-00000400000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T102"/>
  <sheetViews>
    <sheetView tabSelected="1" zoomScaleNormal="100" workbookViewId="0">
      <selection activeCell="B3" sqref="B3"/>
    </sheetView>
  </sheetViews>
  <sheetFormatPr baseColWidth="10" defaultColWidth="8.81640625" defaultRowHeight="14.5"/>
  <cols>
    <col min="1" max="1" width="55.36328125" customWidth="1"/>
    <col min="2" max="2" width="18.6328125" style="19" customWidth="1"/>
    <col min="3" max="3" width="17.1796875" customWidth="1"/>
    <col min="4" max="4" width="24.36328125" bestFit="1" customWidth="1"/>
    <col min="5" max="5" width="26.453125" customWidth="1"/>
    <col min="6" max="6" width="14.81640625" bestFit="1" customWidth="1"/>
    <col min="7" max="7" width="33.453125" bestFit="1" customWidth="1"/>
    <col min="8" max="8" width="19.6328125" bestFit="1" customWidth="1"/>
    <col min="9" max="9" width="99.1796875" style="3" customWidth="1"/>
    <col min="10" max="10" width="31" customWidth="1"/>
  </cols>
  <sheetData>
    <row r="1" spans="1:13">
      <c r="A1" t="s">
        <v>14</v>
      </c>
      <c r="B1">
        <v>9</v>
      </c>
    </row>
    <row r="2" spans="1:13">
      <c r="A2" s="4" t="s">
        <v>0</v>
      </c>
      <c r="B2" s="5" t="s">
        <v>101</v>
      </c>
      <c r="C2" s="6"/>
      <c r="D2" s="6"/>
      <c r="E2" s="6"/>
      <c r="F2" s="6"/>
      <c r="G2" s="6"/>
      <c r="H2" s="6"/>
      <c r="I2" s="7"/>
      <c r="K2" s="8"/>
    </row>
    <row r="3" spans="1:13">
      <c r="A3" s="4"/>
      <c r="B3" s="5"/>
      <c r="C3" s="6"/>
      <c r="D3" s="6"/>
      <c r="E3" s="6"/>
      <c r="F3" s="6"/>
      <c r="G3" s="6"/>
      <c r="H3" s="6"/>
      <c r="I3" s="7"/>
      <c r="K3" s="8"/>
    </row>
    <row r="4" spans="1:13">
      <c r="A4" s="19"/>
      <c r="G4" s="13"/>
      <c r="H4" s="13"/>
      <c r="K4" s="8"/>
    </row>
    <row r="8" spans="1:13" ht="15.5">
      <c r="A8" s="34" t="s">
        <v>1</v>
      </c>
      <c r="B8" s="34" t="s">
        <v>74</v>
      </c>
      <c r="I8"/>
      <c r="M8" t="s">
        <v>75</v>
      </c>
    </row>
    <row r="9" spans="1:13">
      <c r="A9" t="s">
        <v>2</v>
      </c>
      <c r="B9" t="s">
        <v>29</v>
      </c>
      <c r="I9"/>
      <c r="M9" t="s">
        <v>75</v>
      </c>
    </row>
    <row r="10" spans="1:13">
      <c r="A10" t="s">
        <v>11</v>
      </c>
      <c r="B10" t="s">
        <v>76</v>
      </c>
      <c r="I10"/>
    </row>
    <row r="11" spans="1:13">
      <c r="A11" t="s">
        <v>3</v>
      </c>
      <c r="B11">
        <v>1</v>
      </c>
      <c r="I11"/>
      <c r="M11" t="s">
        <v>75</v>
      </c>
    </row>
    <row r="12" spans="1:13">
      <c r="A12" t="s">
        <v>77</v>
      </c>
      <c r="B12" t="s">
        <v>78</v>
      </c>
      <c r="I12"/>
    </row>
    <row r="13" spans="1:13">
      <c r="A13" t="s">
        <v>4</v>
      </c>
      <c r="B13" t="s">
        <v>31</v>
      </c>
      <c r="I13"/>
      <c r="M13" t="s">
        <v>75</v>
      </c>
    </row>
    <row r="14" spans="1:13">
      <c r="A14" t="s">
        <v>5</v>
      </c>
      <c r="B14" t="s">
        <v>79</v>
      </c>
      <c r="I14"/>
      <c r="M14" t="s">
        <v>75</v>
      </c>
    </row>
    <row r="15" spans="1:13">
      <c r="A15" t="s">
        <v>6</v>
      </c>
      <c r="B15" t="s">
        <v>19</v>
      </c>
      <c r="I15"/>
      <c r="M15" t="s">
        <v>75</v>
      </c>
    </row>
    <row r="16" spans="1:13" ht="15.5">
      <c r="A16" s="34" t="s">
        <v>7</v>
      </c>
      <c r="B16"/>
      <c r="I16"/>
      <c r="M16" t="s">
        <v>75</v>
      </c>
    </row>
    <row r="17" spans="1:16" ht="15.5">
      <c r="A17" s="34" t="s">
        <v>8</v>
      </c>
      <c r="B17" s="34" t="s">
        <v>9</v>
      </c>
      <c r="C17" s="34" t="s">
        <v>2</v>
      </c>
      <c r="D17" s="34" t="s">
        <v>6</v>
      </c>
      <c r="E17" s="34" t="s">
        <v>10</v>
      </c>
      <c r="F17" s="34" t="s">
        <v>5</v>
      </c>
      <c r="G17" s="34" t="s">
        <v>4</v>
      </c>
      <c r="H17" s="34" t="s">
        <v>11</v>
      </c>
      <c r="I17" s="40"/>
    </row>
    <row r="18" spans="1:16">
      <c r="A18" t="str">
        <f>B8</f>
        <v>electricity supply, high voltage, from vanadium-redox flow battery system</v>
      </c>
      <c r="B18">
        <v>1</v>
      </c>
      <c r="C18" t="s">
        <v>29</v>
      </c>
      <c r="D18" t="str">
        <f>B15</f>
        <v>kilowatt hour</v>
      </c>
      <c r="F18" t="s">
        <v>18</v>
      </c>
      <c r="G18" t="str">
        <f>B13</f>
        <v>electricity, high voltage</v>
      </c>
      <c r="I18" s="8"/>
      <c r="J18" s="8"/>
      <c r="K18" s="8"/>
      <c r="L18" s="8"/>
      <c r="M18" s="8"/>
      <c r="N18" s="8"/>
    </row>
    <row r="19" spans="1:16">
      <c r="A19" t="s">
        <v>99</v>
      </c>
      <c r="B19">
        <v>1.33</v>
      </c>
      <c r="C19" t="s">
        <v>29</v>
      </c>
      <c r="D19" t="s">
        <v>19</v>
      </c>
      <c r="F19" t="s">
        <v>12</v>
      </c>
      <c r="G19" t="s">
        <v>31</v>
      </c>
      <c r="H19" t="s">
        <v>80</v>
      </c>
      <c r="I19" s="8"/>
      <c r="J19" s="8"/>
      <c r="K19" s="8"/>
      <c r="L19" s="8"/>
      <c r="M19" s="8"/>
      <c r="N19" s="8"/>
    </row>
    <row r="20" spans="1:16">
      <c r="A20" t="s">
        <v>81</v>
      </c>
      <c r="B20" s="41">
        <f>1/(49000000)</f>
        <v>2.0408163265306123E-8</v>
      </c>
      <c r="C20" t="s">
        <v>49</v>
      </c>
      <c r="D20" t="s">
        <v>6</v>
      </c>
      <c r="F20" t="s">
        <v>12</v>
      </c>
      <c r="G20" t="s">
        <v>82</v>
      </c>
      <c r="H20" t="s">
        <v>83</v>
      </c>
      <c r="I20"/>
    </row>
    <row r="21" spans="1:16">
      <c r="A21" t="s">
        <v>84</v>
      </c>
      <c r="B21" s="41">
        <f>1/(49000000)</f>
        <v>2.0408163265306123E-8</v>
      </c>
      <c r="C21" t="s">
        <v>49</v>
      </c>
      <c r="D21" t="s">
        <v>6</v>
      </c>
      <c r="F21" t="s">
        <v>12</v>
      </c>
      <c r="G21" t="s">
        <v>85</v>
      </c>
      <c r="H21" t="s">
        <v>86</v>
      </c>
      <c r="I21"/>
    </row>
    <row r="22" spans="1:16">
      <c r="A22" t="s">
        <v>87</v>
      </c>
      <c r="B22" s="41">
        <f>-0.41/1000</f>
        <v>-4.0999999999999999E-4</v>
      </c>
      <c r="C22" t="s">
        <v>49</v>
      </c>
      <c r="D22" t="s">
        <v>13</v>
      </c>
      <c r="F22" t="s">
        <v>12</v>
      </c>
      <c r="G22" t="s">
        <v>88</v>
      </c>
      <c r="H22" t="s">
        <v>89</v>
      </c>
      <c r="I22"/>
    </row>
    <row r="23" spans="1:16">
      <c r="A23" t="s">
        <v>90</v>
      </c>
      <c r="B23">
        <f>-0.66/1000</f>
        <v>-6.6E-4</v>
      </c>
      <c r="C23" t="s">
        <v>49</v>
      </c>
      <c r="D23" t="s">
        <v>13</v>
      </c>
      <c r="F23" t="s">
        <v>12</v>
      </c>
      <c r="G23" t="s">
        <v>91</v>
      </c>
      <c r="H23" t="s">
        <v>92</v>
      </c>
      <c r="I23"/>
    </row>
    <row r="24" spans="1:16">
      <c r="A24" t="s">
        <v>93</v>
      </c>
      <c r="B24">
        <f>-5.55/1000</f>
        <v>-5.5500000000000002E-3</v>
      </c>
      <c r="C24" t="s">
        <v>49</v>
      </c>
      <c r="D24" t="s">
        <v>13</v>
      </c>
      <c r="F24" t="s">
        <v>12</v>
      </c>
      <c r="G24" t="s">
        <v>94</v>
      </c>
      <c r="H24" t="s">
        <v>95</v>
      </c>
      <c r="I24"/>
    </row>
    <row r="25" spans="1:16">
      <c r="A25" t="s">
        <v>96</v>
      </c>
      <c r="B25">
        <f>-0.1/1000</f>
        <v>-1E-4</v>
      </c>
      <c r="C25" t="s">
        <v>49</v>
      </c>
      <c r="D25" t="s">
        <v>13</v>
      </c>
      <c r="F25" t="s">
        <v>12</v>
      </c>
      <c r="G25" t="s">
        <v>97</v>
      </c>
      <c r="H25" t="s">
        <v>98</v>
      </c>
      <c r="I25"/>
    </row>
    <row r="26" spans="1:16">
      <c r="A26" s="6"/>
      <c r="G26" s="13"/>
      <c r="H26" s="1"/>
    </row>
    <row r="28" spans="1:16">
      <c r="A28" s="9"/>
      <c r="B28" s="10"/>
      <c r="C28" s="9"/>
      <c r="D28" s="9"/>
      <c r="E28" s="9"/>
      <c r="F28" s="9"/>
      <c r="G28" s="9"/>
      <c r="H28" s="9"/>
      <c r="I28" s="11"/>
      <c r="K28" s="8"/>
    </row>
    <row r="29" spans="1:16" s="27" customFormat="1" ht="15.5">
      <c r="A29" s="24" t="s">
        <v>1</v>
      </c>
      <c r="B29" s="25" t="s">
        <v>73</v>
      </c>
      <c r="C29" s="26"/>
      <c r="K29" s="28"/>
      <c r="L29" s="28"/>
      <c r="M29" s="28"/>
      <c r="N29" s="28"/>
      <c r="O29" s="28"/>
      <c r="P29" s="28"/>
    </row>
    <row r="30" spans="1:16" s="27" customFormat="1" ht="15.5">
      <c r="A30" s="29" t="s">
        <v>3</v>
      </c>
      <c r="B30" s="30">
        <v>1</v>
      </c>
      <c r="K30" s="28"/>
      <c r="L30" s="28"/>
      <c r="M30" s="28"/>
      <c r="N30" s="28"/>
      <c r="O30" s="28"/>
      <c r="P30" s="28"/>
    </row>
    <row r="31" spans="1:16" s="27" customFormat="1" ht="15.5">
      <c r="A31" s="29" t="s">
        <v>11</v>
      </c>
      <c r="B31" s="30" t="s">
        <v>56</v>
      </c>
      <c r="K31" s="28"/>
      <c r="L31" s="28"/>
      <c r="M31" s="28"/>
      <c r="N31" s="28"/>
      <c r="O31" s="28"/>
      <c r="P31" s="28"/>
    </row>
    <row r="32" spans="1:16" s="27" customFormat="1" ht="15.5">
      <c r="A32" s="29" t="s">
        <v>4</v>
      </c>
      <c r="B32" s="31" t="s">
        <v>57</v>
      </c>
      <c r="K32" s="28"/>
      <c r="L32" s="28"/>
      <c r="M32" s="28"/>
      <c r="N32" s="28"/>
      <c r="O32" s="28"/>
      <c r="P32" s="28"/>
    </row>
    <row r="33" spans="1:20" s="27" customFormat="1" ht="15.5">
      <c r="A33" s="29" t="s">
        <v>2</v>
      </c>
      <c r="B33" s="30" t="s">
        <v>29</v>
      </c>
      <c r="K33" s="28"/>
      <c r="L33" s="28"/>
      <c r="M33" s="28"/>
      <c r="N33" s="28"/>
      <c r="O33" s="28"/>
      <c r="P33" s="28"/>
    </row>
    <row r="34" spans="1:20" s="27" customFormat="1" ht="15.5">
      <c r="A34" s="29" t="s">
        <v>6</v>
      </c>
      <c r="B34" s="32" t="s">
        <v>13</v>
      </c>
      <c r="H34" s="33"/>
      <c r="I34" s="33"/>
      <c r="J34" s="33"/>
      <c r="K34" s="28"/>
      <c r="L34" s="28"/>
      <c r="M34" s="28"/>
      <c r="N34" s="28"/>
      <c r="O34" s="28"/>
      <c r="P34" s="28"/>
    </row>
    <row r="35" spans="1:20" s="27" customFormat="1" ht="15.5">
      <c r="A35" s="33" t="s">
        <v>7</v>
      </c>
      <c r="B35" s="25"/>
      <c r="C35" s="33"/>
      <c r="D35" s="33"/>
      <c r="E35" s="33"/>
      <c r="F35" s="33"/>
      <c r="G35" s="33"/>
      <c r="H35" s="26"/>
      <c r="I35" s="26"/>
      <c r="J35" s="26"/>
      <c r="K35" s="28"/>
      <c r="L35" s="28"/>
      <c r="M35" s="28"/>
      <c r="N35" s="28"/>
      <c r="O35" s="28"/>
      <c r="P35" s="28"/>
    </row>
    <row r="36" spans="1:20" s="27" customFormat="1" ht="15.5">
      <c r="A36" s="33" t="s">
        <v>8</v>
      </c>
      <c r="B36" s="33" t="s">
        <v>9</v>
      </c>
      <c r="C36" s="33" t="s">
        <v>2</v>
      </c>
      <c r="D36" s="33" t="s">
        <v>6</v>
      </c>
      <c r="E36" s="33" t="s">
        <v>10</v>
      </c>
      <c r="F36" s="33" t="s">
        <v>5</v>
      </c>
      <c r="G36" s="33" t="s">
        <v>4</v>
      </c>
      <c r="H36" s="33" t="s">
        <v>11</v>
      </c>
      <c r="I36" s="33"/>
      <c r="J36" s="34"/>
      <c r="K36" s="35"/>
      <c r="L36" s="35"/>
      <c r="M36" s="35"/>
      <c r="N36" s="35"/>
      <c r="O36" s="35"/>
      <c r="P36" s="35"/>
      <c r="Q36" s="34"/>
      <c r="R36" s="34"/>
      <c r="S36" s="33"/>
      <c r="T36" s="34"/>
    </row>
    <row r="37" spans="1:20" s="27" customFormat="1" ht="15.5">
      <c r="A37" s="32" t="s">
        <v>73</v>
      </c>
      <c r="B37" s="32">
        <v>1</v>
      </c>
      <c r="C37" s="27" t="str">
        <f>B33</f>
        <v>FR</v>
      </c>
      <c r="D37" s="27" t="str">
        <f>B34</f>
        <v>kilogram</v>
      </c>
      <c r="E37" s="26"/>
      <c r="F37" s="27" t="s">
        <v>18</v>
      </c>
      <c r="G37" s="27" t="s">
        <v>57</v>
      </c>
      <c r="H37" s="26"/>
      <c r="I37" s="26"/>
      <c r="K37" s="28"/>
      <c r="L37" s="28"/>
      <c r="M37" s="28"/>
      <c r="N37" s="28"/>
      <c r="O37" s="28"/>
      <c r="P37" s="28"/>
      <c r="T37"/>
    </row>
    <row r="38" spans="1:20" s="27" customFormat="1" ht="15.5">
      <c r="A38" s="32" t="s">
        <v>71</v>
      </c>
      <c r="B38" s="27">
        <f>(1/2963200)*4</f>
        <v>1.3498920086393089E-6</v>
      </c>
      <c r="C38" s="27" t="s">
        <v>49</v>
      </c>
      <c r="D38" s="27" t="s">
        <v>6</v>
      </c>
      <c r="F38" s="27" t="s">
        <v>12</v>
      </c>
      <c r="G38" s="27" t="s">
        <v>58</v>
      </c>
      <c r="H38" s="27" t="s">
        <v>59</v>
      </c>
      <c r="J38"/>
      <c r="K38" s="36"/>
      <c r="L38" s="36"/>
      <c r="M38" s="36"/>
      <c r="N38" s="36"/>
      <c r="O38" s="36"/>
      <c r="P38" s="36"/>
      <c r="Q38"/>
      <c r="R38"/>
    </row>
    <row r="39" spans="1:20" s="27" customFormat="1" ht="15.5">
      <c r="A39" s="32" t="s">
        <v>72</v>
      </c>
      <c r="B39" s="27">
        <f>1/2963200</f>
        <v>3.3747300215982723E-7</v>
      </c>
      <c r="C39" s="27" t="s">
        <v>49</v>
      </c>
      <c r="D39" s="27" t="s">
        <v>6</v>
      </c>
      <c r="F39" s="27" t="s">
        <v>12</v>
      </c>
      <c r="G39" s="27" t="s">
        <v>60</v>
      </c>
      <c r="H39" s="27" t="s">
        <v>61</v>
      </c>
      <c r="J39"/>
      <c r="K39" s="36"/>
      <c r="L39" s="36"/>
      <c r="M39" s="36"/>
      <c r="N39" s="36"/>
      <c r="O39" s="36"/>
      <c r="P39" s="36"/>
      <c r="Q39"/>
      <c r="R39"/>
    </row>
    <row r="40" spans="1:20" s="27" customFormat="1" ht="15.5">
      <c r="A40" s="32" t="s">
        <v>62</v>
      </c>
      <c r="B40" s="27">
        <f>B38*-1</f>
        <v>-1.3498920086393089E-6</v>
      </c>
      <c r="C40" s="27" t="s">
        <v>49</v>
      </c>
      <c r="D40" s="27" t="s">
        <v>6</v>
      </c>
      <c r="F40" s="27" t="s">
        <v>12</v>
      </c>
      <c r="G40" s="27" t="s">
        <v>63</v>
      </c>
      <c r="H40" s="27" t="s">
        <v>64</v>
      </c>
      <c r="J40"/>
      <c r="K40" s="36"/>
      <c r="L40" s="36"/>
      <c r="M40" s="36"/>
      <c r="N40" s="36"/>
      <c r="O40" s="36"/>
      <c r="P40" s="36"/>
      <c r="Q40"/>
      <c r="R40"/>
    </row>
    <row r="41" spans="1:20" s="27" customFormat="1" ht="15.5">
      <c r="A41" s="32" t="s">
        <v>65</v>
      </c>
      <c r="B41" s="27">
        <f>-1*B39</f>
        <v>-3.3747300215982723E-7</v>
      </c>
      <c r="C41" s="27" t="s">
        <v>49</v>
      </c>
      <c r="D41" s="27" t="s">
        <v>6</v>
      </c>
      <c r="F41" s="27" t="s">
        <v>12</v>
      </c>
      <c r="G41" s="27" t="s">
        <v>66</v>
      </c>
      <c r="H41" s="27" t="s">
        <v>67</v>
      </c>
      <c r="J41"/>
      <c r="K41" s="36"/>
      <c r="L41" s="36"/>
      <c r="M41" s="36"/>
      <c r="N41" s="36"/>
      <c r="O41" s="36"/>
      <c r="P41" s="36"/>
      <c r="Q41"/>
      <c r="R41"/>
    </row>
    <row r="42" spans="1:20" s="27" customFormat="1" ht="15.5">
      <c r="A42" s="29" t="s">
        <v>28</v>
      </c>
      <c r="B42" s="32">
        <v>54</v>
      </c>
      <c r="C42" s="27" t="s">
        <v>29</v>
      </c>
      <c r="D42" s="27" t="s">
        <v>19</v>
      </c>
      <c r="E42" s="26"/>
      <c r="F42" s="27" t="s">
        <v>12</v>
      </c>
      <c r="G42" s="27" t="s">
        <v>20</v>
      </c>
      <c r="H42" s="26" t="s">
        <v>68</v>
      </c>
      <c r="J42"/>
      <c r="K42" s="36"/>
      <c r="L42" s="36"/>
      <c r="M42" s="36"/>
      <c r="N42" s="36"/>
      <c r="O42" s="36"/>
      <c r="P42" s="36"/>
      <c r="Q42"/>
      <c r="R42"/>
    </row>
    <row r="43" spans="1:20" s="27" customFormat="1" ht="15.5">
      <c r="A43" s="29" t="s">
        <v>21</v>
      </c>
      <c r="B43" s="32">
        <v>14</v>
      </c>
      <c r="C43" s="27" t="s">
        <v>22</v>
      </c>
      <c r="D43" s="27" t="s">
        <v>13</v>
      </c>
      <c r="F43" s="27" t="s">
        <v>12</v>
      </c>
      <c r="G43" s="27" t="s">
        <v>23</v>
      </c>
      <c r="H43" s="37" t="s">
        <v>69</v>
      </c>
      <c r="J43"/>
      <c r="K43" s="36"/>
      <c r="L43" s="36"/>
      <c r="M43" s="36"/>
      <c r="N43" s="36"/>
      <c r="O43" s="36"/>
      <c r="P43" s="36"/>
      <c r="Q43"/>
      <c r="R43"/>
    </row>
    <row r="44" spans="1:20" s="27" customFormat="1" ht="15.5">
      <c r="A44" s="38" t="s">
        <v>24</v>
      </c>
      <c r="B44" s="31">
        <v>8</v>
      </c>
      <c r="C44" s="38"/>
      <c r="D44" s="38" t="s">
        <v>13</v>
      </c>
      <c r="E44" s="38" t="s">
        <v>25</v>
      </c>
      <c r="F44" s="38" t="s">
        <v>15</v>
      </c>
      <c r="G44" s="38"/>
      <c r="H44" s="39"/>
      <c r="J44"/>
      <c r="K44" s="36"/>
      <c r="L44" s="36"/>
      <c r="M44" s="36"/>
      <c r="N44" s="36"/>
      <c r="O44" s="36"/>
      <c r="P44" s="36"/>
      <c r="Q44" s="36"/>
      <c r="R44"/>
    </row>
    <row r="45" spans="1:20" s="27" customFormat="1" ht="15.5">
      <c r="A45" s="38" t="s">
        <v>70</v>
      </c>
      <c r="B45" s="31">
        <f>(0.09*1000*20)/2963200</f>
        <v>6.0745140388768898E-4</v>
      </c>
      <c r="C45" s="38"/>
      <c r="D45" s="38" t="s">
        <v>17</v>
      </c>
      <c r="E45" s="38" t="s">
        <v>16</v>
      </c>
      <c r="F45" s="38" t="s">
        <v>15</v>
      </c>
      <c r="G45" s="38"/>
      <c r="H45" s="39"/>
      <c r="J45"/>
      <c r="K45" s="36"/>
      <c r="L45" s="36"/>
      <c r="M45" s="36"/>
      <c r="N45" s="36"/>
      <c r="O45" s="36"/>
      <c r="P45" s="36"/>
      <c r="Q45" s="36"/>
      <c r="R45"/>
    </row>
    <row r="46" spans="1:20" s="27" customFormat="1" ht="15.5">
      <c r="K46" s="28"/>
      <c r="L46" s="28"/>
      <c r="M46" s="28"/>
      <c r="N46" s="28"/>
      <c r="O46" s="28"/>
      <c r="P46" s="28"/>
    </row>
    <row r="47" spans="1:20">
      <c r="A47" s="4" t="s">
        <v>1</v>
      </c>
      <c r="B47" s="12" t="s">
        <v>44</v>
      </c>
      <c r="C47" s="9"/>
      <c r="D47" s="9"/>
      <c r="E47" s="9"/>
      <c r="F47" s="9"/>
      <c r="G47" s="9"/>
      <c r="H47" s="9"/>
      <c r="J47" s="21"/>
      <c r="K47" s="22"/>
    </row>
    <row r="48" spans="1:20">
      <c r="A48" s="6" t="s">
        <v>3</v>
      </c>
      <c r="B48" s="14">
        <v>1</v>
      </c>
      <c r="C48" s="9"/>
      <c r="D48" s="9"/>
      <c r="E48" s="9"/>
      <c r="F48" s="9"/>
      <c r="G48" s="9"/>
      <c r="H48" s="9"/>
      <c r="J48" s="13"/>
      <c r="K48" s="22"/>
    </row>
    <row r="49" spans="1:11">
      <c r="A49" s="6" t="s">
        <v>11</v>
      </c>
      <c r="B49" s="23" t="s">
        <v>41</v>
      </c>
      <c r="C49" s="9"/>
      <c r="D49" s="9"/>
      <c r="E49" s="9"/>
      <c r="F49" s="9"/>
      <c r="G49" s="9"/>
      <c r="H49" s="9"/>
      <c r="K49" s="22"/>
    </row>
    <row r="50" spans="1:11">
      <c r="A50" s="6" t="s">
        <v>4</v>
      </c>
      <c r="B50" s="10" t="s">
        <v>26</v>
      </c>
      <c r="C50" s="9"/>
      <c r="D50" s="9"/>
      <c r="E50" s="9"/>
      <c r="F50" s="9"/>
      <c r="G50" s="9"/>
      <c r="H50" s="9"/>
    </row>
    <row r="51" spans="1:11" ht="16.25" customHeight="1">
      <c r="A51" s="6" t="s">
        <v>2</v>
      </c>
      <c r="B51" s="15" t="s">
        <v>29</v>
      </c>
      <c r="C51" s="9"/>
      <c r="D51" s="9"/>
      <c r="E51" s="9"/>
      <c r="F51" s="9"/>
      <c r="G51" s="9"/>
      <c r="H51" s="9"/>
    </row>
    <row r="52" spans="1:11">
      <c r="A52" s="6" t="s">
        <v>6</v>
      </c>
      <c r="B52" s="10" t="s">
        <v>13</v>
      </c>
      <c r="C52" s="9"/>
      <c r="D52" s="9"/>
      <c r="E52" s="9"/>
      <c r="F52" s="9"/>
      <c r="G52" s="9"/>
      <c r="H52" s="16"/>
    </row>
    <row r="53" spans="1:11">
      <c r="A53" s="16" t="s">
        <v>7</v>
      </c>
      <c r="B53" s="12"/>
      <c r="C53" s="16"/>
      <c r="D53" s="16"/>
      <c r="E53" s="16"/>
      <c r="F53" s="16"/>
      <c r="G53" s="16"/>
      <c r="H53" s="13"/>
    </row>
    <row r="54" spans="1:11">
      <c r="A54" t="s">
        <v>8</v>
      </c>
      <c r="B54" s="19" t="s">
        <v>9</v>
      </c>
      <c r="C54" t="s">
        <v>2</v>
      </c>
      <c r="D54" t="s">
        <v>6</v>
      </c>
      <c r="E54" t="s">
        <v>5</v>
      </c>
      <c r="F54" t="s">
        <v>4</v>
      </c>
      <c r="G54" s="1" t="s">
        <v>10</v>
      </c>
      <c r="H54" s="20" t="s">
        <v>11</v>
      </c>
    </row>
    <row r="55" spans="1:11">
      <c r="A55" t="s">
        <v>44</v>
      </c>
      <c r="B55" s="19">
        <v>1</v>
      </c>
      <c r="C55" t="s">
        <v>29</v>
      </c>
      <c r="D55" t="s">
        <v>13</v>
      </c>
      <c r="E55" t="s">
        <v>18</v>
      </c>
      <c r="F55" s="10" t="s">
        <v>26</v>
      </c>
      <c r="G55" s="13"/>
    </row>
    <row r="56" spans="1:11">
      <c r="A56" t="s">
        <v>35</v>
      </c>
      <c r="B56" s="19">
        <f>4.3*28.6</f>
        <v>122.98</v>
      </c>
      <c r="C56" t="s">
        <v>42</v>
      </c>
      <c r="D56" t="s">
        <v>46</v>
      </c>
      <c r="E56" t="s">
        <v>12</v>
      </c>
      <c r="F56" t="s">
        <v>36</v>
      </c>
    </row>
    <row r="57" spans="1:11">
      <c r="A57" t="s">
        <v>35</v>
      </c>
      <c r="B57" s="19">
        <v>1.34</v>
      </c>
      <c r="C57" t="s">
        <v>42</v>
      </c>
      <c r="D57" t="s">
        <v>13</v>
      </c>
      <c r="E57" t="s">
        <v>12</v>
      </c>
      <c r="F57" t="s">
        <v>37</v>
      </c>
    </row>
    <row r="58" spans="1:11">
      <c r="A58" t="s">
        <v>38</v>
      </c>
      <c r="B58" s="19">
        <v>4.03</v>
      </c>
      <c r="C58" t="s">
        <v>22</v>
      </c>
      <c r="D58" t="s">
        <v>13</v>
      </c>
      <c r="E58" t="s">
        <v>12</v>
      </c>
      <c r="F58" t="s">
        <v>39</v>
      </c>
    </row>
    <row r="59" spans="1:11">
      <c r="A59" t="s">
        <v>40</v>
      </c>
      <c r="B59" s="19">
        <v>8.34</v>
      </c>
      <c r="D59" t="s">
        <v>13</v>
      </c>
      <c r="E59" t="s">
        <v>15</v>
      </c>
      <c r="G59" t="s">
        <v>25</v>
      </c>
    </row>
    <row r="60" spans="1:11">
      <c r="A60" t="s">
        <v>45</v>
      </c>
      <c r="B60" s="19">
        <v>4.6399999999999997</v>
      </c>
      <c r="C60" t="s">
        <v>29</v>
      </c>
      <c r="D60" t="s">
        <v>19</v>
      </c>
      <c r="E60" t="s">
        <v>12</v>
      </c>
      <c r="F60" t="s">
        <v>43</v>
      </c>
    </row>
    <row r="62" spans="1:11">
      <c r="A62" s="4" t="s">
        <v>1</v>
      </c>
      <c r="B62" s="12" t="s">
        <v>47</v>
      </c>
      <c r="C62" s="9"/>
      <c r="D62" s="9"/>
      <c r="E62" s="9"/>
      <c r="F62" s="9"/>
      <c r="G62" s="9"/>
      <c r="H62" s="9"/>
      <c r="J62" s="21"/>
      <c r="K62" s="22"/>
    </row>
    <row r="63" spans="1:11">
      <c r="A63" s="6" t="s">
        <v>3</v>
      </c>
      <c r="B63" s="14">
        <v>1</v>
      </c>
      <c r="C63" s="9"/>
      <c r="D63" s="9"/>
      <c r="E63" s="9"/>
      <c r="F63" s="9"/>
      <c r="G63" s="9"/>
      <c r="H63" s="9"/>
      <c r="J63" s="13"/>
      <c r="K63" s="22"/>
    </row>
    <row r="64" spans="1:11">
      <c r="A64" s="6" t="s">
        <v>11</v>
      </c>
      <c r="B64" s="23" t="s">
        <v>48</v>
      </c>
      <c r="C64" s="9"/>
      <c r="D64" s="9"/>
      <c r="E64" s="9"/>
      <c r="F64" s="9"/>
      <c r="G64" s="9"/>
      <c r="H64" s="9"/>
      <c r="K64" s="22"/>
    </row>
    <row r="65" spans="1:11">
      <c r="A65" s="6" t="s">
        <v>4</v>
      </c>
      <c r="B65" s="10" t="s">
        <v>26</v>
      </c>
      <c r="C65" s="9"/>
      <c r="D65" s="9"/>
      <c r="E65" s="9"/>
      <c r="F65" s="9"/>
      <c r="G65" s="9"/>
      <c r="H65" s="9"/>
    </row>
    <row r="66" spans="1:11" ht="16.25" customHeight="1">
      <c r="A66" s="6" t="s">
        <v>2</v>
      </c>
      <c r="B66" s="15" t="s">
        <v>29</v>
      </c>
      <c r="C66" s="9"/>
      <c r="D66" s="9"/>
      <c r="E66" s="9"/>
      <c r="F66" s="9"/>
      <c r="G66" s="9"/>
      <c r="H66" s="9"/>
    </row>
    <row r="67" spans="1:11">
      <c r="A67" s="6" t="s">
        <v>6</v>
      </c>
      <c r="B67" s="10" t="s">
        <v>13</v>
      </c>
      <c r="C67" s="9"/>
      <c r="D67" s="9"/>
      <c r="E67" s="9"/>
      <c r="F67" s="9"/>
      <c r="G67" s="9"/>
      <c r="H67" s="16"/>
    </row>
    <row r="68" spans="1:11">
      <c r="A68" s="16" t="s">
        <v>7</v>
      </c>
      <c r="B68" s="12"/>
      <c r="C68" s="16"/>
      <c r="D68" s="16"/>
      <c r="E68" s="16"/>
      <c r="F68" s="16"/>
      <c r="G68" s="16"/>
      <c r="H68" s="13"/>
    </row>
    <row r="69" spans="1:11">
      <c r="A69" t="s">
        <v>8</v>
      </c>
      <c r="B69" s="19" t="s">
        <v>9</v>
      </c>
      <c r="C69" t="s">
        <v>2</v>
      </c>
      <c r="D69" t="s">
        <v>6</v>
      </c>
      <c r="E69" t="s">
        <v>5</v>
      </c>
      <c r="F69" t="s">
        <v>4</v>
      </c>
      <c r="G69" s="1" t="s">
        <v>10</v>
      </c>
      <c r="H69" s="20" t="s">
        <v>11</v>
      </c>
    </row>
    <row r="70" spans="1:11">
      <c r="A70" t="s">
        <v>47</v>
      </c>
      <c r="B70" s="19">
        <v>1</v>
      </c>
      <c r="C70" t="s">
        <v>29</v>
      </c>
      <c r="D70" t="s">
        <v>13</v>
      </c>
      <c r="E70" t="s">
        <v>18</v>
      </c>
      <c r="F70" s="10" t="s">
        <v>26</v>
      </c>
      <c r="G70" s="13"/>
    </row>
    <row r="71" spans="1:11">
      <c r="A71" t="s">
        <v>35</v>
      </c>
      <c r="B71" s="19">
        <f>4.3*28.6</f>
        <v>122.98</v>
      </c>
      <c r="C71" t="s">
        <v>42</v>
      </c>
      <c r="D71" t="s">
        <v>46</v>
      </c>
      <c r="E71" t="s">
        <v>12</v>
      </c>
      <c r="F71" t="s">
        <v>36</v>
      </c>
    </row>
    <row r="72" spans="1:11">
      <c r="A72" t="s">
        <v>35</v>
      </c>
      <c r="B72" s="19">
        <v>1.34</v>
      </c>
      <c r="C72" t="s">
        <v>42</v>
      </c>
      <c r="D72" t="s">
        <v>13</v>
      </c>
      <c r="E72" t="s">
        <v>12</v>
      </c>
      <c r="F72" t="s">
        <v>37</v>
      </c>
    </row>
    <row r="73" spans="1:11">
      <c r="A73" t="s">
        <v>38</v>
      </c>
      <c r="B73" s="19">
        <v>4.03</v>
      </c>
      <c r="C73" t="s">
        <v>22</v>
      </c>
      <c r="D73" t="s">
        <v>13</v>
      </c>
      <c r="E73" t="s">
        <v>12</v>
      </c>
      <c r="F73" t="s">
        <v>39</v>
      </c>
    </row>
    <row r="74" spans="1:11">
      <c r="A74" t="s">
        <v>45</v>
      </c>
      <c r="B74" s="19">
        <v>4.6399999999999997</v>
      </c>
      <c r="C74" t="s">
        <v>29</v>
      </c>
      <c r="D74" t="s">
        <v>19</v>
      </c>
      <c r="E74" t="s">
        <v>12</v>
      </c>
      <c r="F74" t="s">
        <v>43</v>
      </c>
    </row>
    <row r="75" spans="1:11">
      <c r="A75" t="s">
        <v>45</v>
      </c>
      <c r="B75" s="19">
        <v>0.7</v>
      </c>
      <c r="C75" t="s">
        <v>29</v>
      </c>
      <c r="D75" t="s">
        <v>19</v>
      </c>
      <c r="E75" t="s">
        <v>12</v>
      </c>
      <c r="F75" t="s">
        <v>43</v>
      </c>
    </row>
    <row r="77" spans="1:11">
      <c r="B77"/>
      <c r="I77"/>
    </row>
    <row r="78" spans="1:11">
      <c r="A78" s="4" t="s">
        <v>1</v>
      </c>
      <c r="B78" s="12" t="s">
        <v>100</v>
      </c>
      <c r="C78" s="13"/>
      <c r="D78" s="9"/>
      <c r="E78" s="9"/>
      <c r="F78" s="9"/>
      <c r="G78" s="9"/>
      <c r="H78" s="9"/>
      <c r="I78" s="11"/>
      <c r="K78" s="8"/>
    </row>
    <row r="79" spans="1:11">
      <c r="A79" s="6" t="s">
        <v>3</v>
      </c>
      <c r="B79" s="14">
        <v>1</v>
      </c>
      <c r="C79" s="9"/>
      <c r="D79" s="9"/>
      <c r="E79" s="9"/>
      <c r="F79" s="9"/>
      <c r="G79" s="9"/>
      <c r="H79" s="9"/>
      <c r="I79" s="11"/>
      <c r="K79" s="8"/>
    </row>
    <row r="80" spans="1:11">
      <c r="A80" s="6" t="s">
        <v>11</v>
      </c>
      <c r="B80" s="15" t="s">
        <v>50</v>
      </c>
      <c r="C80" s="9"/>
      <c r="D80" s="9"/>
      <c r="E80" s="9"/>
      <c r="F80" s="9"/>
      <c r="G80" s="9"/>
      <c r="H80" s="9"/>
      <c r="I80" s="11"/>
      <c r="K80" s="8"/>
    </row>
    <row r="81" spans="1:11">
      <c r="A81" s="6" t="s">
        <v>4</v>
      </c>
      <c r="B81" s="2" t="s">
        <v>31</v>
      </c>
      <c r="C81" s="9"/>
      <c r="D81" s="9"/>
      <c r="E81" s="9"/>
      <c r="F81" s="9"/>
      <c r="G81" s="9"/>
      <c r="H81" s="9"/>
      <c r="I81" s="11"/>
      <c r="K81" s="8"/>
    </row>
    <row r="82" spans="1:11">
      <c r="A82" s="6" t="s">
        <v>2</v>
      </c>
      <c r="B82" s="15" t="s">
        <v>29</v>
      </c>
      <c r="C82" s="9"/>
      <c r="D82" s="9"/>
      <c r="E82" s="9"/>
      <c r="F82" s="9"/>
      <c r="G82" s="9"/>
      <c r="H82" s="9"/>
      <c r="I82" s="11"/>
      <c r="K82" s="8"/>
    </row>
    <row r="83" spans="1:11">
      <c r="A83" s="6" t="s">
        <v>6</v>
      </c>
      <c r="B83" s="10" t="s">
        <v>19</v>
      </c>
      <c r="C83" s="9"/>
      <c r="D83" s="9"/>
      <c r="E83" s="9"/>
      <c r="F83" s="9"/>
      <c r="G83" s="9"/>
      <c r="H83" s="16"/>
      <c r="I83" s="17"/>
      <c r="K83" s="8"/>
    </row>
    <row r="84" spans="1:11">
      <c r="A84" s="16" t="s">
        <v>7</v>
      </c>
      <c r="B84" s="12"/>
      <c r="C84" s="16"/>
      <c r="D84" s="16"/>
      <c r="E84" s="16"/>
      <c r="F84" s="16"/>
      <c r="G84" s="16"/>
      <c r="H84" s="13"/>
      <c r="I84" s="18"/>
      <c r="K84" s="8"/>
    </row>
    <row r="85" spans="1:11">
      <c r="A85" t="s">
        <v>8</v>
      </c>
      <c r="B85" s="19" t="s">
        <v>9</v>
      </c>
      <c r="C85" t="s">
        <v>2</v>
      </c>
      <c r="D85" t="s">
        <v>6</v>
      </c>
      <c r="E85" t="s">
        <v>5</v>
      </c>
      <c r="F85" t="s">
        <v>4</v>
      </c>
      <c r="G85" t="s">
        <v>10</v>
      </c>
      <c r="H85" s="20" t="s">
        <v>11</v>
      </c>
      <c r="J85" s="1"/>
      <c r="K85" s="8"/>
    </row>
    <row r="86" spans="1:11">
      <c r="A86" s="19" t="str">
        <f>B78</f>
        <v>electricity production, from stationary battery, Tr2050</v>
      </c>
      <c r="B86" s="19">
        <v>1</v>
      </c>
      <c r="C86" t="str">
        <f>B82</f>
        <v>FR</v>
      </c>
      <c r="D86" t="s">
        <v>19</v>
      </c>
      <c r="E86" t="s">
        <v>18</v>
      </c>
      <c r="F86" t="s">
        <v>31</v>
      </c>
      <c r="G86" s="13"/>
      <c r="H86" s="18"/>
      <c r="K86" s="8"/>
    </row>
    <row r="87" spans="1:11">
      <c r="A87" s="6" t="s">
        <v>28</v>
      </c>
      <c r="B87" s="19">
        <f>1*1.19</f>
        <v>1.19</v>
      </c>
      <c r="C87" t="s">
        <v>29</v>
      </c>
      <c r="D87" t="s">
        <v>19</v>
      </c>
      <c r="E87" t="s">
        <v>12</v>
      </c>
      <c r="F87" t="s">
        <v>20</v>
      </c>
      <c r="G87" s="13"/>
      <c r="H87" s="20" t="s">
        <v>51</v>
      </c>
    </row>
    <row r="88" spans="1:11">
      <c r="A88" s="6" t="s">
        <v>28</v>
      </c>
      <c r="B88" s="19">
        <f>((22/1000)*6000*13)/(2500*19.5*0.8)</f>
        <v>4.3999999999999997E-2</v>
      </c>
      <c r="C88" t="s">
        <v>29</v>
      </c>
      <c r="D88" t="s">
        <v>19</v>
      </c>
      <c r="E88" t="s">
        <v>12</v>
      </c>
      <c r="F88" t="s">
        <v>20</v>
      </c>
      <c r="G88" s="13"/>
      <c r="H88" s="20" t="s">
        <v>52</v>
      </c>
    </row>
    <row r="89" spans="1:11">
      <c r="A89" s="6" t="s">
        <v>53</v>
      </c>
      <c r="B89" s="19">
        <f>1/(2500*80%*19.5)</f>
        <v>2.564102564102564E-5</v>
      </c>
      <c r="C89" t="s">
        <v>49</v>
      </c>
      <c r="D89" t="s">
        <v>6</v>
      </c>
      <c r="E89" t="s">
        <v>12</v>
      </c>
      <c r="F89" t="s">
        <v>54</v>
      </c>
      <c r="G89" s="13"/>
      <c r="H89" s="1" t="s">
        <v>55</v>
      </c>
    </row>
    <row r="90" spans="1:11">
      <c r="A90" s="6"/>
      <c r="G90" s="13"/>
      <c r="H90" s="1"/>
    </row>
    <row r="91" spans="1:11">
      <c r="A91" s="19"/>
      <c r="G91" s="13"/>
      <c r="H91" s="13"/>
      <c r="K91" s="8"/>
    </row>
    <row r="92" spans="1:11">
      <c r="A92" s="4" t="s">
        <v>1</v>
      </c>
      <c r="B92" s="12" t="s">
        <v>30</v>
      </c>
      <c r="C92" s="13"/>
      <c r="D92" s="9"/>
      <c r="E92" s="9"/>
      <c r="F92" s="9"/>
      <c r="G92" s="9"/>
      <c r="H92" s="9"/>
      <c r="I92" s="11"/>
      <c r="K92" s="8"/>
    </row>
    <row r="93" spans="1:11">
      <c r="A93" s="6" t="s">
        <v>3</v>
      </c>
      <c r="B93" s="14">
        <v>1</v>
      </c>
      <c r="C93" s="9"/>
      <c r="D93" s="9"/>
      <c r="E93" s="9"/>
      <c r="F93" s="9"/>
      <c r="G93" s="9"/>
      <c r="H93" s="9"/>
      <c r="I93" s="11"/>
      <c r="K93" s="8"/>
    </row>
    <row r="94" spans="1:11">
      <c r="A94" s="6" t="s">
        <v>11</v>
      </c>
      <c r="B94" s="15" t="s">
        <v>34</v>
      </c>
      <c r="C94" s="9"/>
      <c r="D94" s="9"/>
      <c r="E94" s="9"/>
      <c r="F94" s="9"/>
      <c r="G94" s="9"/>
      <c r="H94" s="9"/>
      <c r="I94" s="11"/>
      <c r="K94" s="8"/>
    </row>
    <row r="95" spans="1:11">
      <c r="A95" s="6" t="s">
        <v>4</v>
      </c>
      <c r="B95" s="2" t="s">
        <v>31</v>
      </c>
      <c r="C95" s="9"/>
      <c r="D95" s="9"/>
      <c r="E95" s="9"/>
      <c r="F95" s="9"/>
      <c r="G95" s="9"/>
      <c r="H95" s="9"/>
      <c r="I95" s="11"/>
      <c r="K95" s="8"/>
    </row>
    <row r="96" spans="1:11">
      <c r="A96" s="6" t="s">
        <v>2</v>
      </c>
      <c r="B96" s="15" t="s">
        <v>29</v>
      </c>
      <c r="C96" s="9"/>
      <c r="D96" s="9"/>
      <c r="E96" s="9"/>
      <c r="F96" s="9"/>
      <c r="G96" s="9"/>
      <c r="H96" s="9"/>
      <c r="I96" s="11"/>
      <c r="K96" s="8"/>
    </row>
    <row r="97" spans="1:11">
      <c r="A97" s="6" t="s">
        <v>6</v>
      </c>
      <c r="B97" s="10" t="s">
        <v>19</v>
      </c>
      <c r="C97" s="9"/>
      <c r="D97" s="9"/>
      <c r="E97" s="9"/>
      <c r="F97" s="9"/>
      <c r="G97" s="9"/>
      <c r="H97" s="16"/>
      <c r="I97" s="17"/>
      <c r="K97" s="8"/>
    </row>
    <row r="98" spans="1:11">
      <c r="A98" s="16" t="s">
        <v>7</v>
      </c>
      <c r="B98" s="12"/>
      <c r="C98" s="16"/>
      <c r="D98" s="16"/>
      <c r="E98" s="16"/>
      <c r="F98" s="16"/>
      <c r="G98" s="16"/>
      <c r="H98" s="13"/>
      <c r="I98" s="18"/>
      <c r="K98" s="8"/>
    </row>
    <row r="99" spans="1:11">
      <c r="A99" t="s">
        <v>8</v>
      </c>
      <c r="B99" s="19" t="s">
        <v>9</v>
      </c>
      <c r="C99" t="s">
        <v>2</v>
      </c>
      <c r="D99" t="s">
        <v>6</v>
      </c>
      <c r="E99" t="s">
        <v>5</v>
      </c>
      <c r="F99" t="s">
        <v>4</v>
      </c>
      <c r="G99" t="s">
        <v>10</v>
      </c>
      <c r="H99" s="20" t="s">
        <v>11</v>
      </c>
      <c r="J99" s="1"/>
      <c r="K99" s="8"/>
    </row>
    <row r="100" spans="1:11">
      <c r="A100" s="19" t="s">
        <v>30</v>
      </c>
      <c r="B100" s="19">
        <v>1</v>
      </c>
      <c r="C100" t="str">
        <f>B96</f>
        <v>FR</v>
      </c>
      <c r="D100" t="s">
        <v>19</v>
      </c>
      <c r="E100" t="s">
        <v>18</v>
      </c>
      <c r="F100" t="s">
        <v>31</v>
      </c>
      <c r="G100" s="13"/>
      <c r="H100" s="18"/>
      <c r="K100" s="8"/>
    </row>
    <row r="101" spans="1:11">
      <c r="A101" s="19" t="s">
        <v>32</v>
      </c>
      <c r="B101" s="19">
        <f>1/30000*2</f>
        <v>6.666666666666667E-5</v>
      </c>
      <c r="C101" t="s">
        <v>27</v>
      </c>
      <c r="D101" t="s">
        <v>6</v>
      </c>
      <c r="E101" t="s">
        <v>12</v>
      </c>
      <c r="F101" t="s">
        <v>33</v>
      </c>
      <c r="G101" s="13"/>
      <c r="H101" s="18"/>
      <c r="K101" s="8"/>
    </row>
    <row r="102" spans="1:11" ht="15.5">
      <c r="A102" s="32" t="s">
        <v>73</v>
      </c>
      <c r="B102" s="19">
        <f>3.6/0.5/120</f>
        <v>6.0000000000000005E-2</v>
      </c>
      <c r="C102" t="s">
        <v>29</v>
      </c>
      <c r="D102" t="s">
        <v>13</v>
      </c>
      <c r="E102" t="s">
        <v>12</v>
      </c>
      <c r="F102" s="31" t="s">
        <v>57</v>
      </c>
      <c r="H102" s="13"/>
      <c r="I102" s="18"/>
      <c r="K102" s="8"/>
    </row>
  </sheetData>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Feuilles de calcul</vt:lpstr>
      </vt:variant>
      <vt:variant>
        <vt:i4>1</vt:i4>
      </vt:variant>
    </vt:vector>
  </HeadingPairs>
  <TitlesOfParts>
    <vt:vector size="1" baseType="lpstr">
      <vt:lpstr>lci</vt:lpstr>
    </vt:vector>
  </TitlesOfParts>
  <Company>PSI - Paul Scherrer Institut</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Terlouw Tom Mike</dc:creator>
  <cp:lastModifiedBy>joanna.schlesinger</cp:lastModifiedBy>
  <dcterms:created xsi:type="dcterms:W3CDTF">2020-12-17T11:52:00Z</dcterms:created>
  <dcterms:modified xsi:type="dcterms:W3CDTF">2024-04-11T14:38:51Z</dcterms:modified>
</cp:coreProperties>
</file>