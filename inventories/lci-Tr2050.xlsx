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mc:AlternateContent xmlns:mc="http://schemas.openxmlformats.org/markup-compatibility/2006">
    <mc:Choice Requires="x15">
      <x15ac:absPath xmlns:x15ac="http://schemas.microsoft.com/office/spreadsheetml/2010/11/ac" url="C:\Users\jschlesinger\0.Joanna\2. HySPI\ADEME_scenarios_premise\inventories\"/>
    </mc:Choice>
  </mc:AlternateContent>
  <xr:revisionPtr revIDLastSave="0" documentId="13_ncr:1_{B6DA717C-3527-4B78-8471-A05AD2896F12}" xr6:coauthVersionLast="47" xr6:coauthVersionMax="47" xr10:uidLastSave="{00000000-0000-0000-0000-000000000000}"/>
  <bookViews>
    <workbookView xWindow="28680" yWindow="-120" windowWidth="25440" windowHeight="1539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82" i="1" l="1"/>
  <c r="B21" i="1"/>
  <c r="B20" i="1"/>
  <c r="B19" i="1"/>
  <c r="B18" i="1"/>
  <c r="B17" i="1"/>
  <c r="B16" i="1"/>
  <c r="G14" i="1"/>
  <c r="D14" i="1"/>
  <c r="A14" i="1"/>
  <c r="B41" i="1" l="1"/>
  <c r="B35" i="1"/>
  <c r="B37" i="1" s="1"/>
  <c r="B34" i="1"/>
  <c r="B36" i="1" s="1"/>
  <c r="D33" i="1"/>
  <c r="C33" i="1"/>
  <c r="B85" i="1" l="1"/>
  <c r="B84" i="1"/>
  <c r="B83" i="1"/>
  <c r="B67" i="1" l="1"/>
  <c r="B52" i="1" l="1"/>
  <c r="B97" i="1"/>
  <c r="C82" i="1"/>
  <c r="B98" i="1" l="1"/>
  <c r="C96" i="1"/>
</calcChain>
</file>

<file path=xl/sharedStrings.xml><?xml version="1.0" encoding="utf-8"?>
<sst xmlns="http://schemas.openxmlformats.org/spreadsheetml/2006/main" count="799" uniqueCount="172">
  <si>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</si>
  <si>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</si>
  <si>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</si>
  <si>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</si>
  <si>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</si>
  <si>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</si>
  <si>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</si>
  <si>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</si>
  <si>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</si>
  <si>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</si>
  <si>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</si>
  <si>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</si>
  <si>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</si>
  <si>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</si>
  <si>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</si>
  <si>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</si>
  <si>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</si>
  <si>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</si>
  <si>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</si>
  <si>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</si>
  <si>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</si>
  <si>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</si>
  <si>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</si>
  <si>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</si>
  <si>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</si>
  <si>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</si>
  <si>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</si>
  <si>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</si>
  <si>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</si>
  <si>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</si>
  <si>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</si>
  <si>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</si>
  <si>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</si>
  <si>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</si>
  <si>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</si>
  <si>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</si>
  <si>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</si>
  <si>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</si>
  <si>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</si>
  <si>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</si>
  <si>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</si>
  <si>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</si>
  <si>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</si>
  <si>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</si>
  <si>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</si>
  <si>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</si>
  <si>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</si>
  <si>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</si>
  <si>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</si>
  <si>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</si>
  <si>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</si>
  <si>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</si>
  <si>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</si>
  <si>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</si>
  <si>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</si>
  <si>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</si>
  <si>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</si>
  <si>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</si>
  <si>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</si>
  <si>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</si>
  <si>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</si>
  <si>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</si>
  <si>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</si>
  <si>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</si>
  <si>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</si>
  <si>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</si>
  <si>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</si>
  <si>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</si>
  <si>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</si>
  <si>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</si>
  <si>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</si>
  <si>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</si>
  <si>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</si>
  <si>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</si>
  <si>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electricity supply, high voltage, from vanadium-redox flow battery system</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</si>
  <si>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</si>
  <si>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</si>
  <si>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</si>
  <si>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</si>
  <si>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</si>
  <si>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</si>
  <si>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</si>
  <si>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</si>
  <si>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</si>
  <si>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</si>
  <si>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</si>
  <si>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</si>
  <si>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</si>
  <si>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</si>
  <si>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</si>
  <si>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</si>
  <si>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</si>
  <si>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</si>
  <si>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</si>
  <si>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</si>
  <si>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</si>
  <si>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</si>
  <si>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</si>
  <si>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</si>
  <si>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</si>
  <si>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</si>
  <si>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</si>
  <si>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</si>
  <si>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</si>
  <si>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</si>
  <si>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</si>
  <si>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</si>
  <si>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</si>
  <si>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</si>
  <si>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</si>
  <si>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</si>
  <si>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</si>
  <si>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</si>
  <si>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</si>
  <si>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</si>
  <si>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</si>
  <si>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</si>
  <si>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</si>
  <si>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</si>
  <si>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</si>
  <si>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</si>
  <si>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</si>
  <si>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</si>
  <si>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</si>
  <si>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</si>
  <si>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</si>
  <si>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</si>
  <si>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</si>
  <si>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</si>
  <si>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</si>
  <si>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</si>
  <si>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</si>
  <si>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</si>
  <si>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</si>
  <si>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</si>
  <si>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</si>
  <si>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</si>
  <si>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</si>
  <si>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</si>
  <si>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</si>
  <si>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</si>
  <si>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</si>
  <si>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</si>
  <si>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</si>
  <si>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</si>
  <si>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</si>
  <si>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</si>
  <si>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</si>
  <si>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</si>
  <si>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</si>
  <si>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</si>
  <si>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</si>
  <si>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</si>
  <si>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</si>
  <si>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</si>
  <si>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</si>
  <si>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</si>
  <si>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</si>
  <si>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</si>
  <si>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</si>
  <si>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</si>
  <si>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</si>
  <si>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</si>
  <si>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electricity, high voltage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</si>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</sst>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4">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
      <b/>
      <sz val="12"/>
      <color rgb="FF000000"/>
      <name val="Calibri"/>
      <family val="2"/>
      <scheme val="minor"/>
    </font>
    <font>
      <sz val="11"/>
      <color rgb="FF000000"/>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5">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xf numFmtId="0" fontId="12" fillId="0" borderId="0" xfId="0" applyFont="1"/>
    <xf numFmtId="0" fontId="13" fillId="0" borderId="0" xfId="0" applyFont="1"/>
    <xf numFmtId="11" fontId="13" fillId="0" borderId="0" xfId="0" applyNumberFormat="1"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97"/>
  <sheetViews>
    <sheetView tabSelected="1" topLeftCell="A134" zoomScaleNormal="100" workbookViewId="0">
      <selection activeCell="D160" sqref="D160"/>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4">
      <c r="A1" t="s">
        <v>14</v>
      </c>
      <c r="B1">
        <v>9</v>
      </c>
    </row>
    <row r="2" spans="1:14">
      <c r="A2" s="4" t="s">
        <v>0</v>
      </c>
      <c r="B2" s="5" t="s">
        <v>101</v>
      </c>
      <c r="C2" s="6"/>
      <c r="D2" s="6"/>
      <c r="E2" s="6"/>
      <c r="F2" s="6"/>
      <c r="G2" s="6"/>
      <c r="H2" s="6"/>
      <c r="I2" s="7"/>
      <c r="K2" s="8"/>
    </row>
    <row r="3" spans="1:14">
      <c r="A3" s="4"/>
      <c r="B3" s="5"/>
      <c r="C3" s="6"/>
      <c r="D3" s="6"/>
      <c r="E3" s="6"/>
      <c r="F3" s="6"/>
      <c r="G3" s="6"/>
      <c r="H3" s="6"/>
      <c r="I3" s="7"/>
      <c r="K3" s="8"/>
    </row>
    <row r="4" spans="1:14" ht="15.5">
      <c r="A4" s="34" t="s">
        <v>1</v>
      </c>
      <c r="B4" s="34" t="s">
        <v>74</v>
      </c>
      <c r="I4"/>
      <c r="M4" t="s">
        <v>75</v>
      </c>
    </row>
    <row r="5" spans="1:14">
      <c r="A5" t="s">
        <v>2</v>
      </c>
      <c r="B5" t="s">
        <v>29</v>
      </c>
      <c r="I5"/>
      <c r="M5" t="s">
        <v>75</v>
      </c>
    </row>
    <row r="6" spans="1:14">
      <c r="A6" t="s">
        <v>11</v>
      </c>
      <c r="B6" t="s">
        <v>76</v>
      </c>
      <c r="I6"/>
    </row>
    <row r="7" spans="1:14">
      <c r="A7" t="s">
        <v>3</v>
      </c>
      <c r="B7">
        <v>1</v>
      </c>
      <c r="I7"/>
      <c r="M7" t="s">
        <v>75</v>
      </c>
    </row>
    <row r="8" spans="1:14">
      <c r="A8" t="s">
        <v>77</v>
      </c>
      <c r="B8" t="s">
        <v>78</v>
      </c>
      <c r="I8"/>
    </row>
    <row r="9" spans="1:14">
      <c r="A9" t="s">
        <v>4</v>
      </c>
      <c r="B9" t="s">
        <v>31</v>
      </c>
      <c r="I9"/>
      <c r="M9" t="s">
        <v>75</v>
      </c>
    </row>
    <row r="10" spans="1:14">
      <c r="A10" t="s">
        <v>5</v>
      </c>
      <c r="B10" t="s">
        <v>79</v>
      </c>
      <c r="I10"/>
      <c r="M10" t="s">
        <v>75</v>
      </c>
    </row>
    <row r="11" spans="1:14">
      <c r="A11" t="s">
        <v>6</v>
      </c>
      <c r="B11" t="s">
        <v>19</v>
      </c>
      <c r="I11"/>
      <c r="M11" t="s">
        <v>75</v>
      </c>
    </row>
    <row r="12" spans="1:14" ht="15.5">
      <c r="A12" s="34" t="s">
        <v>7</v>
      </c>
      <c r="B12"/>
      <c r="I12"/>
      <c r="M12" t="s">
        <v>75</v>
      </c>
    </row>
    <row r="13" spans="1:14" ht="15.5">
      <c r="A13" s="34" t="s">
        <v>8</v>
      </c>
      <c r="B13" s="34" t="s">
        <v>9</v>
      </c>
      <c r="C13" s="34" t="s">
        <v>2</v>
      </c>
      <c r="D13" s="34" t="s">
        <v>6</v>
      </c>
      <c r="E13" s="34" t="s">
        <v>10</v>
      </c>
      <c r="F13" s="34" t="s">
        <v>5</v>
      </c>
      <c r="G13" s="34" t="s">
        <v>4</v>
      </c>
      <c r="H13" s="34" t="s">
        <v>11</v>
      </c>
      <c r="I13" s="40"/>
    </row>
    <row r="14" spans="1:14">
      <c r="A14" t="str">
        <f>B4</f>
        <v>electricity supply, high voltage, from vanadium-redox flow battery system</v>
      </c>
      <c r="B14">
        <v>1</v>
      </c>
      <c r="C14" t="s">
        <v>29</v>
      </c>
      <c r="D14" t="str">
        <f>B11</f>
        <v>kilowatt hour</v>
      </c>
      <c r="F14" t="s">
        <v>18</v>
      </c>
      <c r="G14" t="str">
        <f>B9</f>
        <v>electricity, high voltage</v>
      </c>
      <c r="I14" s="8"/>
      <c r="J14" s="8"/>
      <c r="K14" s="8"/>
      <c r="L14" s="8"/>
      <c r="M14" s="8"/>
      <c r="N14" s="8"/>
    </row>
    <row r="15" spans="1:14">
      <c r="A15" t="s">
        <v>99</v>
      </c>
      <c r="B15">
        <v>1.33</v>
      </c>
      <c r="C15" t="s">
        <v>29</v>
      </c>
      <c r="D15" t="s">
        <v>19</v>
      </c>
      <c r="F15" t="s">
        <v>12</v>
      </c>
      <c r="G15" t="s">
        <v>31</v>
      </c>
      <c r="H15" t="s">
        <v>80</v>
      </c>
      <c r="I15" s="8"/>
      <c r="J15" s="8"/>
      <c r="K15" s="8"/>
      <c r="L15" s="8"/>
      <c r="M15" s="8"/>
      <c r="N15" s="8"/>
    </row>
    <row r="16" spans="1:14">
      <c r="A16" t="s">
        <v>81</v>
      </c>
      <c r="B16" s="41">
        <f>1/(49000000)</f>
        <v>2.0408163265306123E-8</v>
      </c>
      <c r="C16" t="s">
        <v>49</v>
      </c>
      <c r="D16" t="s">
        <v>6</v>
      </c>
      <c r="F16" t="s">
        <v>12</v>
      </c>
      <c r="G16" t="s">
        <v>82</v>
      </c>
      <c r="H16" t="s">
        <v>83</v>
      </c>
      <c r="I16"/>
    </row>
    <row r="17" spans="1:20">
      <c r="A17" t="s">
        <v>84</v>
      </c>
      <c r="B17" s="41">
        <f>1/(49000000)</f>
        <v>2.0408163265306123E-8</v>
      </c>
      <c r="C17" t="s">
        <v>49</v>
      </c>
      <c r="D17" t="s">
        <v>6</v>
      </c>
      <c r="F17" t="s">
        <v>12</v>
      </c>
      <c r="G17" t="s">
        <v>85</v>
      </c>
      <c r="H17" t="s">
        <v>86</v>
      </c>
      <c r="I17"/>
    </row>
    <row r="18" spans="1:20">
      <c r="A18" t="s">
        <v>87</v>
      </c>
      <c r="B18" s="41">
        <f>-0.41/1000</f>
        <v>-4.0999999999999999E-4</v>
      </c>
      <c r="C18" t="s">
        <v>49</v>
      </c>
      <c r="D18" t="s">
        <v>13</v>
      </c>
      <c r="F18" t="s">
        <v>12</v>
      </c>
      <c r="G18" t="s">
        <v>88</v>
      </c>
      <c r="H18" t="s">
        <v>89</v>
      </c>
      <c r="I18"/>
    </row>
    <row r="19" spans="1:20">
      <c r="A19" t="s">
        <v>90</v>
      </c>
      <c r="B19">
        <f>-0.66/1000</f>
        <v>-6.6E-4</v>
      </c>
      <c r="C19" t="s">
        <v>49</v>
      </c>
      <c r="D19" t="s">
        <v>13</v>
      </c>
      <c r="F19" t="s">
        <v>12</v>
      </c>
      <c r="G19" t="s">
        <v>91</v>
      </c>
      <c r="H19" t="s">
        <v>92</v>
      </c>
      <c r="I19"/>
    </row>
    <row r="20" spans="1:20">
      <c r="A20" t="s">
        <v>93</v>
      </c>
      <c r="B20">
        <f>-5.55/1000</f>
        <v>-5.5500000000000002E-3</v>
      </c>
      <c r="C20" t="s">
        <v>49</v>
      </c>
      <c r="D20" t="s">
        <v>13</v>
      </c>
      <c r="F20" t="s">
        <v>12</v>
      </c>
      <c r="G20" t="s">
        <v>94</v>
      </c>
      <c r="H20" t="s">
        <v>95</v>
      </c>
      <c r="I20"/>
    </row>
    <row r="21" spans="1:20">
      <c r="A21" t="s">
        <v>96</v>
      </c>
      <c r="B21">
        <f>-0.1/1000</f>
        <v>-1E-4</v>
      </c>
      <c r="C21" t="s">
        <v>49</v>
      </c>
      <c r="D21" t="s">
        <v>13</v>
      </c>
      <c r="F21" t="s">
        <v>12</v>
      </c>
      <c r="G21" t="s">
        <v>97</v>
      </c>
      <c r="H21" t="s">
        <v>98</v>
      </c>
      <c r="I21"/>
    </row>
    <row r="22" spans="1:20">
      <c r="A22" s="6"/>
      <c r="G22" s="13"/>
      <c r="H22" s="1"/>
    </row>
    <row r="24" spans="1:20">
      <c r="A24" s="9"/>
      <c r="B24" s="10"/>
      <c r="C24" s="9"/>
      <c r="D24" s="9"/>
      <c r="E24" s="9"/>
      <c r="F24" s="9"/>
      <c r="G24" s="9"/>
      <c r="H24" s="9"/>
      <c r="I24" s="11"/>
      <c r="K24" s="8"/>
    </row>
    <row r="25" spans="1:20" s="27" customFormat="1" ht="15.5">
      <c r="A25" s="24" t="s">
        <v>1</v>
      </c>
      <c r="B25" s="25" t="s">
        <v>73</v>
      </c>
      <c r="C25" s="26"/>
      <c r="K25" s="28"/>
      <c r="L25" s="28"/>
      <c r="M25" s="28"/>
      <c r="N25" s="28"/>
      <c r="O25" s="28"/>
      <c r="P25" s="28"/>
    </row>
    <row r="26" spans="1:20" s="27" customFormat="1" ht="15.5">
      <c r="A26" s="29" t="s">
        <v>3</v>
      </c>
      <c r="B26" s="30">
        <v>1</v>
      </c>
      <c r="K26" s="28"/>
      <c r="L26" s="28"/>
      <c r="M26" s="28"/>
      <c r="N26" s="28"/>
      <c r="O26" s="28"/>
      <c r="P26" s="28"/>
    </row>
    <row r="27" spans="1:20" s="27" customFormat="1" ht="15.5">
      <c r="A27" s="29" t="s">
        <v>11</v>
      </c>
      <c r="B27" s="30" t="s">
        <v>56</v>
      </c>
      <c r="K27" s="28"/>
      <c r="L27" s="28"/>
      <c r="M27" s="28"/>
      <c r="N27" s="28"/>
      <c r="O27" s="28"/>
      <c r="P27" s="28"/>
    </row>
    <row r="28" spans="1:20" s="27" customFormat="1" ht="15.5">
      <c r="A28" s="29" t="s">
        <v>4</v>
      </c>
      <c r="B28" s="31" t="s">
        <v>57</v>
      </c>
      <c r="K28" s="28"/>
      <c r="L28" s="28"/>
      <c r="M28" s="28"/>
      <c r="N28" s="28"/>
      <c r="O28" s="28"/>
      <c r="P28" s="28"/>
    </row>
    <row r="29" spans="1:20" s="27" customFormat="1" ht="15.5">
      <c r="A29" s="29" t="s">
        <v>2</v>
      </c>
      <c r="B29" s="30" t="s">
        <v>29</v>
      </c>
      <c r="K29" s="28"/>
      <c r="L29" s="28"/>
      <c r="M29" s="28"/>
      <c r="N29" s="28"/>
      <c r="O29" s="28"/>
      <c r="P29" s="28"/>
    </row>
    <row r="30" spans="1:20" s="27" customFormat="1" ht="15.5">
      <c r="A30" s="29" t="s">
        <v>6</v>
      </c>
      <c r="B30" s="32" t="s">
        <v>13</v>
      </c>
      <c r="H30" s="33"/>
      <c r="I30" s="33"/>
      <c r="J30" s="33"/>
      <c r="K30" s="28"/>
      <c r="L30" s="28"/>
      <c r="M30" s="28"/>
      <c r="N30" s="28"/>
      <c r="O30" s="28"/>
      <c r="P30" s="28"/>
    </row>
    <row r="31" spans="1:20" s="27" customFormat="1" ht="15.5">
      <c r="A31" s="33" t="s">
        <v>7</v>
      </c>
      <c r="B31" s="25"/>
      <c r="C31" s="33"/>
      <c r="D31" s="33"/>
      <c r="E31" s="33"/>
      <c r="F31" s="33"/>
      <c r="G31" s="33"/>
      <c r="H31" s="26"/>
      <c r="I31" s="26"/>
      <c r="J31" s="26"/>
      <c r="K31" s="28"/>
      <c r="L31" s="28"/>
      <c r="M31" s="28"/>
      <c r="N31" s="28"/>
      <c r="O31" s="28"/>
      <c r="P31" s="28"/>
    </row>
    <row r="32" spans="1:20" s="27" customFormat="1" ht="15.5">
      <c r="A32" s="33" t="s">
        <v>8</v>
      </c>
      <c r="B32" s="33" t="s">
        <v>9</v>
      </c>
      <c r="C32" s="33" t="s">
        <v>2</v>
      </c>
      <c r="D32" s="33" t="s">
        <v>6</v>
      </c>
      <c r="E32" s="33" t="s">
        <v>10</v>
      </c>
      <c r="F32" s="33" t="s">
        <v>5</v>
      </c>
      <c r="G32" s="33" t="s">
        <v>4</v>
      </c>
      <c r="H32" s="33" t="s">
        <v>11</v>
      </c>
      <c r="I32" s="33"/>
      <c r="J32" s="34"/>
      <c r="K32" s="35"/>
      <c r="L32" s="35"/>
      <c r="M32" s="35"/>
      <c r="N32" s="35"/>
      <c r="O32" s="35"/>
      <c r="P32" s="35"/>
      <c r="Q32" s="34"/>
      <c r="R32" s="34"/>
      <c r="S32" s="33"/>
      <c r="T32" s="34"/>
    </row>
    <row r="33" spans="1:20" s="27" customFormat="1" ht="15.5">
      <c r="A33" s="32" t="s">
        <v>73</v>
      </c>
      <c r="B33" s="32">
        <v>1</v>
      </c>
      <c r="C33" s="27" t="str">
        <f>B29</f>
        <v>FR</v>
      </c>
      <c r="D33" s="27" t="str">
        <f>B30</f>
        <v>kilogram</v>
      </c>
      <c r="E33" s="26"/>
      <c r="F33" s="27" t="s">
        <v>18</v>
      </c>
      <c r="G33" s="27" t="s">
        <v>57</v>
      </c>
      <c r="H33" s="26"/>
      <c r="I33" s="26"/>
      <c r="K33" s="28"/>
      <c r="L33" s="28"/>
      <c r="M33" s="28"/>
      <c r="N33" s="28"/>
      <c r="O33" s="28"/>
      <c r="P33" s="28"/>
      <c r="T33"/>
    </row>
    <row r="34" spans="1:20" s="27" customFormat="1" ht="15.5">
      <c r="A34" s="32" t="s">
        <v>71</v>
      </c>
      <c r="B34" s="27">
        <f>(1/2963200)*4</f>
        <v>1.3498920086393089E-6</v>
      </c>
      <c r="C34" s="27" t="s">
        <v>49</v>
      </c>
      <c r="D34" s="27" t="s">
        <v>6</v>
      </c>
      <c r="F34" s="27" t="s">
        <v>12</v>
      </c>
      <c r="G34" s="27" t="s">
        <v>58</v>
      </c>
      <c r="H34" s="27" t="s">
        <v>59</v>
      </c>
      <c r="J34"/>
      <c r="K34" s="36"/>
      <c r="L34" s="36"/>
      <c r="M34" s="36"/>
      <c r="N34" s="36"/>
      <c r="O34" s="36"/>
      <c r="P34" s="36"/>
      <c r="Q34"/>
      <c r="R34"/>
    </row>
    <row r="35" spans="1:20" s="27" customFormat="1" ht="15.5">
      <c r="A35" s="32" t="s">
        <v>72</v>
      </c>
      <c r="B35" s="27">
        <f>1/2963200</f>
        <v>3.3747300215982723E-7</v>
      </c>
      <c r="C35" s="27" t="s">
        <v>49</v>
      </c>
      <c r="D35" s="27" t="s">
        <v>6</v>
      </c>
      <c r="F35" s="27" t="s">
        <v>12</v>
      </c>
      <c r="G35" s="27" t="s">
        <v>60</v>
      </c>
      <c r="H35" s="27" t="s">
        <v>61</v>
      </c>
      <c r="J35"/>
      <c r="K35" s="36"/>
      <c r="L35" s="36"/>
      <c r="M35" s="36"/>
      <c r="N35" s="36"/>
      <c r="O35" s="36"/>
      <c r="P35" s="36"/>
      <c r="Q35"/>
      <c r="R35"/>
    </row>
    <row r="36" spans="1:20" s="27" customFormat="1" ht="15.5">
      <c r="A36" s="32" t="s">
        <v>62</v>
      </c>
      <c r="B36" s="27">
        <f>B34*-1</f>
        <v>-1.3498920086393089E-6</v>
      </c>
      <c r="C36" s="27" t="s">
        <v>49</v>
      </c>
      <c r="D36" s="27" t="s">
        <v>6</v>
      </c>
      <c r="F36" s="27" t="s">
        <v>12</v>
      </c>
      <c r="G36" s="27" t="s">
        <v>63</v>
      </c>
      <c r="H36" s="27" t="s">
        <v>64</v>
      </c>
      <c r="J36"/>
      <c r="K36" s="36"/>
      <c r="L36" s="36"/>
      <c r="M36" s="36"/>
      <c r="N36" s="36"/>
      <c r="O36" s="36"/>
      <c r="P36" s="36"/>
      <c r="Q36"/>
      <c r="R36"/>
    </row>
    <row r="37" spans="1:20" s="27" customFormat="1" ht="15.5">
      <c r="A37" s="32" t="s">
        <v>65</v>
      </c>
      <c r="B37" s="27">
        <f>-1*B35</f>
        <v>-3.3747300215982723E-7</v>
      </c>
      <c r="C37" s="27" t="s">
        <v>49</v>
      </c>
      <c r="D37" s="27" t="s">
        <v>6</v>
      </c>
      <c r="F37" s="27" t="s">
        <v>12</v>
      </c>
      <c r="G37" s="27" t="s">
        <v>66</v>
      </c>
      <c r="H37" s="27" t="s">
        <v>67</v>
      </c>
      <c r="J37"/>
      <c r="K37" s="36"/>
      <c r="L37" s="36"/>
      <c r="M37" s="36"/>
      <c r="N37" s="36"/>
      <c r="O37" s="36"/>
      <c r="P37" s="36"/>
      <c r="Q37"/>
      <c r="R37"/>
    </row>
    <row r="38" spans="1:20" s="27" customFormat="1" ht="15.5">
      <c r="A38" s="29" t="s">
        <v>28</v>
      </c>
      <c r="B38" s="32">
        <v>54</v>
      </c>
      <c r="C38" s="27" t="s">
        <v>29</v>
      </c>
      <c r="D38" s="27" t="s">
        <v>19</v>
      </c>
      <c r="E38" s="26"/>
      <c r="F38" s="27" t="s">
        <v>12</v>
      </c>
      <c r="G38" s="27" t="s">
        <v>20</v>
      </c>
      <c r="H38" s="26" t="s">
        <v>68</v>
      </c>
      <c r="J38"/>
      <c r="K38" s="36"/>
      <c r="L38" s="36"/>
      <c r="M38" s="36"/>
      <c r="N38" s="36"/>
      <c r="O38" s="36"/>
      <c r="P38" s="36"/>
      <c r="Q38"/>
      <c r="R38"/>
    </row>
    <row r="39" spans="1:20" s="27" customFormat="1" ht="15.5">
      <c r="A39" s="29" t="s">
        <v>21</v>
      </c>
      <c r="B39" s="32">
        <v>14</v>
      </c>
      <c r="C39" s="27" t="s">
        <v>22</v>
      </c>
      <c r="D39" s="27" t="s">
        <v>13</v>
      </c>
      <c r="F39" s="27" t="s">
        <v>12</v>
      </c>
      <c r="G39" s="27" t="s">
        <v>23</v>
      </c>
      <c r="H39" s="37" t="s">
        <v>69</v>
      </c>
      <c r="J39"/>
      <c r="K39" s="36"/>
      <c r="L39" s="36"/>
      <c r="M39" s="36"/>
      <c r="N39" s="36"/>
      <c r="O39" s="36"/>
      <c r="P39" s="36"/>
      <c r="Q39"/>
      <c r="R39"/>
    </row>
    <row r="40" spans="1:20" s="27" customFormat="1" ht="15.5">
      <c r="A40" s="38" t="s">
        <v>24</v>
      </c>
      <c r="B40" s="31">
        <v>8</v>
      </c>
      <c r="C40" s="38"/>
      <c r="D40" s="38" t="s">
        <v>13</v>
      </c>
      <c r="E40" s="38" t="s">
        <v>25</v>
      </c>
      <c r="F40" s="38" t="s">
        <v>15</v>
      </c>
      <c r="G40" s="38"/>
      <c r="H40" s="39"/>
      <c r="J40"/>
      <c r="K40" s="36"/>
      <c r="L40" s="36"/>
      <c r="M40" s="36"/>
      <c r="N40" s="36"/>
      <c r="O40" s="36"/>
      <c r="P40" s="36"/>
      <c r="Q40" s="36"/>
      <c r="R40"/>
    </row>
    <row r="41" spans="1:20" s="27" customFormat="1" ht="15.5">
      <c r="A41" s="38" t="s">
        <v>70</v>
      </c>
      <c r="B41" s="31">
        <f>(0.09*1000*20)/2963200</f>
        <v>6.0745140388768898E-4</v>
      </c>
      <c r="C41" s="38"/>
      <c r="D41" s="38" t="s">
        <v>17</v>
      </c>
      <c r="E41" s="38" t="s">
        <v>16</v>
      </c>
      <c r="F41" s="38" t="s">
        <v>15</v>
      </c>
      <c r="G41" s="38"/>
      <c r="H41" s="39"/>
      <c r="J41"/>
      <c r="K41" s="36"/>
      <c r="L41" s="36"/>
      <c r="M41" s="36"/>
      <c r="N41" s="36"/>
      <c r="O41" s="36"/>
      <c r="P41" s="36"/>
      <c r="Q41" s="36"/>
      <c r="R41"/>
    </row>
    <row r="42" spans="1:20" s="27" customFormat="1" ht="15.5">
      <c r="K42" s="28"/>
      <c r="L42" s="28"/>
      <c r="M42" s="28"/>
      <c r="N42" s="28"/>
      <c r="O42" s="28"/>
      <c r="P42" s="28"/>
    </row>
    <row r="43" spans="1:20">
      <c r="A43" s="4" t="s">
        <v>1</v>
      </c>
      <c r="B43" s="12" t="s">
        <v>44</v>
      </c>
      <c r="C43" s="9"/>
      <c r="D43" s="9"/>
      <c r="E43" s="9"/>
      <c r="F43" s="9"/>
      <c r="G43" s="9"/>
      <c r="H43" s="9"/>
      <c r="J43" s="21"/>
      <c r="K43" s="22"/>
    </row>
    <row r="44" spans="1:20">
      <c r="A44" s="6" t="s">
        <v>3</v>
      </c>
      <c r="B44" s="14">
        <v>1</v>
      </c>
      <c r="C44" s="9"/>
      <c r="D44" s="9"/>
      <c r="E44" s="9"/>
      <c r="F44" s="9"/>
      <c r="G44" s="9"/>
      <c r="H44" s="9"/>
      <c r="J44" s="13"/>
      <c r="K44" s="22"/>
    </row>
    <row r="45" spans="1:20">
      <c r="A45" s="6" t="s">
        <v>11</v>
      </c>
      <c r="B45" s="23" t="s">
        <v>41</v>
      </c>
      <c r="C45" s="9"/>
      <c r="D45" s="9"/>
      <c r="E45" s="9"/>
      <c r="F45" s="9"/>
      <c r="G45" s="9"/>
      <c r="H45" s="9"/>
      <c r="K45" s="22"/>
    </row>
    <row r="46" spans="1:20">
      <c r="A46" s="6" t="s">
        <v>4</v>
      </c>
      <c r="B46" s="10" t="s">
        <v>26</v>
      </c>
      <c r="C46" s="9"/>
      <c r="D46" s="9"/>
      <c r="E46" s="9"/>
      <c r="F46" s="9"/>
      <c r="G46" s="9"/>
      <c r="H46" s="9"/>
    </row>
    <row r="47" spans="1:20" ht="16.25" customHeight="1">
      <c r="A47" s="6" t="s">
        <v>2</v>
      </c>
      <c r="B47" s="15" t="s">
        <v>29</v>
      </c>
      <c r="C47" s="9"/>
      <c r="D47" s="9"/>
      <c r="E47" s="9"/>
      <c r="F47" s="9"/>
      <c r="G47" s="9"/>
      <c r="H47" s="9"/>
    </row>
    <row r="48" spans="1:20">
      <c r="A48" s="6" t="s">
        <v>6</v>
      </c>
      <c r="B48" s="10" t="s">
        <v>13</v>
      </c>
      <c r="C48" s="9"/>
      <c r="D48" s="9"/>
      <c r="E48" s="9"/>
      <c r="F48" s="9"/>
      <c r="G48" s="9"/>
      <c r="H48" s="16"/>
    </row>
    <row r="49" spans="1:11">
      <c r="A49" s="16" t="s">
        <v>7</v>
      </c>
      <c r="B49" s="12"/>
      <c r="C49" s="16"/>
      <c r="D49" s="16"/>
      <c r="E49" s="16"/>
      <c r="F49" s="16"/>
      <c r="G49" s="16"/>
      <c r="H49" s="13"/>
    </row>
    <row r="50" spans="1:11">
      <c r="A50" t="s">
        <v>8</v>
      </c>
      <c r="B50" s="19" t="s">
        <v>9</v>
      </c>
      <c r="C50" t="s">
        <v>2</v>
      </c>
      <c r="D50" t="s">
        <v>6</v>
      </c>
      <c r="E50" t="s">
        <v>5</v>
      </c>
      <c r="F50" t="s">
        <v>4</v>
      </c>
      <c r="G50" s="1" t="s">
        <v>10</v>
      </c>
      <c r="H50" s="20" t="s">
        <v>11</v>
      </c>
    </row>
    <row r="51" spans="1:11">
      <c r="A51" t="s">
        <v>44</v>
      </c>
      <c r="B51" s="19">
        <v>1</v>
      </c>
      <c r="C51" t="s">
        <v>29</v>
      </c>
      <c r="D51" t="s">
        <v>13</v>
      </c>
      <c r="E51" t="s">
        <v>18</v>
      </c>
      <c r="F51" s="10" t="s">
        <v>26</v>
      </c>
      <c r="G51" s="13"/>
    </row>
    <row r="52" spans="1:11">
      <c r="A52" t="s">
        <v>35</v>
      </c>
      <c r="B52" s="19">
        <f>4.3*28.6</f>
        <v>122.98</v>
      </c>
      <c r="C52" t="s">
        <v>42</v>
      </c>
      <c r="D52" t="s">
        <v>46</v>
      </c>
      <c r="E52" t="s">
        <v>12</v>
      </c>
      <c r="F52" t="s">
        <v>36</v>
      </c>
    </row>
    <row r="53" spans="1:11">
      <c r="A53" t="s">
        <v>35</v>
      </c>
      <c r="B53" s="19">
        <v>1.34</v>
      </c>
      <c r="C53" t="s">
        <v>42</v>
      </c>
      <c r="D53" t="s">
        <v>13</v>
      </c>
      <c r="E53" t="s">
        <v>12</v>
      </c>
      <c r="F53" t="s">
        <v>37</v>
      </c>
    </row>
    <row r="54" spans="1:11">
      <c r="A54" t="s">
        <v>38</v>
      </c>
      <c r="B54" s="19">
        <v>4.03</v>
      </c>
      <c r="C54" t="s">
        <v>22</v>
      </c>
      <c r="D54" t="s">
        <v>13</v>
      </c>
      <c r="E54" t="s">
        <v>12</v>
      </c>
      <c r="F54" t="s">
        <v>39</v>
      </c>
    </row>
    <row r="55" spans="1:11">
      <c r="A55" t="s">
        <v>40</v>
      </c>
      <c r="B55" s="19">
        <v>8.34</v>
      </c>
      <c r="D55" t="s">
        <v>13</v>
      </c>
      <c r="E55" t="s">
        <v>15</v>
      </c>
      <c r="G55" t="s">
        <v>25</v>
      </c>
    </row>
    <row r="56" spans="1:11">
      <c r="A56" t="s">
        <v>45</v>
      </c>
      <c r="B56" s="19">
        <v>4.6399999999999997</v>
      </c>
      <c r="C56" t="s">
        <v>29</v>
      </c>
      <c r="D56" t="s">
        <v>19</v>
      </c>
      <c r="E56" t="s">
        <v>12</v>
      </c>
      <c r="F56" t="s">
        <v>43</v>
      </c>
    </row>
    <row r="58" spans="1:11">
      <c r="A58" s="4" t="s">
        <v>1</v>
      </c>
      <c r="B58" s="12" t="s">
        <v>47</v>
      </c>
      <c r="C58" s="9"/>
      <c r="D58" s="9"/>
      <c r="E58" s="9"/>
      <c r="F58" s="9"/>
      <c r="G58" s="9"/>
      <c r="H58" s="9"/>
      <c r="J58" s="21"/>
      <c r="K58" s="22"/>
    </row>
    <row r="59" spans="1:11">
      <c r="A59" s="6" t="s">
        <v>3</v>
      </c>
      <c r="B59" s="14">
        <v>1</v>
      </c>
      <c r="C59" s="9"/>
      <c r="D59" s="9"/>
      <c r="E59" s="9"/>
      <c r="F59" s="9"/>
      <c r="G59" s="9"/>
      <c r="H59" s="9"/>
      <c r="J59" s="13"/>
      <c r="K59" s="22"/>
    </row>
    <row r="60" spans="1:11">
      <c r="A60" s="6" t="s">
        <v>11</v>
      </c>
      <c r="B60" s="23" t="s">
        <v>48</v>
      </c>
      <c r="C60" s="9"/>
      <c r="D60" s="9"/>
      <c r="E60" s="9"/>
      <c r="F60" s="9"/>
      <c r="G60" s="9"/>
      <c r="H60" s="9"/>
      <c r="K60" s="22"/>
    </row>
    <row r="61" spans="1:11">
      <c r="A61" s="6" t="s">
        <v>4</v>
      </c>
      <c r="B61" s="10" t="s">
        <v>26</v>
      </c>
      <c r="C61" s="9"/>
      <c r="D61" s="9"/>
      <c r="E61" s="9"/>
      <c r="F61" s="9"/>
      <c r="G61" s="9"/>
      <c r="H61" s="9"/>
    </row>
    <row r="62" spans="1:11" ht="16.25" customHeight="1">
      <c r="A62" s="6" t="s">
        <v>2</v>
      </c>
      <c r="B62" s="15" t="s">
        <v>29</v>
      </c>
      <c r="C62" s="9"/>
      <c r="D62" s="9"/>
      <c r="E62" s="9"/>
      <c r="F62" s="9"/>
      <c r="G62" s="9"/>
      <c r="H62" s="9"/>
    </row>
    <row r="63" spans="1:11">
      <c r="A63" s="6" t="s">
        <v>6</v>
      </c>
      <c r="B63" s="10" t="s">
        <v>13</v>
      </c>
      <c r="C63" s="9"/>
      <c r="D63" s="9"/>
      <c r="E63" s="9"/>
      <c r="F63" s="9"/>
      <c r="G63" s="9"/>
      <c r="H63" s="16"/>
    </row>
    <row r="64" spans="1:11">
      <c r="A64" s="16" t="s">
        <v>7</v>
      </c>
      <c r="B64" s="12"/>
      <c r="C64" s="16"/>
      <c r="D64" s="16"/>
      <c r="E64" s="16"/>
      <c r="F64" s="16"/>
      <c r="G64" s="16"/>
      <c r="H64" s="13"/>
    </row>
    <row r="65" spans="1:11">
      <c r="A65" t="s">
        <v>8</v>
      </c>
      <c r="B65" s="19" t="s">
        <v>9</v>
      </c>
      <c r="C65" t="s">
        <v>2</v>
      </c>
      <c r="D65" t="s">
        <v>6</v>
      </c>
      <c r="E65" t="s">
        <v>5</v>
      </c>
      <c r="F65" t="s">
        <v>4</v>
      </c>
      <c r="G65" s="1" t="s">
        <v>10</v>
      </c>
      <c r="H65" s="20" t="s">
        <v>11</v>
      </c>
    </row>
    <row r="66" spans="1:11">
      <c r="A66" t="s">
        <v>47</v>
      </c>
      <c r="B66" s="19">
        <v>1</v>
      </c>
      <c r="C66" t="s">
        <v>29</v>
      </c>
      <c r="D66" t="s">
        <v>13</v>
      </c>
      <c r="E66" t="s">
        <v>18</v>
      </c>
      <c r="F66" s="10" t="s">
        <v>26</v>
      </c>
      <c r="G66" s="13"/>
    </row>
    <row r="67" spans="1:11">
      <c r="A67" t="s">
        <v>35</v>
      </c>
      <c r="B67" s="19">
        <f>4.3*28.6</f>
        <v>122.98</v>
      </c>
      <c r="C67" t="s">
        <v>42</v>
      </c>
      <c r="D67" t="s">
        <v>46</v>
      </c>
      <c r="E67" t="s">
        <v>12</v>
      </c>
      <c r="F67" t="s">
        <v>36</v>
      </c>
    </row>
    <row r="68" spans="1:11">
      <c r="A68" t="s">
        <v>35</v>
      </c>
      <c r="B68" s="19">
        <v>1.34</v>
      </c>
      <c r="C68" t="s">
        <v>42</v>
      </c>
      <c r="D68" t="s">
        <v>13</v>
      </c>
      <c r="E68" t="s">
        <v>12</v>
      </c>
      <c r="F68" t="s">
        <v>37</v>
      </c>
    </row>
    <row r="69" spans="1:11">
      <c r="A69" t="s">
        <v>38</v>
      </c>
      <c r="B69" s="19">
        <v>4.03</v>
      </c>
      <c r="C69" t="s">
        <v>22</v>
      </c>
      <c r="D69" t="s">
        <v>13</v>
      </c>
      <c r="E69" t="s">
        <v>12</v>
      </c>
      <c r="F69" t="s">
        <v>39</v>
      </c>
    </row>
    <row r="70" spans="1:11">
      <c r="A70" t="s">
        <v>45</v>
      </c>
      <c r="B70" s="19">
        <v>4.6399999999999997</v>
      </c>
      <c r="C70" t="s">
        <v>29</v>
      </c>
      <c r="D70" t="s">
        <v>19</v>
      </c>
      <c r="E70" t="s">
        <v>12</v>
      </c>
      <c r="F70" t="s">
        <v>43</v>
      </c>
    </row>
    <row r="71" spans="1:11">
      <c r="A71" t="s">
        <v>45</v>
      </c>
      <c r="B71" s="19">
        <v>0.7</v>
      </c>
      <c r="C71" t="s">
        <v>29</v>
      </c>
      <c r="D71" t="s">
        <v>19</v>
      </c>
      <c r="E71" t="s">
        <v>12</v>
      </c>
      <c r="F71" t="s">
        <v>43</v>
      </c>
    </row>
    <row r="73" spans="1:11">
      <c r="B73"/>
      <c r="I73"/>
    </row>
    <row r="74" spans="1:11">
      <c r="A74" s="4" t="s">
        <v>1</v>
      </c>
      <c r="B74" s="12" t="s">
        <v>100</v>
      </c>
      <c r="C74" s="13"/>
      <c r="D74" s="9"/>
      <c r="E74" s="9"/>
      <c r="F74" s="9"/>
      <c r="G74" s="9"/>
      <c r="H74" s="9"/>
      <c r="I74" s="11"/>
      <c r="K74" s="8"/>
    </row>
    <row r="75" spans="1:11">
      <c r="A75" s="6" t="s">
        <v>3</v>
      </c>
      <c r="B75" s="14">
        <v>1</v>
      </c>
      <c r="C75" s="9"/>
      <c r="D75" s="9"/>
      <c r="E75" s="9"/>
      <c r="F75" s="9"/>
      <c r="G75" s="9"/>
      <c r="H75" s="9"/>
      <c r="I75" s="11"/>
      <c r="K75" s="8"/>
    </row>
    <row r="76" spans="1:11">
      <c r="A76" s="6" t="s">
        <v>11</v>
      </c>
      <c r="B76" s="15" t="s">
        <v>50</v>
      </c>
      <c r="C76" s="9"/>
      <c r="D76" s="9"/>
      <c r="E76" s="9"/>
      <c r="F76" s="9"/>
      <c r="G76" s="9"/>
      <c r="H76" s="9"/>
      <c r="I76" s="11"/>
      <c r="K76" s="8"/>
    </row>
    <row r="77" spans="1:11">
      <c r="A77" s="6" t="s">
        <v>4</v>
      </c>
      <c r="B77" s="2" t="s">
        <v>31</v>
      </c>
      <c r="C77" s="9"/>
      <c r="D77" s="9"/>
      <c r="E77" s="9"/>
      <c r="F77" s="9"/>
      <c r="G77" s="9"/>
      <c r="H77" s="9"/>
      <c r="I77" s="11"/>
      <c r="K77" s="8"/>
    </row>
    <row r="78" spans="1:11">
      <c r="A78" s="6" t="s">
        <v>2</v>
      </c>
      <c r="B78" s="15" t="s">
        <v>29</v>
      </c>
      <c r="C78" s="9"/>
      <c r="D78" s="9"/>
      <c r="E78" s="9"/>
      <c r="F78" s="9"/>
      <c r="G78" s="9"/>
      <c r="H78" s="9"/>
      <c r="I78" s="11"/>
      <c r="K78" s="8"/>
    </row>
    <row r="79" spans="1:11">
      <c r="A79" s="6" t="s">
        <v>6</v>
      </c>
      <c r="B79" s="10" t="s">
        <v>19</v>
      </c>
      <c r="C79" s="9"/>
      <c r="D79" s="9"/>
      <c r="E79" s="9"/>
      <c r="F79" s="9"/>
      <c r="G79" s="9"/>
      <c r="H79" s="16"/>
      <c r="I79" s="17"/>
      <c r="K79" s="8"/>
    </row>
    <row r="80" spans="1:11">
      <c r="A80" s="16" t="s">
        <v>7</v>
      </c>
      <c r="B80" s="12"/>
      <c r="C80" s="16"/>
      <c r="D80" s="16"/>
      <c r="E80" s="16"/>
      <c r="F80" s="16"/>
      <c r="G80" s="16"/>
      <c r="H80" s="13"/>
      <c r="I80" s="18"/>
      <c r="K80" s="8"/>
    </row>
    <row r="81" spans="1:11">
      <c r="A81" t="s">
        <v>8</v>
      </c>
      <c r="B81" s="19" t="s">
        <v>9</v>
      </c>
      <c r="C81" t="s">
        <v>2</v>
      </c>
      <c r="D81" t="s">
        <v>6</v>
      </c>
      <c r="E81" t="s">
        <v>5</v>
      </c>
      <c r="F81" t="s">
        <v>4</v>
      </c>
      <c r="G81" t="s">
        <v>10</v>
      </c>
      <c r="H81" s="20" t="s">
        <v>11</v>
      </c>
      <c r="J81" s="1"/>
      <c r="K81" s="8"/>
    </row>
    <row r="82" spans="1:11">
      <c r="A82" s="19" t="str">
        <f>B74</f>
        <v>electricity production, from stationary battery, Tr2050</v>
      </c>
      <c r="B82" s="19">
        <v>1</v>
      </c>
      <c r="C82" t="str">
        <f>B78</f>
        <v>FR</v>
      </c>
      <c r="D82" t="s">
        <v>19</v>
      </c>
      <c r="E82" t="s">
        <v>18</v>
      </c>
      <c r="F82" t="s">
        <v>31</v>
      </c>
      <c r="G82" s="13"/>
      <c r="H82" s="18"/>
      <c r="K82" s="8"/>
    </row>
    <row r="83" spans="1:11">
      <c r="A83" s="6" t="s">
        <v>28</v>
      </c>
      <c r="B83" s="19">
        <f>1*1.19</f>
        <v>1.19</v>
      </c>
      <c r="C83" t="s">
        <v>29</v>
      </c>
      <c r="D83" t="s">
        <v>19</v>
      </c>
      <c r="E83" t="s">
        <v>12</v>
      </c>
      <c r="F83" t="s">
        <v>20</v>
      </c>
      <c r="G83" s="13"/>
      <c r="H83" s="20" t="s">
        <v>51</v>
      </c>
    </row>
    <row r="84" spans="1:11">
      <c r="A84" s="6" t="s">
        <v>28</v>
      </c>
      <c r="B84" s="19">
        <f>((22/1000)*6000*13)/(2500*19.5*0.8)</f>
        <v>4.3999999999999997E-2</v>
      </c>
      <c r="C84" t="s">
        <v>29</v>
      </c>
      <c r="D84" t="s">
        <v>19</v>
      </c>
      <c r="E84" t="s">
        <v>12</v>
      </c>
      <c r="F84" t="s">
        <v>20</v>
      </c>
      <c r="G84" s="13"/>
      <c r="H84" s="20" t="s">
        <v>52</v>
      </c>
    </row>
    <row r="85" spans="1:11">
      <c r="A85" s="6" t="s">
        <v>53</v>
      </c>
      <c r="B85" s="19">
        <f>1/(2500*80%*19.5)</f>
        <v>2.564102564102564E-5</v>
      </c>
      <c r="C85" t="s">
        <v>49</v>
      </c>
      <c r="D85" t="s">
        <v>6</v>
      </c>
      <c r="E85" t="s">
        <v>12</v>
      </c>
      <c r="F85" t="s">
        <v>54</v>
      </c>
      <c r="G85" s="13"/>
      <c r="H85" s="1" t="s">
        <v>55</v>
      </c>
    </row>
    <row r="86" spans="1:11">
      <c r="A86" s="6"/>
      <c r="G86" s="13"/>
      <c r="H86" s="1"/>
    </row>
    <row r="87" spans="1:11">
      <c r="A87" s="19"/>
      <c r="G87" s="13"/>
      <c r="H87" s="13"/>
      <c r="K87" s="8"/>
    </row>
    <row r="88" spans="1:11">
      <c r="A88" s="4" t="s">
        <v>1</v>
      </c>
      <c r="B88" s="12" t="s">
        <v>102</v>
      </c>
      <c r="C88" s="13"/>
      <c r="D88" s="9"/>
      <c r="E88" s="9"/>
      <c r="F88" s="9"/>
      <c r="G88" s="9"/>
      <c r="H88" s="9"/>
      <c r="I88" s="11"/>
      <c r="K88" s="8"/>
    </row>
    <row r="89" spans="1:11">
      <c r="A89" s="6" t="s">
        <v>3</v>
      </c>
      <c r="B89" s="14">
        <v>1</v>
      </c>
      <c r="C89" s="9"/>
      <c r="D89" s="9"/>
      <c r="E89" s="9"/>
      <c r="F89" s="9"/>
      <c r="G89" s="9"/>
      <c r="H89" s="9"/>
      <c r="I89" s="11"/>
      <c r="K89" s="8"/>
    </row>
    <row r="90" spans="1:11">
      <c r="A90" s="6" t="s">
        <v>11</v>
      </c>
      <c r="B90" s="15" t="s">
        <v>34</v>
      </c>
      <c r="C90" s="9"/>
      <c r="D90" s="9"/>
      <c r="E90" s="9"/>
      <c r="F90" s="9"/>
      <c r="G90" s="9"/>
      <c r="H90" s="9"/>
      <c r="I90" s="11"/>
      <c r="K90" s="8"/>
    </row>
    <row r="91" spans="1:11">
      <c r="A91" s="6" t="s">
        <v>4</v>
      </c>
      <c r="B91" s="2" t="s">
        <v>31</v>
      </c>
      <c r="C91" s="9"/>
      <c r="D91" s="9"/>
      <c r="E91" s="9"/>
      <c r="F91" s="9"/>
      <c r="G91" s="9"/>
      <c r="H91" s="9"/>
      <c r="I91" s="11"/>
      <c r="K91" s="8"/>
    </row>
    <row r="92" spans="1:11">
      <c r="A92" s="6" t="s">
        <v>2</v>
      </c>
      <c r="B92" s="15" t="s">
        <v>29</v>
      </c>
      <c r="C92" s="9"/>
      <c r="D92" s="9"/>
      <c r="E92" s="9"/>
      <c r="F92" s="9"/>
      <c r="G92" s="9"/>
      <c r="H92" s="9"/>
      <c r="I92" s="11"/>
      <c r="K92" s="8"/>
    </row>
    <row r="93" spans="1:11">
      <c r="A93" s="6" t="s">
        <v>6</v>
      </c>
      <c r="B93" s="10" t="s">
        <v>19</v>
      </c>
      <c r="C93" s="9"/>
      <c r="D93" s="9"/>
      <c r="E93" s="9"/>
      <c r="F93" s="9"/>
      <c r="G93" s="9"/>
      <c r="H93" s="16"/>
      <c r="I93" s="17"/>
      <c r="K93" s="8"/>
    </row>
    <row r="94" spans="1:11">
      <c r="A94" s="16" t="s">
        <v>7</v>
      </c>
      <c r="B94" s="12"/>
      <c r="C94" s="16"/>
      <c r="D94" s="16"/>
      <c r="E94" s="16"/>
      <c r="F94" s="16"/>
      <c r="G94" s="16"/>
      <c r="H94" s="13"/>
      <c r="I94" s="18"/>
      <c r="K94" s="8"/>
    </row>
    <row r="95" spans="1:11">
      <c r="A95" t="s">
        <v>8</v>
      </c>
      <c r="B95" s="19" t="s">
        <v>9</v>
      </c>
      <c r="C95" t="s">
        <v>2</v>
      </c>
      <c r="D95" t="s">
        <v>6</v>
      </c>
      <c r="E95" t="s">
        <v>5</v>
      </c>
      <c r="F95" t="s">
        <v>4</v>
      </c>
      <c r="G95" t="s">
        <v>10</v>
      </c>
      <c r="H95" s="20" t="s">
        <v>11</v>
      </c>
      <c r="J95" s="1"/>
      <c r="K95" s="8"/>
    </row>
    <row r="96" spans="1:11">
      <c r="A96" s="19" t="s">
        <v>30</v>
      </c>
      <c r="B96" s="19">
        <v>1</v>
      </c>
      <c r="C96" t="str">
        <f>B92</f>
        <v>FR</v>
      </c>
      <c r="D96" t="s">
        <v>19</v>
      </c>
      <c r="E96" t="s">
        <v>18</v>
      </c>
      <c r="F96" t="s">
        <v>31</v>
      </c>
      <c r="G96" s="13"/>
      <c r="H96" s="18"/>
      <c r="K96" s="8"/>
    </row>
    <row r="97" spans="1:11">
      <c r="A97" s="19" t="s">
        <v>32</v>
      </c>
      <c r="B97" s="19">
        <f>1/30000*2</f>
        <v>6.666666666666667E-5</v>
      </c>
      <c r="C97" t="s">
        <v>27</v>
      </c>
      <c r="D97" t="s">
        <v>6</v>
      </c>
      <c r="E97" t="s">
        <v>12</v>
      </c>
      <c r="F97" t="s">
        <v>33</v>
      </c>
      <c r="G97" s="13"/>
      <c r="H97" s="18"/>
      <c r="K97" s="8"/>
    </row>
    <row r="98" spans="1:11" ht="15.5">
      <c r="A98" s="32" t="s">
        <v>73</v>
      </c>
      <c r="B98" s="19">
        <f>3.6/0.5/120</f>
        <v>6.0000000000000005E-2</v>
      </c>
      <c r="C98" t="s">
        <v>29</v>
      </c>
      <c r="D98" t="s">
        <v>13</v>
      </c>
      <c r="E98" t="s">
        <v>12</v>
      </c>
      <c r="F98" s="31" t="s">
        <v>57</v>
      </c>
      <c r="H98" s="13"/>
      <c r="I98" s="18"/>
      <c r="K98" s="8"/>
    </row>
    <row r="101" spans="1:11" ht="15.5">
      <c r="A101" s="42" t="s">
        <v>1</v>
      </c>
      <c r="B101" s="42" t="s">
        <v>103</v>
      </c>
      <c r="C101" s="43"/>
      <c r="D101" s="43"/>
      <c r="E101" s="43"/>
      <c r="F101" s="43"/>
      <c r="G101" s="43"/>
      <c r="H101" s="43"/>
      <c r="I101" s="43"/>
    </row>
    <row r="102" spans="1:11">
      <c r="A102" s="43" t="s">
        <v>104</v>
      </c>
      <c r="B102" s="43">
        <v>1.310870633</v>
      </c>
      <c r="C102" s="43"/>
      <c r="D102" s="43"/>
      <c r="E102" s="43"/>
      <c r="F102" s="43"/>
      <c r="G102" s="43"/>
      <c r="H102" s="43"/>
      <c r="I102" s="43"/>
    </row>
    <row r="103" spans="1:11">
      <c r="A103" s="43" t="s">
        <v>2</v>
      </c>
      <c r="B103" s="43" t="s">
        <v>29</v>
      </c>
      <c r="C103" s="43"/>
      <c r="D103" s="43"/>
      <c r="E103" s="43"/>
      <c r="F103" s="43"/>
      <c r="G103" s="43"/>
      <c r="H103" s="43"/>
      <c r="I103" s="43"/>
    </row>
    <row r="104" spans="1:11">
      <c r="A104" s="43" t="s">
        <v>4</v>
      </c>
      <c r="B104" s="43" t="s">
        <v>105</v>
      </c>
      <c r="C104" s="43"/>
      <c r="D104" s="43"/>
      <c r="E104" s="43"/>
      <c r="F104" s="43"/>
      <c r="G104" s="43"/>
      <c r="H104" s="43"/>
      <c r="I104" s="43"/>
    </row>
    <row r="105" spans="1:11">
      <c r="A105" s="43" t="s">
        <v>6</v>
      </c>
      <c r="B105" s="43" t="s">
        <v>13</v>
      </c>
      <c r="C105" s="43"/>
      <c r="D105" s="43"/>
      <c r="E105" s="43"/>
      <c r="F105" s="43"/>
      <c r="G105" s="43"/>
      <c r="H105" s="43"/>
      <c r="I105" s="43"/>
    </row>
    <row r="106" spans="1:11">
      <c r="A106" s="43" t="s">
        <v>11</v>
      </c>
      <c r="B106" s="43" t="s">
        <v>106</v>
      </c>
      <c r="C106" s="43"/>
      <c r="D106" s="43"/>
      <c r="E106" s="43"/>
      <c r="F106" s="43"/>
      <c r="G106" s="43"/>
      <c r="H106" s="43"/>
      <c r="I106" s="43"/>
    </row>
    <row r="107" spans="1:11" ht="15.5">
      <c r="A107" s="42" t="s">
        <v>7</v>
      </c>
      <c r="B107" s="43"/>
      <c r="C107" s="43"/>
      <c r="D107" s="43"/>
      <c r="E107" s="43"/>
      <c r="F107" s="43"/>
      <c r="G107" s="43"/>
      <c r="H107" s="43"/>
      <c r="I107" s="43"/>
    </row>
    <row r="108" spans="1:11">
      <c r="A108" s="43" t="s">
        <v>8</v>
      </c>
      <c r="B108" s="43" t="s">
        <v>9</v>
      </c>
      <c r="C108" s="43" t="s">
        <v>107</v>
      </c>
      <c r="D108" s="43" t="s">
        <v>2</v>
      </c>
      <c r="E108" s="43" t="s">
        <v>6</v>
      </c>
      <c r="F108" s="43" t="s">
        <v>10</v>
      </c>
      <c r="G108" s="43" t="s">
        <v>5</v>
      </c>
      <c r="H108" s="43" t="s">
        <v>4</v>
      </c>
      <c r="I108" s="43" t="s">
        <v>11</v>
      </c>
    </row>
    <row r="109" spans="1:11">
      <c r="A109" s="43" t="s">
        <v>103</v>
      </c>
      <c r="B109" s="43">
        <v>1</v>
      </c>
      <c r="C109" s="43" t="s">
        <v>108</v>
      </c>
      <c r="D109" s="43" t="s">
        <v>29</v>
      </c>
      <c r="E109" s="43" t="s">
        <v>13</v>
      </c>
      <c r="F109" s="43"/>
      <c r="G109" s="43" t="s">
        <v>18</v>
      </c>
      <c r="H109" s="43" t="s">
        <v>105</v>
      </c>
      <c r="I109" s="43"/>
    </row>
    <row r="110" spans="1:11">
      <c r="A110" s="43" t="s">
        <v>109</v>
      </c>
      <c r="B110" s="44">
        <v>3.0676600000000002E-8</v>
      </c>
      <c r="C110" s="43" t="s">
        <v>110</v>
      </c>
      <c r="D110" s="43"/>
      <c r="E110" s="43" t="s">
        <v>13</v>
      </c>
      <c r="F110" s="43" t="s">
        <v>25</v>
      </c>
      <c r="G110" s="43" t="s">
        <v>15</v>
      </c>
      <c r="H110" s="43"/>
      <c r="I110" s="43"/>
    </row>
    <row r="111" spans="1:11">
      <c r="A111" s="43" t="s">
        <v>111</v>
      </c>
      <c r="B111" s="44">
        <v>4.6014800000000002E-6</v>
      </c>
      <c r="C111" s="43" t="s">
        <v>110</v>
      </c>
      <c r="D111" s="43"/>
      <c r="E111" s="43" t="s">
        <v>13</v>
      </c>
      <c r="F111" s="43" t="s">
        <v>25</v>
      </c>
      <c r="G111" s="43" t="s">
        <v>15</v>
      </c>
      <c r="H111" s="43"/>
      <c r="I111" s="43"/>
    </row>
    <row r="112" spans="1:11">
      <c r="A112" s="43" t="s">
        <v>112</v>
      </c>
      <c r="B112" s="44">
        <v>1.22709E-5</v>
      </c>
      <c r="C112" s="43" t="s">
        <v>110</v>
      </c>
      <c r="D112" s="43"/>
      <c r="E112" s="43" t="s">
        <v>13</v>
      </c>
      <c r="F112" s="43" t="s">
        <v>25</v>
      </c>
      <c r="G112" s="43" t="s">
        <v>15</v>
      </c>
      <c r="H112" s="43"/>
      <c r="I112" s="43"/>
    </row>
    <row r="113" spans="1:9">
      <c r="A113" s="43" t="s">
        <v>113</v>
      </c>
      <c r="B113" s="44">
        <v>3.0676599999999998E-10</v>
      </c>
      <c r="C113" s="43" t="s">
        <v>110</v>
      </c>
      <c r="D113" s="43"/>
      <c r="E113" s="43" t="s">
        <v>13</v>
      </c>
      <c r="F113" s="43" t="s">
        <v>25</v>
      </c>
      <c r="G113" s="43" t="s">
        <v>15</v>
      </c>
      <c r="H113" s="43"/>
      <c r="I113" s="43"/>
    </row>
    <row r="114" spans="1:9">
      <c r="A114" s="43" t="s">
        <v>114</v>
      </c>
      <c r="B114" s="44">
        <v>2.1474199999999998E-5</v>
      </c>
      <c r="C114" s="43" t="s">
        <v>110</v>
      </c>
      <c r="D114" s="43"/>
      <c r="E114" s="43" t="s">
        <v>13</v>
      </c>
      <c r="F114" s="43" t="s">
        <v>25</v>
      </c>
      <c r="G114" s="43" t="s">
        <v>15</v>
      </c>
      <c r="H114" s="43"/>
      <c r="I114" s="43"/>
    </row>
    <row r="115" spans="1:9">
      <c r="A115" s="43" t="s">
        <v>40</v>
      </c>
      <c r="B115" s="43">
        <v>8.9222937859999991</v>
      </c>
      <c r="C115" s="43" t="s">
        <v>110</v>
      </c>
      <c r="D115" s="43"/>
      <c r="E115" s="43" t="s">
        <v>13</v>
      </c>
      <c r="F115" s="43" t="s">
        <v>25</v>
      </c>
      <c r="G115" s="43" t="s">
        <v>15</v>
      </c>
      <c r="H115" s="43"/>
      <c r="I115" s="43"/>
    </row>
    <row r="116" spans="1:9">
      <c r="A116" s="43" t="s">
        <v>115</v>
      </c>
      <c r="B116" s="44">
        <v>6.4421899999999994E-5</v>
      </c>
      <c r="C116" s="43" t="s">
        <v>110</v>
      </c>
      <c r="D116" s="43"/>
      <c r="E116" s="43" t="s">
        <v>13</v>
      </c>
      <c r="F116" s="43" t="s">
        <v>25</v>
      </c>
      <c r="G116" s="43" t="s">
        <v>15</v>
      </c>
      <c r="H116" s="43"/>
      <c r="I116" s="43"/>
    </row>
    <row r="117" spans="1:9">
      <c r="A117" s="43" t="s">
        <v>116</v>
      </c>
      <c r="B117" s="44">
        <v>3.06766E-6</v>
      </c>
      <c r="C117" s="43" t="s">
        <v>110</v>
      </c>
      <c r="D117" s="43"/>
      <c r="E117" s="43" t="s">
        <v>13</v>
      </c>
      <c r="F117" s="43" t="s">
        <v>25</v>
      </c>
      <c r="G117" s="43" t="s">
        <v>15</v>
      </c>
      <c r="H117" s="43"/>
      <c r="I117" s="43"/>
    </row>
    <row r="118" spans="1:9">
      <c r="A118" s="43" t="s">
        <v>117</v>
      </c>
      <c r="B118" s="44">
        <v>3.06766E-6</v>
      </c>
      <c r="C118" s="43" t="s">
        <v>110</v>
      </c>
      <c r="D118" s="43"/>
      <c r="E118" s="43" t="s">
        <v>13</v>
      </c>
      <c r="F118" s="43" t="s">
        <v>25</v>
      </c>
      <c r="G118" s="43" t="s">
        <v>15</v>
      </c>
      <c r="H118" s="43"/>
      <c r="I118" s="43"/>
    </row>
    <row r="119" spans="1:9">
      <c r="A119" s="43" t="s">
        <v>118</v>
      </c>
      <c r="B119" s="44">
        <v>9.2032600000000003E-10</v>
      </c>
      <c r="C119" s="43" t="s">
        <v>110</v>
      </c>
      <c r="D119" s="43"/>
      <c r="E119" s="43" t="s">
        <v>13</v>
      </c>
      <c r="F119" s="43" t="s">
        <v>25</v>
      </c>
      <c r="G119" s="43" t="s">
        <v>15</v>
      </c>
      <c r="H119" s="43"/>
      <c r="I119" s="43"/>
    </row>
    <row r="120" spans="1:9">
      <c r="A120" s="43" t="s">
        <v>119</v>
      </c>
      <c r="B120" s="44">
        <v>6.1356E-5</v>
      </c>
      <c r="C120" s="43" t="s">
        <v>110</v>
      </c>
      <c r="D120" s="43"/>
      <c r="E120" s="43" t="s">
        <v>13</v>
      </c>
      <c r="F120" s="43" t="s">
        <v>25</v>
      </c>
      <c r="G120" s="43" t="s">
        <v>15</v>
      </c>
      <c r="H120" s="43"/>
      <c r="I120" s="43"/>
    </row>
    <row r="121" spans="1:9">
      <c r="A121" s="43" t="s">
        <v>120</v>
      </c>
      <c r="B121" s="43">
        <v>5.4912400000000001E-4</v>
      </c>
      <c r="C121" s="43" t="s">
        <v>110</v>
      </c>
      <c r="D121" s="43"/>
      <c r="E121" s="43" t="s">
        <v>13</v>
      </c>
      <c r="F121" s="43" t="s">
        <v>25</v>
      </c>
      <c r="G121" s="43" t="s">
        <v>15</v>
      </c>
      <c r="H121" s="43"/>
      <c r="I121" s="43"/>
    </row>
    <row r="122" spans="1:9">
      <c r="A122" s="43" t="s">
        <v>121</v>
      </c>
      <c r="B122" s="44">
        <v>3.0676599999999998E-7</v>
      </c>
      <c r="C122" s="43" t="s">
        <v>110</v>
      </c>
      <c r="D122" s="43"/>
      <c r="E122" s="43" t="s">
        <v>13</v>
      </c>
      <c r="F122" s="43" t="s">
        <v>25</v>
      </c>
      <c r="G122" s="43" t="s">
        <v>15</v>
      </c>
      <c r="H122" s="43"/>
      <c r="I122" s="43"/>
    </row>
    <row r="123" spans="1:9">
      <c r="A123" s="43" t="s">
        <v>122</v>
      </c>
      <c r="B123" s="44">
        <v>6.1356000000000002E-6</v>
      </c>
      <c r="C123" s="43" t="s">
        <v>110</v>
      </c>
      <c r="D123" s="43"/>
      <c r="E123" s="43" t="s">
        <v>13</v>
      </c>
      <c r="F123" s="43" t="s">
        <v>25</v>
      </c>
      <c r="G123" s="43" t="s">
        <v>15</v>
      </c>
      <c r="H123" s="43"/>
      <c r="I123" s="43"/>
    </row>
    <row r="124" spans="1:9">
      <c r="A124" s="43" t="s">
        <v>123</v>
      </c>
      <c r="B124" s="44">
        <v>3.6814199999999997E-5</v>
      </c>
      <c r="C124" s="43" t="s">
        <v>110</v>
      </c>
      <c r="D124" s="43"/>
      <c r="E124" s="43" t="s">
        <v>13</v>
      </c>
      <c r="F124" s="43" t="s">
        <v>25</v>
      </c>
      <c r="G124" s="43" t="s">
        <v>15</v>
      </c>
      <c r="H124" s="43"/>
      <c r="I124" s="43"/>
    </row>
    <row r="125" spans="1:9">
      <c r="A125" s="43" t="s">
        <v>124</v>
      </c>
      <c r="B125" s="44">
        <v>6.1356000000000002E-6</v>
      </c>
      <c r="C125" s="43" t="s">
        <v>110</v>
      </c>
      <c r="D125" s="43"/>
      <c r="E125" s="43" t="s">
        <v>13</v>
      </c>
      <c r="F125" s="43" t="s">
        <v>25</v>
      </c>
      <c r="G125" s="43" t="s">
        <v>15</v>
      </c>
      <c r="H125" s="43"/>
      <c r="I125" s="43"/>
    </row>
    <row r="126" spans="1:9">
      <c r="A126" s="43" t="s">
        <v>125</v>
      </c>
      <c r="B126" s="44">
        <v>6.1356E-7</v>
      </c>
      <c r="C126" s="43" t="s">
        <v>110</v>
      </c>
      <c r="D126" s="43"/>
      <c r="E126" s="43" t="s">
        <v>13</v>
      </c>
      <c r="F126" s="43" t="s">
        <v>25</v>
      </c>
      <c r="G126" s="43" t="s">
        <v>15</v>
      </c>
      <c r="H126" s="43"/>
      <c r="I126" s="43"/>
    </row>
    <row r="127" spans="1:9">
      <c r="A127" s="43" t="s">
        <v>126</v>
      </c>
      <c r="B127" s="44">
        <v>1.6872699999999999E-5</v>
      </c>
      <c r="C127" s="43" t="s">
        <v>110</v>
      </c>
      <c r="D127" s="43"/>
      <c r="E127" s="43" t="s">
        <v>13</v>
      </c>
      <c r="F127" s="43" t="s">
        <v>25</v>
      </c>
      <c r="G127" s="43" t="s">
        <v>15</v>
      </c>
      <c r="H127" s="43"/>
      <c r="I127" s="43"/>
    </row>
    <row r="128" spans="1:9">
      <c r="A128" s="43" t="s">
        <v>127</v>
      </c>
      <c r="B128" s="44">
        <v>6.1356000000000002E-6</v>
      </c>
      <c r="C128" s="43" t="s">
        <v>110</v>
      </c>
      <c r="D128" s="43"/>
      <c r="E128" s="43" t="s">
        <v>13</v>
      </c>
      <c r="F128" s="43" t="s">
        <v>25</v>
      </c>
      <c r="G128" s="43" t="s">
        <v>15</v>
      </c>
      <c r="H128" s="43"/>
      <c r="I128" s="43"/>
    </row>
    <row r="129" spans="1:9">
      <c r="A129" s="43" t="s">
        <v>128</v>
      </c>
      <c r="B129" s="43">
        <v>0.38040000000000002</v>
      </c>
      <c r="C129" s="43" t="s">
        <v>110</v>
      </c>
      <c r="D129" s="43"/>
      <c r="E129" s="43" t="s">
        <v>129</v>
      </c>
      <c r="F129" s="43" t="s">
        <v>130</v>
      </c>
      <c r="G129" s="43" t="s">
        <v>15</v>
      </c>
      <c r="H129" s="43"/>
      <c r="I129" s="43"/>
    </row>
    <row r="130" spans="1:9">
      <c r="A130" s="43" t="s">
        <v>131</v>
      </c>
      <c r="B130" s="43">
        <v>0.37130000000000002</v>
      </c>
      <c r="C130" s="43" t="s">
        <v>110</v>
      </c>
      <c r="D130" s="43"/>
      <c r="E130" s="43" t="s">
        <v>129</v>
      </c>
      <c r="F130" s="43" t="s">
        <v>132</v>
      </c>
      <c r="G130" s="43" t="s">
        <v>15</v>
      </c>
      <c r="H130" s="43"/>
      <c r="I130" s="43"/>
    </row>
    <row r="131" spans="1:9">
      <c r="A131" s="43" t="s">
        <v>131</v>
      </c>
      <c r="B131" s="43">
        <v>9.1000000000000004E-3</v>
      </c>
      <c r="C131" s="43" t="s">
        <v>110</v>
      </c>
      <c r="D131" s="43"/>
      <c r="E131" s="43" t="s">
        <v>129</v>
      </c>
      <c r="F131" s="43" t="s">
        <v>25</v>
      </c>
      <c r="G131" s="43" t="s">
        <v>15</v>
      </c>
      <c r="H131" s="43"/>
      <c r="I131" s="43" t="s">
        <v>133</v>
      </c>
    </row>
    <row r="132" spans="1:9">
      <c r="A132" s="43" t="s">
        <v>134</v>
      </c>
      <c r="B132" s="44">
        <v>5.3483200000000002E-10</v>
      </c>
      <c r="C132" s="43" t="s">
        <v>135</v>
      </c>
      <c r="D132" s="43" t="s">
        <v>49</v>
      </c>
      <c r="E132" s="43" t="s">
        <v>6</v>
      </c>
      <c r="F132" s="43"/>
      <c r="G132" s="43" t="s">
        <v>12</v>
      </c>
      <c r="H132" s="43" t="s">
        <v>136</v>
      </c>
      <c r="I132" s="43"/>
    </row>
    <row r="133" spans="1:9">
      <c r="A133" s="43" t="s">
        <v>137</v>
      </c>
      <c r="B133" s="43">
        <v>5.32728E-4</v>
      </c>
      <c r="C133" s="43" t="s">
        <v>135</v>
      </c>
      <c r="D133" s="43" t="s">
        <v>138</v>
      </c>
      <c r="E133" s="43" t="s">
        <v>13</v>
      </c>
      <c r="F133" s="43"/>
      <c r="G133" s="43" t="s">
        <v>12</v>
      </c>
      <c r="H133" s="43" t="s">
        <v>139</v>
      </c>
      <c r="I133" s="43"/>
    </row>
    <row r="134" spans="1:9">
      <c r="A134" s="43" t="s">
        <v>140</v>
      </c>
      <c r="B134" s="43">
        <v>3.6000000000000001E-5</v>
      </c>
      <c r="C134" s="43" t="s">
        <v>135</v>
      </c>
      <c r="D134" s="43" t="s">
        <v>141</v>
      </c>
      <c r="E134" s="43" t="s">
        <v>13</v>
      </c>
      <c r="F134" s="43"/>
      <c r="G134" s="43" t="s">
        <v>12</v>
      </c>
      <c r="H134" s="43" t="s">
        <v>142</v>
      </c>
      <c r="I134" s="43"/>
    </row>
    <row r="135" spans="1:9">
      <c r="A135" s="43" t="s">
        <v>143</v>
      </c>
      <c r="B135" s="43">
        <v>3.6240000000000003E-4</v>
      </c>
      <c r="C135" s="43" t="s">
        <v>135</v>
      </c>
      <c r="D135" s="43" t="s">
        <v>141</v>
      </c>
      <c r="E135" s="43" t="s">
        <v>13</v>
      </c>
      <c r="F135" s="43"/>
      <c r="G135" s="43" t="s">
        <v>12</v>
      </c>
      <c r="H135" s="43" t="s">
        <v>144</v>
      </c>
      <c r="I135" s="43"/>
    </row>
    <row r="136" spans="1:9">
      <c r="A136" s="43" t="s">
        <v>145</v>
      </c>
      <c r="B136" s="44">
        <v>2.54628E-9</v>
      </c>
      <c r="C136" s="43" t="s">
        <v>135</v>
      </c>
      <c r="D136" s="43" t="s">
        <v>141</v>
      </c>
      <c r="E136" s="43" t="s">
        <v>6</v>
      </c>
      <c r="F136" s="43"/>
      <c r="G136" s="43" t="s">
        <v>12</v>
      </c>
      <c r="H136" s="43" t="s">
        <v>146</v>
      </c>
      <c r="I136" s="43"/>
    </row>
    <row r="137" spans="1:9">
      <c r="A137" s="43" t="s">
        <v>147</v>
      </c>
      <c r="B137" s="43">
        <v>2.796E-5</v>
      </c>
      <c r="C137" s="43" t="s">
        <v>135</v>
      </c>
      <c r="D137" s="43" t="s">
        <v>141</v>
      </c>
      <c r="E137" s="43" t="s">
        <v>13</v>
      </c>
      <c r="F137" s="43"/>
      <c r="G137" s="43" t="s">
        <v>12</v>
      </c>
      <c r="H137" s="43" t="s">
        <v>148</v>
      </c>
      <c r="I137" s="43"/>
    </row>
    <row r="138" spans="1:9">
      <c r="A138" s="43" t="s">
        <v>149</v>
      </c>
      <c r="B138" s="43">
        <v>1.668E-5</v>
      </c>
      <c r="C138" s="43" t="s">
        <v>135</v>
      </c>
      <c r="D138" s="43" t="s">
        <v>141</v>
      </c>
      <c r="E138" s="43" t="s">
        <v>13</v>
      </c>
      <c r="F138" s="43"/>
      <c r="G138" s="43" t="s">
        <v>12</v>
      </c>
      <c r="H138" s="43" t="s">
        <v>150</v>
      </c>
      <c r="I138" s="43"/>
    </row>
    <row r="139" spans="1:9">
      <c r="A139" s="43" t="s">
        <v>151</v>
      </c>
      <c r="B139" s="43">
        <v>2.0291999999999999E-4</v>
      </c>
      <c r="C139" s="43" t="s">
        <v>135</v>
      </c>
      <c r="D139" s="43" t="s">
        <v>141</v>
      </c>
      <c r="E139" s="43" t="s">
        <v>13</v>
      </c>
      <c r="F139" s="43"/>
      <c r="G139" s="43" t="s">
        <v>12</v>
      </c>
      <c r="H139" s="43" t="s">
        <v>152</v>
      </c>
      <c r="I139" s="43"/>
    </row>
    <row r="140" spans="1:9">
      <c r="A140" s="43" t="s">
        <v>153</v>
      </c>
      <c r="B140" s="43">
        <v>3.1236000000000002E-4</v>
      </c>
      <c r="C140" s="43" t="s">
        <v>135</v>
      </c>
      <c r="D140" s="43" t="s">
        <v>141</v>
      </c>
      <c r="E140" s="43" t="s">
        <v>13</v>
      </c>
      <c r="F140" s="43"/>
      <c r="G140" s="43" t="s">
        <v>12</v>
      </c>
      <c r="H140" s="43" t="s">
        <v>154</v>
      </c>
      <c r="I140" s="43"/>
    </row>
    <row r="141" spans="1:9">
      <c r="A141" s="43" t="s">
        <v>155</v>
      </c>
      <c r="B141" s="43">
        <v>4.8000000000000001E-5</v>
      </c>
      <c r="C141" s="43" t="s">
        <v>135</v>
      </c>
      <c r="D141" s="43" t="s">
        <v>49</v>
      </c>
      <c r="E141" s="43" t="s">
        <v>13</v>
      </c>
      <c r="F141" s="43"/>
      <c r="G141" s="43" t="s">
        <v>12</v>
      </c>
      <c r="H141" s="43" t="s">
        <v>156</v>
      </c>
      <c r="I141" s="43"/>
    </row>
    <row r="142" spans="1:9">
      <c r="A142" s="43" t="s">
        <v>157</v>
      </c>
      <c r="B142" s="43">
        <v>1.1592E-5</v>
      </c>
      <c r="C142" s="43" t="s">
        <v>135</v>
      </c>
      <c r="D142" s="43" t="s">
        <v>141</v>
      </c>
      <c r="E142" s="43" t="s">
        <v>13</v>
      </c>
      <c r="F142" s="43"/>
      <c r="G142" s="43" t="s">
        <v>12</v>
      </c>
      <c r="H142" s="43" t="s">
        <v>158</v>
      </c>
      <c r="I142" s="43"/>
    </row>
    <row r="143" spans="1:9">
      <c r="A143" s="43" t="s">
        <v>21</v>
      </c>
      <c r="B143" s="43">
        <v>7.538413555</v>
      </c>
      <c r="C143" s="43" t="s">
        <v>135</v>
      </c>
      <c r="D143" s="43" t="s">
        <v>22</v>
      </c>
      <c r="E143" s="43" t="s">
        <v>13</v>
      </c>
      <c r="F143" s="43"/>
      <c r="G143" s="43" t="s">
        <v>12</v>
      </c>
      <c r="H143" s="43" t="s">
        <v>23</v>
      </c>
      <c r="I143" s="43"/>
    </row>
    <row r="144" spans="1:9">
      <c r="A144" s="43" t="s">
        <v>159</v>
      </c>
      <c r="B144" s="43">
        <v>8.8290199999999997E-4</v>
      </c>
      <c r="C144" s="43" t="s">
        <v>135</v>
      </c>
      <c r="D144" s="43" t="s">
        <v>141</v>
      </c>
      <c r="E144" s="43" t="s">
        <v>13</v>
      </c>
      <c r="F144" s="43"/>
      <c r="G144" s="43" t="s">
        <v>12</v>
      </c>
      <c r="H144" s="43" t="s">
        <v>160</v>
      </c>
      <c r="I144" s="43"/>
    </row>
    <row r="145" spans="1:9">
      <c r="A145" s="43" t="s">
        <v>161</v>
      </c>
      <c r="B145" s="43">
        <v>3.7139999999999997E-4</v>
      </c>
      <c r="C145" s="43" t="s">
        <v>135</v>
      </c>
      <c r="D145" s="43" t="s">
        <v>141</v>
      </c>
      <c r="E145" s="43" t="s">
        <v>13</v>
      </c>
      <c r="F145" s="43"/>
      <c r="G145" s="43" t="s">
        <v>12</v>
      </c>
      <c r="H145" s="43" t="s">
        <v>162</v>
      </c>
      <c r="I145" s="43"/>
    </row>
    <row r="146" spans="1:9">
      <c r="A146" s="43" t="s">
        <v>163</v>
      </c>
      <c r="B146" s="43">
        <v>0</v>
      </c>
      <c r="C146" s="43" t="s">
        <v>135</v>
      </c>
      <c r="D146" s="43" t="s">
        <v>49</v>
      </c>
      <c r="E146" s="43" t="s">
        <v>19</v>
      </c>
      <c r="F146" s="43"/>
      <c r="G146" s="43" t="s">
        <v>12</v>
      </c>
      <c r="H146" s="43" t="s">
        <v>31</v>
      </c>
      <c r="I146" s="43"/>
    </row>
    <row r="147" spans="1:9">
      <c r="A147" s="43" t="s">
        <v>164</v>
      </c>
      <c r="B147" s="43">
        <v>4.3695687769999996</v>
      </c>
      <c r="C147" s="43" t="s">
        <v>135</v>
      </c>
      <c r="D147" s="43" t="s">
        <v>22</v>
      </c>
      <c r="E147" s="43" t="s">
        <v>129</v>
      </c>
      <c r="F147" s="43"/>
      <c r="G147" s="43" t="s">
        <v>12</v>
      </c>
      <c r="H147" s="43" t="s">
        <v>165</v>
      </c>
      <c r="I147" s="43"/>
    </row>
    <row r="148" spans="1:9">
      <c r="A148" s="43"/>
      <c r="B148" s="43"/>
      <c r="C148" s="43"/>
      <c r="D148" s="43"/>
      <c r="E148" s="43"/>
      <c r="F148" s="43"/>
      <c r="G148" s="43"/>
      <c r="H148" s="43"/>
      <c r="I148" s="43"/>
    </row>
    <row r="149" spans="1:9" ht="15.5">
      <c r="A149" s="42" t="s">
        <v>1</v>
      </c>
      <c r="B149" s="42" t="s">
        <v>166</v>
      </c>
      <c r="C149" s="43"/>
      <c r="D149" s="43"/>
      <c r="E149" s="43"/>
      <c r="F149" s="43"/>
      <c r="G149" s="43"/>
      <c r="H149" s="43"/>
      <c r="I149" s="43"/>
    </row>
    <row r="150" spans="1:9">
      <c r="A150" s="43" t="s">
        <v>104</v>
      </c>
      <c r="B150" s="43">
        <v>1.290350439</v>
      </c>
      <c r="C150" s="43"/>
      <c r="D150" s="43"/>
      <c r="E150" s="43"/>
      <c r="F150" s="43"/>
      <c r="G150" s="43"/>
      <c r="H150" s="43"/>
      <c r="I150" s="43"/>
    </row>
    <row r="151" spans="1:9">
      <c r="A151" s="43" t="s">
        <v>2</v>
      </c>
      <c r="B151" s="43" t="s">
        <v>29</v>
      </c>
      <c r="C151" s="43"/>
      <c r="D151" s="43"/>
      <c r="E151" s="43"/>
      <c r="F151" s="43"/>
      <c r="G151" s="43"/>
      <c r="H151" s="43"/>
      <c r="I151" s="43"/>
    </row>
    <row r="152" spans="1:9">
      <c r="A152" s="43" t="s">
        <v>4</v>
      </c>
      <c r="B152" s="43" t="s">
        <v>105</v>
      </c>
      <c r="C152" s="43"/>
      <c r="D152" s="43"/>
      <c r="E152" s="43"/>
      <c r="F152" s="43"/>
      <c r="G152" s="43"/>
      <c r="H152" s="43"/>
      <c r="I152" s="43"/>
    </row>
    <row r="153" spans="1:9">
      <c r="A153" s="43" t="s">
        <v>6</v>
      </c>
      <c r="B153" s="43" t="s">
        <v>13</v>
      </c>
      <c r="C153" s="43"/>
      <c r="D153" s="43"/>
      <c r="E153" s="43"/>
      <c r="F153" s="43"/>
      <c r="G153" s="43"/>
      <c r="H153" s="43"/>
      <c r="I153" s="43"/>
    </row>
    <row r="154" spans="1:9">
      <c r="A154" s="43" t="s">
        <v>11</v>
      </c>
      <c r="B154" s="43" t="s">
        <v>106</v>
      </c>
      <c r="C154" s="43"/>
      <c r="D154" s="43"/>
      <c r="E154" s="43"/>
      <c r="F154" s="43"/>
      <c r="G154" s="43"/>
      <c r="H154" s="43"/>
      <c r="I154" s="43"/>
    </row>
    <row r="155" spans="1:9" ht="15.5">
      <c r="A155" s="42" t="s">
        <v>7</v>
      </c>
      <c r="B155" s="43"/>
      <c r="C155" s="43"/>
      <c r="D155" s="43"/>
      <c r="E155" s="43"/>
      <c r="F155" s="43"/>
      <c r="G155" s="43"/>
      <c r="H155" s="43"/>
      <c r="I155" s="43"/>
    </row>
    <row r="156" spans="1:9">
      <c r="A156" s="43" t="s">
        <v>8</v>
      </c>
      <c r="B156" s="43" t="s">
        <v>9</v>
      </c>
      <c r="C156" s="43" t="s">
        <v>107</v>
      </c>
      <c r="D156" s="43" t="s">
        <v>2</v>
      </c>
      <c r="E156" s="43" t="s">
        <v>6</v>
      </c>
      <c r="F156" s="43" t="s">
        <v>10</v>
      </c>
      <c r="G156" s="43" t="s">
        <v>5</v>
      </c>
      <c r="H156" s="43" t="s">
        <v>4</v>
      </c>
      <c r="I156" s="43" t="s">
        <v>11</v>
      </c>
    </row>
    <row r="157" spans="1:9">
      <c r="A157" s="43" t="s">
        <v>166</v>
      </c>
      <c r="B157" s="43">
        <v>1</v>
      </c>
      <c r="C157" s="43" t="s">
        <v>108</v>
      </c>
      <c r="D157" s="43" t="s">
        <v>29</v>
      </c>
      <c r="E157" s="43" t="s">
        <v>13</v>
      </c>
      <c r="F157" s="43"/>
      <c r="G157" s="43" t="s">
        <v>18</v>
      </c>
      <c r="H157" s="43" t="s">
        <v>105</v>
      </c>
      <c r="I157" s="43"/>
    </row>
    <row r="158" spans="1:9">
      <c r="A158" s="43" t="s">
        <v>109</v>
      </c>
      <c r="B158" s="44">
        <v>2.8033E-8</v>
      </c>
      <c r="C158" s="43" t="s">
        <v>110</v>
      </c>
      <c r="D158" s="43"/>
      <c r="E158" s="43" t="s">
        <v>13</v>
      </c>
      <c r="F158" s="43" t="s">
        <v>25</v>
      </c>
      <c r="G158" s="43" t="s">
        <v>15</v>
      </c>
      <c r="H158" s="43"/>
      <c r="I158" s="43"/>
    </row>
    <row r="159" spans="1:9">
      <c r="A159" s="43" t="s">
        <v>111</v>
      </c>
      <c r="B159" s="44">
        <v>4.2049500000000003E-6</v>
      </c>
      <c r="C159" s="43" t="s">
        <v>110</v>
      </c>
      <c r="D159" s="43"/>
      <c r="E159" s="43" t="s">
        <v>13</v>
      </c>
      <c r="F159" s="43" t="s">
        <v>25</v>
      </c>
      <c r="G159" s="43" t="s">
        <v>15</v>
      </c>
      <c r="H159" s="43"/>
      <c r="I159" s="43"/>
    </row>
    <row r="160" spans="1:9">
      <c r="A160" s="43" t="s">
        <v>112</v>
      </c>
      <c r="B160" s="44">
        <v>1.12135E-5</v>
      </c>
      <c r="C160" s="43" t="s">
        <v>110</v>
      </c>
      <c r="D160" s="43"/>
      <c r="E160" s="43" t="s">
        <v>13</v>
      </c>
      <c r="F160" s="43" t="s">
        <v>25</v>
      </c>
      <c r="G160" s="43" t="s">
        <v>15</v>
      </c>
      <c r="H160" s="43"/>
      <c r="I160" s="43"/>
    </row>
    <row r="161" spans="1:9">
      <c r="A161" s="43" t="s">
        <v>113</v>
      </c>
      <c r="B161" s="44">
        <v>2.8033E-10</v>
      </c>
      <c r="C161" s="43" t="s">
        <v>110</v>
      </c>
      <c r="D161" s="43"/>
      <c r="E161" s="43" t="s">
        <v>13</v>
      </c>
      <c r="F161" s="43" t="s">
        <v>25</v>
      </c>
      <c r="G161" s="43" t="s">
        <v>15</v>
      </c>
      <c r="H161" s="43"/>
      <c r="I161" s="43"/>
    </row>
    <row r="162" spans="1:9">
      <c r="A162" s="43" t="s">
        <v>114</v>
      </c>
      <c r="B162" s="44">
        <v>1.96236E-5</v>
      </c>
      <c r="C162" s="43" t="s">
        <v>110</v>
      </c>
      <c r="D162" s="43"/>
      <c r="E162" s="43" t="s">
        <v>13</v>
      </c>
      <c r="F162" s="43" t="s">
        <v>25</v>
      </c>
      <c r="G162" s="43" t="s">
        <v>15</v>
      </c>
      <c r="H162" s="43"/>
      <c r="I162" s="43"/>
    </row>
    <row r="163" spans="1:9">
      <c r="A163" s="43" t="s">
        <v>40</v>
      </c>
      <c r="B163" s="43">
        <v>2.6104586730000001</v>
      </c>
      <c r="C163" s="43" t="s">
        <v>110</v>
      </c>
      <c r="D163" s="43"/>
      <c r="E163" s="43" t="s">
        <v>13</v>
      </c>
      <c r="F163" s="43" t="s">
        <v>25</v>
      </c>
      <c r="G163" s="43" t="s">
        <v>15</v>
      </c>
      <c r="H163" s="43"/>
      <c r="I163" s="43"/>
    </row>
    <row r="164" spans="1:9">
      <c r="A164" s="43" t="s">
        <v>115</v>
      </c>
      <c r="B164" s="44">
        <v>5.8870399999999998E-5</v>
      </c>
      <c r="C164" s="43" t="s">
        <v>110</v>
      </c>
      <c r="D164" s="43"/>
      <c r="E164" s="43" t="s">
        <v>13</v>
      </c>
      <c r="F164" s="43" t="s">
        <v>25</v>
      </c>
      <c r="G164" s="43" t="s">
        <v>15</v>
      </c>
      <c r="H164" s="43"/>
      <c r="I164" s="43"/>
    </row>
    <row r="165" spans="1:9">
      <c r="A165" s="43" t="s">
        <v>116</v>
      </c>
      <c r="B165" s="44">
        <v>2.8032999999999999E-6</v>
      </c>
      <c r="C165" s="43" t="s">
        <v>110</v>
      </c>
      <c r="D165" s="43"/>
      <c r="E165" s="43" t="s">
        <v>13</v>
      </c>
      <c r="F165" s="43" t="s">
        <v>25</v>
      </c>
      <c r="G165" s="43" t="s">
        <v>15</v>
      </c>
      <c r="H165" s="43"/>
      <c r="I165" s="43"/>
    </row>
    <row r="166" spans="1:9">
      <c r="A166" s="43" t="s">
        <v>117</v>
      </c>
      <c r="B166" s="44">
        <v>2.8032999999999999E-6</v>
      </c>
      <c r="C166" s="43" t="s">
        <v>110</v>
      </c>
      <c r="D166" s="43"/>
      <c r="E166" s="43" t="s">
        <v>13</v>
      </c>
      <c r="F166" s="43" t="s">
        <v>25</v>
      </c>
      <c r="G166" s="43" t="s">
        <v>15</v>
      </c>
      <c r="H166" s="43"/>
      <c r="I166" s="43"/>
    </row>
    <row r="167" spans="1:9">
      <c r="A167" s="43" t="s">
        <v>118</v>
      </c>
      <c r="B167" s="44">
        <v>8.4101700000000003E-10</v>
      </c>
      <c r="C167" s="43" t="s">
        <v>110</v>
      </c>
      <c r="D167" s="43"/>
      <c r="E167" s="43" t="s">
        <v>13</v>
      </c>
      <c r="F167" s="43" t="s">
        <v>25</v>
      </c>
      <c r="G167" s="43" t="s">
        <v>15</v>
      </c>
      <c r="H167" s="43"/>
      <c r="I167" s="43"/>
    </row>
    <row r="168" spans="1:9">
      <c r="A168" s="43" t="s">
        <v>119</v>
      </c>
      <c r="B168" s="44">
        <v>5.6068700000000001E-5</v>
      </c>
      <c r="C168" s="43" t="s">
        <v>110</v>
      </c>
      <c r="D168" s="43"/>
      <c r="E168" s="43" t="s">
        <v>13</v>
      </c>
      <c r="F168" s="43" t="s">
        <v>25</v>
      </c>
      <c r="G168" s="43" t="s">
        <v>15</v>
      </c>
      <c r="H168" s="43"/>
      <c r="I168" s="43"/>
    </row>
    <row r="169" spans="1:9">
      <c r="A169" s="43" t="s">
        <v>120</v>
      </c>
      <c r="B169" s="43">
        <v>5.0180299999999999E-4</v>
      </c>
      <c r="C169" s="43" t="s">
        <v>110</v>
      </c>
      <c r="D169" s="43"/>
      <c r="E169" s="43" t="s">
        <v>13</v>
      </c>
      <c r="F169" s="43" t="s">
        <v>25</v>
      </c>
      <c r="G169" s="43" t="s">
        <v>15</v>
      </c>
      <c r="H169" s="43"/>
      <c r="I169" s="43"/>
    </row>
    <row r="170" spans="1:9">
      <c r="A170" s="43" t="s">
        <v>121</v>
      </c>
      <c r="B170" s="44">
        <v>2.8033000000000002E-7</v>
      </c>
      <c r="C170" s="43" t="s">
        <v>110</v>
      </c>
      <c r="D170" s="43"/>
      <c r="E170" s="43" t="s">
        <v>13</v>
      </c>
      <c r="F170" s="43" t="s">
        <v>25</v>
      </c>
      <c r="G170" s="43" t="s">
        <v>15</v>
      </c>
      <c r="H170" s="43"/>
      <c r="I170" s="43"/>
    </row>
    <row r="171" spans="1:9">
      <c r="A171" s="43" t="s">
        <v>122</v>
      </c>
      <c r="B171" s="44">
        <v>5.6068700000000001E-6</v>
      </c>
      <c r="C171" s="43" t="s">
        <v>110</v>
      </c>
      <c r="D171" s="43"/>
      <c r="E171" s="43" t="s">
        <v>13</v>
      </c>
      <c r="F171" s="43" t="s">
        <v>25</v>
      </c>
      <c r="G171" s="43" t="s">
        <v>15</v>
      </c>
      <c r="H171" s="43"/>
      <c r="I171" s="43"/>
    </row>
    <row r="172" spans="1:9">
      <c r="A172" s="43" t="s">
        <v>123</v>
      </c>
      <c r="B172" s="44">
        <v>3.36417E-5</v>
      </c>
      <c r="C172" s="43" t="s">
        <v>110</v>
      </c>
      <c r="D172" s="43"/>
      <c r="E172" s="43" t="s">
        <v>13</v>
      </c>
      <c r="F172" s="43" t="s">
        <v>25</v>
      </c>
      <c r="G172" s="43" t="s">
        <v>15</v>
      </c>
      <c r="H172" s="43"/>
      <c r="I172" s="43"/>
    </row>
    <row r="173" spans="1:9">
      <c r="A173" s="43" t="s">
        <v>124</v>
      </c>
      <c r="B173" s="44">
        <v>5.6068700000000001E-6</v>
      </c>
      <c r="C173" s="43" t="s">
        <v>110</v>
      </c>
      <c r="D173" s="43"/>
      <c r="E173" s="43" t="s">
        <v>13</v>
      </c>
      <c r="F173" s="43" t="s">
        <v>25</v>
      </c>
      <c r="G173" s="43" t="s">
        <v>15</v>
      </c>
      <c r="H173" s="43"/>
      <c r="I173" s="43"/>
    </row>
    <row r="174" spans="1:9">
      <c r="A174" s="43" t="s">
        <v>125</v>
      </c>
      <c r="B174" s="44">
        <v>5.6068700000000005E-7</v>
      </c>
      <c r="C174" s="43" t="s">
        <v>110</v>
      </c>
      <c r="D174" s="43"/>
      <c r="E174" s="43" t="s">
        <v>13</v>
      </c>
      <c r="F174" s="43" t="s">
        <v>25</v>
      </c>
      <c r="G174" s="43" t="s">
        <v>15</v>
      </c>
      <c r="H174" s="43"/>
      <c r="I174" s="43"/>
    </row>
    <row r="175" spans="1:9">
      <c r="A175" s="43" t="s">
        <v>126</v>
      </c>
      <c r="B175" s="44">
        <v>1.5418699999999999E-5</v>
      </c>
      <c r="C175" s="43" t="s">
        <v>110</v>
      </c>
      <c r="D175" s="43"/>
      <c r="E175" s="43" t="s">
        <v>13</v>
      </c>
      <c r="F175" s="43" t="s">
        <v>25</v>
      </c>
      <c r="G175" s="43" t="s">
        <v>15</v>
      </c>
      <c r="H175" s="43"/>
      <c r="I175" s="43"/>
    </row>
    <row r="176" spans="1:9">
      <c r="A176" s="43" t="s">
        <v>127</v>
      </c>
      <c r="B176" s="44">
        <v>5.6068700000000001E-6</v>
      </c>
      <c r="C176" s="43" t="s">
        <v>110</v>
      </c>
      <c r="D176" s="43"/>
      <c r="E176" s="43" t="s">
        <v>13</v>
      </c>
      <c r="F176" s="43" t="s">
        <v>25</v>
      </c>
      <c r="G176" s="43" t="s">
        <v>15</v>
      </c>
      <c r="H176" s="43"/>
      <c r="I176" s="43"/>
    </row>
    <row r="177" spans="1:9">
      <c r="A177" s="43" t="s">
        <v>128</v>
      </c>
      <c r="B177" s="43">
        <v>0.38033800800000001</v>
      </c>
      <c r="C177" s="43" t="s">
        <v>110</v>
      </c>
      <c r="D177" s="43"/>
      <c r="E177" s="43" t="s">
        <v>129</v>
      </c>
      <c r="F177" s="43" t="s">
        <v>130</v>
      </c>
      <c r="G177" s="43" t="s">
        <v>15</v>
      </c>
      <c r="H177" s="43"/>
      <c r="I177" s="43"/>
    </row>
    <row r="178" spans="1:9">
      <c r="A178" s="43" t="s">
        <v>131</v>
      </c>
      <c r="B178" s="43">
        <v>0.36940000000000001</v>
      </c>
      <c r="C178" s="43" t="s">
        <v>110</v>
      </c>
      <c r="D178" s="43"/>
      <c r="E178" s="43" t="s">
        <v>129</v>
      </c>
      <c r="F178" s="43" t="s">
        <v>132</v>
      </c>
      <c r="G178" s="43" t="s">
        <v>15</v>
      </c>
      <c r="H178" s="43"/>
      <c r="I178" s="43"/>
    </row>
    <row r="179" spans="1:9">
      <c r="A179" s="43" t="s">
        <v>131</v>
      </c>
      <c r="B179" s="43">
        <v>1.0999999999999999E-2</v>
      </c>
      <c r="C179" s="43" t="s">
        <v>110</v>
      </c>
      <c r="D179" s="43"/>
      <c r="E179" s="43" t="s">
        <v>129</v>
      </c>
      <c r="F179" s="43" t="s">
        <v>25</v>
      </c>
      <c r="G179" s="43" t="s">
        <v>15</v>
      </c>
      <c r="H179" s="43"/>
      <c r="I179" s="43" t="s">
        <v>167</v>
      </c>
    </row>
    <row r="180" spans="1:9">
      <c r="A180" s="43" t="s">
        <v>168</v>
      </c>
      <c r="B180" s="43">
        <v>6.1611670199999997</v>
      </c>
      <c r="C180" s="43" t="s">
        <v>169</v>
      </c>
      <c r="D180" s="43" t="s">
        <v>49</v>
      </c>
      <c r="E180" s="43" t="s">
        <v>13</v>
      </c>
      <c r="F180" s="43"/>
      <c r="G180" s="43" t="s">
        <v>12</v>
      </c>
      <c r="H180" s="43" t="s">
        <v>168</v>
      </c>
      <c r="I180" s="43"/>
    </row>
    <row r="181" spans="1:9">
      <c r="A181" s="43" t="s">
        <v>134</v>
      </c>
      <c r="B181" s="44">
        <v>5.3477100000000001E-10</v>
      </c>
      <c r="C181" s="43" t="s">
        <v>169</v>
      </c>
      <c r="D181" s="43" t="s">
        <v>49</v>
      </c>
      <c r="E181" s="43" t="s">
        <v>6</v>
      </c>
      <c r="F181" s="43"/>
      <c r="G181" s="43" t="s">
        <v>12</v>
      </c>
      <c r="H181" s="43" t="s">
        <v>136</v>
      </c>
      <c r="I181" s="43"/>
    </row>
    <row r="182" spans="1:9">
      <c r="A182" s="43" t="s">
        <v>137</v>
      </c>
      <c r="B182" s="43">
        <v>5.32728E-4</v>
      </c>
      <c r="C182" s="43" t="s">
        <v>169</v>
      </c>
      <c r="D182" s="43" t="s">
        <v>138</v>
      </c>
      <c r="E182" s="43" t="s">
        <v>13</v>
      </c>
      <c r="F182" s="43"/>
      <c r="G182" s="43" t="s">
        <v>12</v>
      </c>
      <c r="H182" s="43" t="s">
        <v>139</v>
      </c>
      <c r="I182" s="43"/>
    </row>
    <row r="183" spans="1:9">
      <c r="A183" s="43" t="s">
        <v>140</v>
      </c>
      <c r="B183" s="43">
        <v>3.6000000000000001E-5</v>
      </c>
      <c r="C183" s="43" t="s">
        <v>169</v>
      </c>
      <c r="D183" s="43" t="s">
        <v>141</v>
      </c>
      <c r="E183" s="43" t="s">
        <v>13</v>
      </c>
      <c r="F183" s="43"/>
      <c r="G183" s="43" t="s">
        <v>12</v>
      </c>
      <c r="H183" s="43" t="s">
        <v>142</v>
      </c>
      <c r="I183" s="43"/>
    </row>
    <row r="184" spans="1:9">
      <c r="A184" s="43" t="s">
        <v>143</v>
      </c>
      <c r="B184" s="43">
        <v>3.6240000000000003E-4</v>
      </c>
      <c r="C184" s="43" t="s">
        <v>169</v>
      </c>
      <c r="D184" s="43" t="s">
        <v>141</v>
      </c>
      <c r="E184" s="43" t="s">
        <v>13</v>
      </c>
      <c r="F184" s="43"/>
      <c r="G184" s="43" t="s">
        <v>12</v>
      </c>
      <c r="H184" s="43" t="s">
        <v>144</v>
      </c>
      <c r="I184" s="43"/>
    </row>
    <row r="185" spans="1:9">
      <c r="A185" s="43" t="s">
        <v>170</v>
      </c>
      <c r="B185" s="43">
        <v>2.0948000000000001E-4</v>
      </c>
      <c r="C185" s="43" t="s">
        <v>169</v>
      </c>
      <c r="D185" s="43" t="s">
        <v>141</v>
      </c>
      <c r="E185" s="43" t="s">
        <v>13</v>
      </c>
      <c r="F185" s="43"/>
      <c r="G185" s="43" t="s">
        <v>12</v>
      </c>
      <c r="H185" s="43" t="s">
        <v>171</v>
      </c>
      <c r="I185" s="43"/>
    </row>
    <row r="186" spans="1:9">
      <c r="A186" s="43" t="s">
        <v>145</v>
      </c>
      <c r="B186" s="44">
        <v>2.54628E-9</v>
      </c>
      <c r="C186" s="43" t="s">
        <v>169</v>
      </c>
      <c r="D186" s="43" t="s">
        <v>141</v>
      </c>
      <c r="E186" s="43" t="s">
        <v>6</v>
      </c>
      <c r="F186" s="43"/>
      <c r="G186" s="43" t="s">
        <v>12</v>
      </c>
      <c r="H186" s="43" t="s">
        <v>146</v>
      </c>
      <c r="I186" s="43"/>
    </row>
    <row r="187" spans="1:9">
      <c r="A187" s="43" t="s">
        <v>147</v>
      </c>
      <c r="B187" s="43">
        <v>2.796E-5</v>
      </c>
      <c r="C187" s="43" t="s">
        <v>169</v>
      </c>
      <c r="D187" s="43" t="s">
        <v>141</v>
      </c>
      <c r="E187" s="43" t="s">
        <v>13</v>
      </c>
      <c r="F187" s="43"/>
      <c r="G187" s="43" t="s">
        <v>12</v>
      </c>
      <c r="H187" s="43" t="s">
        <v>148</v>
      </c>
      <c r="I187" s="43"/>
    </row>
    <row r="188" spans="1:9">
      <c r="A188" s="43" t="s">
        <v>149</v>
      </c>
      <c r="B188" s="43">
        <v>1.668E-5</v>
      </c>
      <c r="C188" s="43" t="s">
        <v>169</v>
      </c>
      <c r="D188" s="43" t="s">
        <v>141</v>
      </c>
      <c r="E188" s="43" t="s">
        <v>13</v>
      </c>
      <c r="F188" s="43"/>
      <c r="G188" s="43" t="s">
        <v>12</v>
      </c>
      <c r="H188" s="43" t="s">
        <v>150</v>
      </c>
      <c r="I188" s="43"/>
    </row>
    <row r="189" spans="1:9">
      <c r="A189" s="43" t="s">
        <v>151</v>
      </c>
      <c r="B189" s="43">
        <v>2.0291999999999999E-4</v>
      </c>
      <c r="C189" s="43" t="s">
        <v>169</v>
      </c>
      <c r="D189" s="43" t="s">
        <v>141</v>
      </c>
      <c r="E189" s="43" t="s">
        <v>13</v>
      </c>
      <c r="F189" s="43"/>
      <c r="G189" s="43" t="s">
        <v>12</v>
      </c>
      <c r="H189" s="43" t="s">
        <v>152</v>
      </c>
      <c r="I189" s="43"/>
    </row>
    <row r="190" spans="1:9">
      <c r="A190" s="43" t="s">
        <v>153</v>
      </c>
      <c r="B190" s="43">
        <v>3.1236000000000002E-4</v>
      </c>
      <c r="C190" s="43" t="s">
        <v>169</v>
      </c>
      <c r="D190" s="43" t="s">
        <v>141</v>
      </c>
      <c r="E190" s="43" t="s">
        <v>13</v>
      </c>
      <c r="F190" s="43"/>
      <c r="G190" s="43" t="s">
        <v>12</v>
      </c>
      <c r="H190" s="43" t="s">
        <v>154</v>
      </c>
      <c r="I190" s="43"/>
    </row>
    <row r="191" spans="1:9">
      <c r="A191" s="43" t="s">
        <v>155</v>
      </c>
      <c r="B191" s="43">
        <v>4.8000000000000001E-5</v>
      </c>
      <c r="C191" s="43" t="s">
        <v>169</v>
      </c>
      <c r="D191" s="43" t="s">
        <v>49</v>
      </c>
      <c r="E191" s="43" t="s">
        <v>13</v>
      </c>
      <c r="F191" s="43"/>
      <c r="G191" s="43" t="s">
        <v>12</v>
      </c>
      <c r="H191" s="43" t="s">
        <v>156</v>
      </c>
      <c r="I191" s="43"/>
    </row>
    <row r="192" spans="1:9">
      <c r="A192" s="43" t="s">
        <v>157</v>
      </c>
      <c r="B192" s="43">
        <v>1.1592E-5</v>
      </c>
      <c r="C192" s="43" t="s">
        <v>169</v>
      </c>
      <c r="D192" s="43" t="s">
        <v>141</v>
      </c>
      <c r="E192" s="43" t="s">
        <v>13</v>
      </c>
      <c r="F192" s="43"/>
      <c r="G192" s="43" t="s">
        <v>12</v>
      </c>
      <c r="H192" s="43" t="s">
        <v>158</v>
      </c>
      <c r="I192" s="43"/>
    </row>
    <row r="193" spans="1:9">
      <c r="A193" s="43" t="s">
        <v>21</v>
      </c>
      <c r="B193" s="43">
        <v>7.5375498600000004</v>
      </c>
      <c r="C193" s="43" t="s">
        <v>169</v>
      </c>
      <c r="D193" s="43" t="s">
        <v>22</v>
      </c>
      <c r="E193" s="43" t="s">
        <v>13</v>
      </c>
      <c r="F193" s="43"/>
      <c r="G193" s="43" t="s">
        <v>12</v>
      </c>
      <c r="H193" s="43" t="s">
        <v>23</v>
      </c>
      <c r="I193" s="43"/>
    </row>
    <row r="194" spans="1:9">
      <c r="A194" s="43" t="s">
        <v>159</v>
      </c>
      <c r="B194" s="43">
        <v>8.8290199999999997E-4</v>
      </c>
      <c r="C194" s="43" t="s">
        <v>169</v>
      </c>
      <c r="D194" s="43" t="s">
        <v>141</v>
      </c>
      <c r="E194" s="43" t="s">
        <v>13</v>
      </c>
      <c r="F194" s="43"/>
      <c r="G194" s="43" t="s">
        <v>12</v>
      </c>
      <c r="H194" s="43" t="s">
        <v>160</v>
      </c>
      <c r="I194" s="43"/>
    </row>
    <row r="195" spans="1:9">
      <c r="A195" s="43" t="s">
        <v>161</v>
      </c>
      <c r="B195" s="43">
        <v>3.7139999999999997E-4</v>
      </c>
      <c r="C195" s="43" t="s">
        <v>169</v>
      </c>
      <c r="D195" s="43" t="s">
        <v>141</v>
      </c>
      <c r="E195" s="43" t="s">
        <v>13</v>
      </c>
      <c r="F195" s="43"/>
      <c r="G195" s="43" t="s">
        <v>12</v>
      </c>
      <c r="H195" s="43" t="s">
        <v>162</v>
      </c>
      <c r="I195" s="43"/>
    </row>
    <row r="196" spans="1:9">
      <c r="A196" s="43" t="s">
        <v>163</v>
      </c>
      <c r="B196" s="43">
        <v>0</v>
      </c>
      <c r="C196" s="43" t="s">
        <v>169</v>
      </c>
      <c r="D196" s="43" t="s">
        <v>49</v>
      </c>
      <c r="E196" s="43" t="s">
        <v>19</v>
      </c>
      <c r="F196" s="43"/>
      <c r="G196" s="43" t="s">
        <v>12</v>
      </c>
      <c r="H196" s="43" t="s">
        <v>31</v>
      </c>
      <c r="I196" s="43"/>
    </row>
    <row r="197" spans="1:9">
      <c r="A197" s="43" t="s">
        <v>164</v>
      </c>
      <c r="B197" s="43">
        <v>4.3011681309999998</v>
      </c>
      <c r="C197" s="43" t="s">
        <v>169</v>
      </c>
      <c r="D197" s="43" t="s">
        <v>22</v>
      </c>
      <c r="E197" s="43" t="s">
        <v>129</v>
      </c>
      <c r="F197" s="43"/>
      <c r="G197" s="43" t="s">
        <v>12</v>
      </c>
      <c r="H197" s="43" t="s">
        <v>165</v>
      </c>
      <c r="I197"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joanna.schlesinger</cp:lastModifiedBy>
  <dcterms:created xsi:type="dcterms:W3CDTF">2020-12-17T11:52:00Z</dcterms:created>
  <dcterms:modified xsi:type="dcterms:W3CDTF">2024-05-30T15:19:48Z</dcterms:modified>
</cp:coreProperties>
</file>